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worksheets/sheet4.xml" ContentType="application/vnd.openxmlformats-officedocument.spreadsheetml.worksheet+xml"/>
  <Override PartName="/xl/drawings/drawing3.xml" ContentType="application/vnd.openxmlformats-officedocument.drawing+xml"/>
  <Override PartName="/xl/worksheets/sheet5.xml" ContentType="application/vnd.openxmlformats-officedocument.spreadsheetml.worksheet+xml"/>
  <Override PartName="/xl/drawings/drawing4.xml" ContentType="application/vnd.openxmlformats-officedocument.drawing+xml"/>
  <Override PartName="/xl/worksheets/sheet6.xml" ContentType="application/vnd.openxmlformats-officedocument.spreadsheetml.worksheet+xml"/>
  <Override PartName="/xl/drawings/drawing5.xml" ContentType="application/vnd.openxmlformats-officedocument.drawing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charts/chart28.xml" ContentType="application/vnd.openxmlformats-officedocument.drawingml.chart+xml"/>
  <Override PartName="/xl/charts/chart29.xml" ContentType="application/vnd.openxmlformats-officedocument.drawingml.chart+xml"/>
  <Override PartName="/xl/charts/chart30.xml" ContentType="application/vnd.openxmlformats-officedocument.drawingml.chart+xml"/>
  <Override PartName="/xl/charts/chart31.xml" ContentType="application/vnd.openxmlformats-officedocument.drawingml.chart+xml"/>
  <Override PartName="/xl/charts/chart32.xml" ContentType="application/vnd.openxmlformats-officedocument.drawingml.chart+xml"/>
  <Override PartName="/xl/charts/chart33.xml" ContentType="application/vnd.openxmlformats-officedocument.drawingml.chart+xml"/>
  <Override PartName="/xl/charts/chart34.xml" ContentType="application/vnd.openxmlformats-officedocument.drawingml.chart+xml"/>
  <Override PartName="/xl/charts/chart35.xml" ContentType="application/vnd.openxmlformats-officedocument.drawingml.chart+xml"/>
  <Override PartName="/xl/charts/chart36.xml" ContentType="application/vnd.openxmlformats-officedocument.drawingml.chart+xml"/>
  <Override PartName="/xl/charts/chart37.xml" ContentType="application/vnd.openxmlformats-officedocument.drawingml.chart+xml"/>
  <Override PartName="/xl/charts/chart38.xml" ContentType="application/vnd.openxmlformats-officedocument.drawingml.chart+xml"/>
  <Override PartName="/xl/charts/chart39.xml" ContentType="application/vnd.openxmlformats-officedocument.drawingml.chart+xml"/>
  <Override PartName="/xl/charts/chart40.xml" ContentType="application/vnd.openxmlformats-officedocument.drawingml.chart+xml"/>
  <Override PartName="/xl/charts/chart41.xml" ContentType="application/vnd.openxmlformats-officedocument.drawingml.chart+xml"/>
  <Override PartName="/xl/charts/chart42.xml" ContentType="application/vnd.openxmlformats-officedocument.drawingml.chart+xml"/>
  <Override PartName="/xl/charts/chart43.xml" ContentType="application/vnd.openxmlformats-officedocument.drawingml.chart+xml"/>
  <Override PartName="/xl/charts/chart44.xml" ContentType="application/vnd.openxmlformats-officedocument.drawingml.chart+xml"/>
  <Override PartName="/xl/charts/chart45.xml" ContentType="application/vnd.openxmlformats-officedocument.drawingml.chart+xml"/>
  <Override PartName="/xl/charts/chart46.xml" ContentType="application/vnd.openxmlformats-officedocument.drawingml.chart+xml"/>
  <Override PartName="/xl/charts/chart47.xml" ContentType="application/vnd.openxmlformats-officedocument.drawingml.chart+xml"/>
  <Override PartName="/xl/charts/chart48.xml" ContentType="application/vnd.openxmlformats-officedocument.drawingml.chart+xml"/>
  <Override PartName="/xl/charts/chart49.xml" ContentType="application/vnd.openxmlformats-officedocument.drawingml.chart+xml"/>
  <Override PartName="/xl/charts/chart50.xml" ContentType="application/vnd.openxmlformats-officedocument.drawingml.chart+xml"/>
  <Override PartName="/xl/charts/chart51.xml" ContentType="application/vnd.openxmlformats-officedocument.drawingml.chart+xml"/>
  <Override PartName="/xl/charts/chart52.xml" ContentType="application/vnd.openxmlformats-officedocument.drawingml.chart+xml"/>
  <Override PartName="/xl/charts/chart53.xml" ContentType="application/vnd.openxmlformats-officedocument.drawingml.chart+xml"/>
  <Override PartName="/xl/charts/chart54.xml" ContentType="application/vnd.openxmlformats-officedocument.drawingml.chart+xml"/>
  <Override PartName="/xl/charts/chart55.xml" ContentType="application/vnd.openxmlformats-officedocument.drawingml.chart+xml"/>
  <Override PartName="/xl/charts/chart56.xml" ContentType="application/vnd.openxmlformats-officedocument.drawingml.chart+xml"/>
  <Override PartName="/xl/charts/chart57.xml" ContentType="application/vnd.openxmlformats-officedocument.drawingml.chart+xml"/>
  <Override PartName="/xl/charts/chart58.xml" ContentType="application/vnd.openxmlformats-officedocument.drawingml.chart+xml"/>
  <Override PartName="/xl/charts/chart59.xml" ContentType="application/vnd.openxmlformats-officedocument.drawingml.chart+xml"/>
  <Override PartName="/xl/charts/chart60.xml" ContentType="application/vnd.openxmlformats-officedocument.drawingml.chart+xml"/>
  <Override PartName="/xl/charts/chart61.xml" ContentType="application/vnd.openxmlformats-officedocument.drawingml.chart+xml"/>
  <Override PartName="/xl/charts/chart62.xml" ContentType="application/vnd.openxmlformats-officedocument.drawingml.chart+xml"/>
  <Override PartName="/xl/charts/chart63.xml" ContentType="application/vnd.openxmlformats-officedocument.drawingml.chart+xml"/>
  <Override PartName="/xl/charts/chart64.xml" ContentType="application/vnd.openxmlformats-officedocument.drawingml.chart+xml"/>
  <Override PartName="/xl/charts/chart65.xml" ContentType="application/vnd.openxmlformats-officedocument.drawingml.chart+xml"/>
  <Override PartName="/xl/charts/chart66.xml" ContentType="application/vnd.openxmlformats-officedocument.drawingml.chart+xml"/>
  <Override PartName="/xl/charts/chart67.xml" ContentType="application/vnd.openxmlformats-officedocument.drawingml.chart+xml"/>
  <Override PartName="/xl/charts/chart68.xml" ContentType="application/vnd.openxmlformats-officedocument.drawingml.chart+xml"/>
  <Override PartName="/xl/charts/chart69.xml" ContentType="application/vnd.openxmlformats-officedocument.drawingml.chart+xml"/>
  <Override PartName="/xl/charts/chart70.xml" ContentType="application/vnd.openxmlformats-officedocument.drawingml.chart+xml"/>
  <Override PartName="/xl/charts/chart71.xml" ContentType="application/vnd.openxmlformats-officedocument.drawingml.chart+xml"/>
  <Override PartName="/xl/charts/chart72.xml" ContentType="application/vnd.openxmlformats-officedocument.drawingml.chart+xml"/>
  <Override PartName="/xl/charts/chart73.xml" ContentType="application/vnd.openxmlformats-officedocument.drawingml.chart+xml"/>
  <Override PartName="/xl/charts/chart74.xml" ContentType="application/vnd.openxmlformats-officedocument.drawingml.chart+xml"/>
  <Override PartName="/xl/charts/chart75.xml" ContentType="application/vnd.openxmlformats-officedocument.drawingml.chart+xml"/>
  <Override PartName="/xl/charts/chart76.xml" ContentType="application/vnd.openxmlformats-officedocument.drawingml.chart+xml"/>
  <Override PartName="/xl/charts/chart77.xml" ContentType="application/vnd.openxmlformats-officedocument.drawingml.chart+xml"/>
  <Override PartName="/xl/charts/chart78.xml" ContentType="application/vnd.openxmlformats-officedocument.drawingml.chart+xml"/>
  <Override PartName="/xl/charts/chart79.xml" ContentType="application/vnd.openxmlformats-officedocument.drawingml.chart+xml"/>
  <Override PartName="/xl/charts/chart80.xml" ContentType="application/vnd.openxmlformats-officedocument.drawingml.chart+xml"/>
  <Override PartName="/xl/charts/chart81.xml" ContentType="application/vnd.openxmlformats-officedocument.drawingml.chart+xml"/>
  <Override PartName="/xl/charts/chart82.xml" ContentType="application/vnd.openxmlformats-officedocument.drawingml.chart+xml"/>
  <Override PartName="/xl/charts/chart83.xml" ContentType="application/vnd.openxmlformats-officedocument.drawingml.chart+xml"/>
  <Override PartName="/xl/charts/chart84.xml" ContentType="application/vnd.openxmlformats-officedocument.drawingml.chart+xml"/>
  <Override PartName="/xl/charts/chart8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0730" windowHeight="11160" tabRatio="500" firstSheet="0" activeTab="0" autoFilterDateGrouping="1"/>
  </bookViews>
  <sheets>
    <sheet name="Estação" sheetId="1" state="visible" r:id="rId1"/>
    <sheet name="Valores Diários" sheetId="2" state="visible" r:id="rId2"/>
    <sheet name="Valores Semanais" sheetId="3" state="visible" r:id="rId3"/>
    <sheet name="Valores Mensais" sheetId="4" state="visible" r:id="rId4"/>
    <sheet name="Valores Anuais" sheetId="5" state="visible" r:id="rId5"/>
    <sheet name="Valores Totais" sheetId="6" state="visible" r:id="rId6"/>
    <sheet name="Cálculos" sheetId="7" state="hidden" r:id="rId7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6">
    <numFmt numFmtId="164" formatCode="0.0&quot; °C&quot;"/>
    <numFmt numFmtId="165" formatCode="0&quot; %&quot;"/>
    <numFmt numFmtId="166" formatCode="0&quot; hPa&quot;"/>
    <numFmt numFmtId="167" formatCode="0.0&quot; mm&quot;"/>
    <numFmt numFmtId="168" formatCode="0.0&quot; km/h&quot;"/>
    <numFmt numFmtId="169" formatCode="mm/dd/yy"/>
  </numFmts>
  <fonts count="8">
    <font>
      <name val="Calibri"/>
      <charset val="1"/>
      <family val="2"/>
      <color theme="1"/>
      <sz val="11"/>
    </font>
    <font>
      <name val="Arial"/>
      <charset val="1"/>
      <b val="1"/>
      <color rgb="FFFFFFFF"/>
      <sz val="10"/>
    </font>
    <font>
      <name val="Arial"/>
      <charset val="1"/>
      <b val="1"/>
      <color rgb="FF1F2937"/>
      <sz val="18"/>
    </font>
    <font>
      <name val="Arial"/>
      <charset val="1"/>
      <color rgb="FF6B7280"/>
      <sz val="10"/>
    </font>
    <font>
      <name val="Arial"/>
      <charset val="1"/>
      <b val="1"/>
      <color rgb="FF6B7280"/>
      <sz val="8"/>
    </font>
    <font>
      <name val="Arial"/>
      <charset val="1"/>
      <color rgb="FF6B7280"/>
      <sz val="8"/>
    </font>
    <font>
      <name val="Arial"/>
      <charset val="1"/>
      <b val="1"/>
      <color rgb="FF1F2937"/>
      <sz val="13"/>
    </font>
    <font>
      <name val="Arial"/>
      <charset val="1"/>
      <sz val="9"/>
    </font>
  </fonts>
  <fills count="4">
    <fill>
      <patternFill/>
    </fill>
    <fill>
      <patternFill patternType="gray125"/>
    </fill>
    <fill>
      <patternFill patternType="solid">
        <fgColor rgb="FF1F3864"/>
        <bgColor rgb="FF1F2937"/>
      </patternFill>
    </fill>
    <fill>
      <patternFill patternType="solid">
        <fgColor rgb="FFF3F4F6"/>
        <bgColor rgb="FFFFFFFF"/>
      </patternFill>
    </fill>
  </fills>
  <borders count="3">
    <border>
      <left/>
      <right/>
      <top/>
      <bottom/>
      <diagonal/>
    </border>
    <border>
      <left/>
      <right/>
      <top/>
      <bottom style="thin">
        <color auto="1"/>
      </bottom>
      <diagonal/>
    </border>
    <border>
      <left style="thin">
        <color rgb="FFE5E7EB"/>
      </left>
      <right style="thin">
        <color rgb="FFE5E7EB"/>
      </right>
      <top style="thin">
        <color rgb="FFE5E7EB"/>
      </top>
      <bottom style="thin">
        <color rgb="FFE5E7EB"/>
      </bottom>
      <diagonal/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3" borderId="2" pivotButton="0" quotePrefix="0" xfId="0"/>
    <xf numFmtId="0" fontId="0" fillId="3" borderId="2" pivotButton="0" quotePrefix="0" xfId="0"/>
    <xf numFmtId="164" fontId="6" fillId="3" borderId="2" pivotButton="0" quotePrefix="0" xfId="0"/>
    <xf numFmtId="165" fontId="6" fillId="3" borderId="2" pivotButton="0" quotePrefix="0" xfId="0"/>
    <xf numFmtId="166" fontId="6" fillId="3" borderId="2" pivotButton="0" quotePrefix="0" xfId="0"/>
    <xf numFmtId="167" fontId="6" fillId="3" borderId="2" pivotButton="0" quotePrefix="0" xfId="0"/>
    <xf numFmtId="168" fontId="6" fillId="3" borderId="2" pivotButton="0" quotePrefix="0" xfId="0"/>
    <xf numFmtId="0" fontId="7" fillId="0" borderId="0" pivotButton="0" quotePrefix="0" xfId="0"/>
    <xf numFmtId="169" fontId="7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984E3"/>
      <rgbColor rgb="FFC0C0C0"/>
      <rgbColor rgb="FF878787"/>
      <rgbColor rgb="FFA29BFE"/>
      <rgbColor rgb="FFE84393"/>
      <rgbColor rgb="FFF3F4F6"/>
      <rgbColor rgb="FFE5E7EB"/>
      <rgbColor rgb="FF660066"/>
      <rgbColor rgb="FFFF7675"/>
      <rgbColor rgb="FF0B5ED7"/>
      <rgbColor rgb="FFD9D9D9"/>
      <rgbColor rgb="FF000080"/>
      <rgbColor rgb="FFFF00FF"/>
      <rgbColor rgb="FFFFFF00"/>
      <rgbColor rgb="FF00FFFF"/>
      <rgbColor rgb="FF800080"/>
      <rgbColor rgb="FF800000"/>
      <rgbColor rgb="FF2E86DE"/>
      <rgbColor rgb="FF0000FF"/>
      <rgbColor rgb="FF00CEC9"/>
      <rgbColor rgb="FFCCFFFF"/>
      <rgbColor rgb="FFCCFFCC"/>
      <rgbColor rgb="FFFFFF99"/>
      <rgbColor rgb="FF74B9FF"/>
      <rgbColor rgb="FFFD79A8"/>
      <rgbColor rgb="FF54A0FF"/>
      <rgbColor rgb="FFFFCC99"/>
      <rgbColor rgb="FF2563EB"/>
      <rgbColor rgb="FF00B894"/>
      <rgbColor rgb="FF99CC00"/>
      <rgbColor rgb="FFFFCC00"/>
      <rgbColor rgb="FFE17055"/>
      <rgbColor rgb="FFE67E22"/>
      <rgbColor rgb="FF6B7280"/>
      <rgbColor rgb="FF8E7CF3"/>
      <rgbColor rgb="FF1F3864"/>
      <rgbColor rgb="FF27AE60"/>
      <rgbColor rgb="FF003300"/>
      <rgbColor rgb="FF333300"/>
      <rgbColor rgb="FFD63031"/>
      <rgbColor rgb="FF993366"/>
      <rgbColor rgb="FF6C5CE7"/>
      <rgbColor rgb="FF1F2937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Cálculos!$D$5:$D$28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15.4</v>
                </pt>
                <pt idx="19">
                  <v>15.3</v>
                </pt>
                <pt idx="20">
                  <v>15.2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146581"/>
        <axId val="63774228"/>
      </lineChart>
      <catAx>
        <axId val="231465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774228"/>
        <crosses val="autoZero"/>
        <auto val="1"/>
        <lblAlgn val="ctr"/>
        <lblOffset val="100"/>
        <noMultiLvlLbl val="0"/>
      </catAx>
      <valAx>
        <axId val="637742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1465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Cálculos!$E$5:$E$28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5422635"/>
        <axId val="67546742"/>
      </lineChart>
      <catAx>
        <axId val="7542263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546742"/>
        <crosses val="autoZero"/>
        <auto val="1"/>
        <lblAlgn val="ctr"/>
        <lblOffset val="100"/>
        <noMultiLvlLbl val="0"/>
      </catAx>
      <valAx>
        <axId val="675467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542263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Cálculos!$F$5:$F$28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15.6</v>
                </pt>
                <pt idx="19">
                  <v>15.1</v>
                </pt>
                <pt idx="20">
                  <v>15.5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3675757"/>
        <axId val="38103792"/>
      </lineChart>
      <catAx>
        <axId val="4367575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103792"/>
        <crosses val="autoZero"/>
        <auto val="1"/>
        <lblAlgn val="ctr"/>
        <lblOffset val="100"/>
        <noMultiLvlLbl val="0"/>
      </catAx>
      <valAx>
        <axId val="3810379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67575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Cálculos!$G$5:$G$28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5182246"/>
        <axId val="39667053"/>
      </lineChart>
      <catAx>
        <axId val="151822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667053"/>
        <crosses val="autoZero"/>
        <auto val="1"/>
        <lblAlgn val="ctr"/>
        <lblOffset val="100"/>
        <noMultiLvlLbl val="0"/>
      </catAx>
      <valAx>
        <axId val="3966705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1822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Cálculos!$H$5:$H$28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9.699999999999999</v>
                </pt>
                <pt idx="19">
                  <v>9.699999999999999</v>
                </pt>
                <pt idx="20">
                  <v>9.699999999999999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4016166"/>
        <axId val="13595707"/>
      </lineChart>
      <catAx>
        <axId val="340161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95707"/>
        <crosses val="autoZero"/>
        <auto val="1"/>
        <lblAlgn val="ctr"/>
        <lblOffset val="100"/>
        <noMultiLvlLbl val="0"/>
      </catAx>
      <valAx>
        <axId val="135957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40161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Cálculos!$I$5:$I$28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13.9</v>
                </pt>
                <pt idx="19">
                  <v>13.7</v>
                </pt>
                <pt idx="20">
                  <v>13.9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2525615"/>
        <axId val="78003439"/>
      </lineChart>
      <catAx>
        <axId val="7252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003439"/>
        <crosses val="autoZero"/>
        <auto val="1"/>
        <lblAlgn val="ctr"/>
        <lblOffset val="100"/>
        <noMultiLvlLbl val="0"/>
      </catAx>
      <valAx>
        <axId val="780034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52561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Cálculos!$J$5:$J$28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94</v>
                </pt>
                <pt idx="19">
                  <v>95</v>
                </pt>
                <pt idx="20">
                  <v>96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191369"/>
        <axId val="94742419"/>
      </lineChart>
      <catAx>
        <axId val="6519136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742419"/>
        <crosses val="autoZero"/>
        <auto val="1"/>
        <lblAlgn val="ctr"/>
        <lblOffset val="100"/>
        <noMultiLvlLbl val="0"/>
      </catAx>
      <valAx>
        <axId val="947424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19136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Cálculos!$K$5:$K$28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86</v>
                </pt>
                <pt idx="19">
                  <v>86</v>
                </pt>
                <pt idx="20">
                  <v>87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43740"/>
        <axId val="61207359"/>
      </lineChart>
      <catAx>
        <axId val="626437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207359"/>
        <crosses val="autoZero"/>
        <auto val="1"/>
        <lblAlgn val="ctr"/>
        <lblOffset val="100"/>
        <noMultiLvlLbl val="0"/>
      </catAx>
      <valAx>
        <axId val="6120735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437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Cálculos!$L$5:$L$28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1251427"/>
        <axId val="53344331"/>
      </lineChart>
      <catAx>
        <axId val="9125142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3344331"/>
        <crosses val="autoZero"/>
        <auto val="1"/>
        <lblAlgn val="ctr"/>
        <lblOffset val="100"/>
        <noMultiLvlLbl val="0"/>
      </catAx>
      <valAx>
        <axId val="53344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25142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Cálculos!$M$5:$M$28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9837244"/>
        <axId val="99784354"/>
      </lineChart>
      <catAx>
        <axId val="5983724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784354"/>
        <crosses val="autoZero"/>
        <auto val="1"/>
        <lblAlgn val="ctr"/>
        <lblOffset val="100"/>
        <noMultiLvlLbl val="0"/>
      </catAx>
      <valAx>
        <axId val="997843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983724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Cálculos!$N$5:$N$28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409114"/>
        <axId val="90986397"/>
      </barChart>
      <catAx>
        <axId val="7240911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986397"/>
        <crosses val="autoZero"/>
        <auto val="1"/>
        <lblAlgn val="ctr"/>
        <lblOffset val="100"/>
        <noMultiLvlLbl val="0"/>
      </catAx>
      <valAx>
        <axId val="90986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40911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Cálculos!$O$5:$O$28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11.7</v>
                </pt>
                <pt idx="19">
                  <v>11.7</v>
                </pt>
                <pt idx="20">
                  <v>11.7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3547076"/>
        <axId val="83386413"/>
      </barChart>
      <catAx>
        <axId val="1354707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386413"/>
        <crosses val="autoZero"/>
        <auto val="1"/>
        <lblAlgn val="ctr"/>
        <lblOffset val="100"/>
        <noMultiLvlLbl val="0"/>
      </catAx>
      <valAx>
        <axId val="8338641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4707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Cálculos!$P$5:$P$28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0.6</v>
                </pt>
                <pt idx="19">
                  <v>0.4</v>
                </pt>
                <pt idx="20">
                  <v>0.4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630660"/>
        <axId val="74263902"/>
      </barChart>
      <catAx>
        <axId val="72630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263902"/>
        <crosses val="autoZero"/>
        <auto val="1"/>
        <lblAlgn val="ctr"/>
        <lblOffset val="100"/>
        <noMultiLvlLbl val="0"/>
      </catAx>
      <valAx>
        <axId val="7426390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63066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Cálculos!$Q$5:$Q$28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3.4</v>
                </pt>
                <pt idx="19">
                  <v>5.4</v>
                </pt>
                <pt idx="20">
                  <v>4.5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726660"/>
        <axId val="80204441"/>
      </lineChart>
      <catAx>
        <axId val="65726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204441"/>
        <crosses val="autoZero"/>
        <auto val="1"/>
        <lblAlgn val="ctr"/>
        <lblOffset val="100"/>
        <noMultiLvlLbl val="0"/>
      </catAx>
      <valAx>
        <axId val="802044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7266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Cálculos!$R$5:$R$28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6.6</v>
                </pt>
                <pt idx="19">
                  <v>5.3</v>
                </pt>
                <pt idx="20">
                  <v>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9334219"/>
        <axId val="10072830"/>
      </lineChart>
      <catAx>
        <axId val="6933421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072830"/>
        <crosses val="autoZero"/>
        <auto val="1"/>
        <lblAlgn val="ctr"/>
        <lblOffset val="100"/>
        <noMultiLvlLbl val="0"/>
      </catAx>
      <valAx>
        <axId val="100728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933421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Cálculos!$S$5:$S$28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80136"/>
        <axId val="89058385"/>
      </lineChart>
      <catAx>
        <axId val="50801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058385"/>
        <crosses val="autoZero"/>
        <auto val="1"/>
        <lblAlgn val="ctr"/>
        <lblOffset val="100"/>
        <noMultiLvlLbl val="0"/>
      </catAx>
      <valAx>
        <axId val="890583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801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Cálculos!$T$5:$T$28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100</v>
                </pt>
                <pt idx="19">
                  <v>100</v>
                </pt>
                <pt idx="20">
                  <v>100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954924"/>
        <axId val="47458085"/>
      </lineChart>
      <catAx>
        <axId val="7395492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458085"/>
        <crosses val="autoZero"/>
        <auto val="1"/>
        <lblAlgn val="ctr"/>
        <lblOffset val="100"/>
        <noMultiLvlLbl val="0"/>
      </catAx>
      <valAx>
        <axId val="474580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95492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Cálculos!$D$32:$D$38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565943"/>
        <axId val="37115528"/>
      </lineChart>
      <catAx>
        <axId val="5156594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115528"/>
        <crosses val="autoZero"/>
        <auto val="1"/>
        <lblAlgn val="ctr"/>
        <lblOffset val="100"/>
        <noMultiLvlLbl val="0"/>
      </catAx>
      <valAx>
        <axId val="3711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56594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Cálculos!$E$32:$E$38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3637291"/>
        <axId val="57348907"/>
      </lineChart>
      <catAx>
        <axId val="8363729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348907"/>
        <crosses val="autoZero"/>
        <auto val="1"/>
        <lblAlgn val="ctr"/>
        <lblOffset val="100"/>
        <noMultiLvlLbl val="0"/>
      </catAx>
      <valAx>
        <axId val="57348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63729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Cálculos!$F$32:$F$38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8249295"/>
        <axId val="18335868"/>
      </lineChart>
      <catAx>
        <axId val="282492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8335868"/>
        <crosses val="autoZero"/>
        <auto val="1"/>
        <lblAlgn val="ctr"/>
        <lblOffset val="100"/>
        <noMultiLvlLbl val="0"/>
      </catAx>
      <valAx>
        <axId val="183358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24929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Cálculos!$G$32:$G$38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31846"/>
        <axId val="26969619"/>
      </lineChart>
      <catAx>
        <axId val="24318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969619"/>
        <crosses val="autoZero"/>
        <auto val="1"/>
        <lblAlgn val="ctr"/>
        <lblOffset val="100"/>
        <noMultiLvlLbl val="0"/>
      </catAx>
      <valAx>
        <axId val="269696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318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Cálculos!$H$32:$H$38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0299338"/>
        <axId val="99998607"/>
      </lineChart>
      <catAx>
        <axId val="302993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998607"/>
        <crosses val="autoZero"/>
        <auto val="1"/>
        <lblAlgn val="ctr"/>
        <lblOffset val="100"/>
        <noMultiLvlLbl val="0"/>
      </catAx>
      <valAx>
        <axId val="999986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02993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Cálculos!$I$32:$I$38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81690"/>
        <axId val="96753323"/>
      </lineChart>
      <catAx>
        <axId val="996816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6753323"/>
        <crosses val="autoZero"/>
        <auto val="1"/>
        <lblAlgn val="ctr"/>
        <lblOffset val="100"/>
        <noMultiLvlLbl val="0"/>
      </catAx>
      <valAx>
        <axId val="967533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816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Cálculos!$J$32:$J$38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6450072"/>
        <axId val="47210771"/>
      </lineChart>
      <catAx>
        <axId val="264500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210771"/>
        <crosses val="autoZero"/>
        <auto val="1"/>
        <lblAlgn val="ctr"/>
        <lblOffset val="100"/>
        <noMultiLvlLbl val="0"/>
      </catAx>
      <valAx>
        <axId val="4721077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4500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Cálculos!$K$32:$K$38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238260"/>
        <axId val="29580018"/>
      </lineChart>
      <catAx>
        <axId val="682382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580018"/>
        <crosses val="autoZero"/>
        <auto val="1"/>
        <lblAlgn val="ctr"/>
        <lblOffset val="100"/>
        <noMultiLvlLbl val="0"/>
      </catAx>
      <valAx>
        <axId val="295800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2382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Cálculos!$L$32:$L$38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6349281"/>
        <axId val="23050694"/>
      </lineChart>
      <catAx>
        <axId val="863492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050694"/>
        <crosses val="autoZero"/>
        <auto val="1"/>
        <lblAlgn val="ctr"/>
        <lblOffset val="100"/>
        <noMultiLvlLbl val="0"/>
      </catAx>
      <valAx>
        <axId val="230506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3492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Cálculos!$M$32:$M$38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37981"/>
        <axId val="66208717"/>
      </lineChart>
      <catAx>
        <axId val="626379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208717"/>
        <crosses val="autoZero"/>
        <auto val="1"/>
        <lblAlgn val="ctr"/>
        <lblOffset val="100"/>
        <noMultiLvlLbl val="0"/>
      </catAx>
      <valAx>
        <axId val="662087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379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Cálculos!$N$32:$N$38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57822909"/>
        <axId val="70649061"/>
      </barChart>
      <catAx>
        <axId val="5782290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0649061"/>
        <crosses val="autoZero"/>
        <auto val="1"/>
        <lblAlgn val="ctr"/>
        <lblOffset val="100"/>
        <noMultiLvlLbl val="0"/>
      </catAx>
      <valAx>
        <axId val="706490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822909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Cálculos!$O$32:$O$38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25555615"/>
        <axId val="35143918"/>
      </barChart>
      <catAx>
        <axId val="2555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143918"/>
        <crosses val="autoZero"/>
        <auto val="1"/>
        <lblAlgn val="ctr"/>
        <lblOffset val="100"/>
        <noMultiLvlLbl val="0"/>
      </catAx>
      <valAx>
        <axId val="351439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55561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Cálculos!$P$32:$P$38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2446"/>
        <axId val="41555528"/>
      </barChart>
      <catAx>
        <axId val="624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1555528"/>
        <crosses val="autoZero"/>
        <auto val="1"/>
        <lblAlgn val="ctr"/>
        <lblOffset val="100"/>
        <noMultiLvlLbl val="0"/>
      </catAx>
      <valAx>
        <axId val="4155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44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Cálculos!$Q$32:$Q$38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0471090"/>
        <axId val="82592205"/>
      </lineChart>
      <catAx>
        <axId val="104710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592205"/>
        <crosses val="autoZero"/>
        <auto val="1"/>
        <lblAlgn val="ctr"/>
        <lblOffset val="100"/>
        <noMultiLvlLbl val="0"/>
      </catAx>
      <valAx>
        <axId val="825922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4710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Cálculos!$R$32:$R$38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67551"/>
        <axId val="36557470"/>
      </lineChart>
      <catAx>
        <axId val="906755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557470"/>
        <crosses val="autoZero"/>
        <auto val="1"/>
        <lblAlgn val="ctr"/>
        <lblOffset val="100"/>
        <noMultiLvlLbl val="0"/>
      </catAx>
      <valAx>
        <axId val="3655747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6755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Cálculos!$S$32:$S$38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7393698"/>
        <axId val="48699917"/>
      </lineChart>
      <catAx>
        <axId val="973936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8699917"/>
        <crosses val="autoZero"/>
        <auto val="1"/>
        <lblAlgn val="ctr"/>
        <lblOffset val="100"/>
        <noMultiLvlLbl val="0"/>
      </catAx>
      <valAx>
        <axId val="486999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3936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Cálculos!$T$32:$T$38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288497"/>
        <axId val="13345334"/>
      </lineChart>
      <catAx>
        <axId val="392884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345334"/>
        <crosses val="autoZero"/>
        <auto val="1"/>
        <lblAlgn val="ctr"/>
        <lblOffset val="100"/>
        <noMultiLvlLbl val="0"/>
      </catAx>
      <valAx>
        <axId val="133453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2884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Cálculos!$D$42:$D$72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569411"/>
        <axId val="37819969"/>
      </lineChart>
      <catAx>
        <axId val="995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819969"/>
        <crosses val="autoZero"/>
        <auto val="1"/>
        <lblAlgn val="ctr"/>
        <lblOffset val="100"/>
        <noMultiLvlLbl val="0"/>
      </catAx>
      <valAx>
        <axId val="3781996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5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Cálculos!$E$42:$E$72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208890"/>
        <axId val="86037150"/>
      </lineChart>
      <catAx>
        <axId val="852088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037150"/>
        <crosses val="autoZero"/>
        <auto val="1"/>
        <lblAlgn val="ctr"/>
        <lblOffset val="100"/>
        <noMultiLvlLbl val="0"/>
      </catAx>
      <valAx>
        <axId val="860371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2088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Cálculos!$F$42:$F$72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191297"/>
        <axId val="36908864"/>
      </lineChart>
      <catAx>
        <axId val="511912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908864"/>
        <crosses val="autoZero"/>
        <auto val="1"/>
        <lblAlgn val="ctr"/>
        <lblOffset val="100"/>
        <noMultiLvlLbl val="0"/>
      </catAx>
      <valAx>
        <axId val="3690886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1912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Cálculos!$G$42:$G$72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969411"/>
        <axId val="81232397"/>
      </lineChart>
      <catAx>
        <axId val="649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1232397"/>
        <crosses val="autoZero"/>
        <auto val="1"/>
        <lblAlgn val="ctr"/>
        <lblOffset val="100"/>
        <noMultiLvlLbl val="0"/>
      </catAx>
      <valAx>
        <axId val="81232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9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Cálculos!$H$42:$H$72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9.699999999999999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274241"/>
        <axId val="2793363"/>
      </lineChart>
      <catAx>
        <axId val="6427424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93363"/>
        <crosses val="autoZero"/>
        <auto val="1"/>
        <lblAlgn val="ctr"/>
        <lblOffset val="100"/>
        <noMultiLvlLbl val="0"/>
      </catAx>
      <valAx>
        <axId val="279336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27424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Cálculos!$I$42:$I$72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13.83333333333333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0362668"/>
        <axId val="22499967"/>
      </lineChart>
      <catAx>
        <axId val="603626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2499967"/>
        <crosses val="autoZero"/>
        <auto val="1"/>
        <lblAlgn val="ctr"/>
        <lblOffset val="100"/>
        <noMultiLvlLbl val="0"/>
      </catAx>
      <valAx>
        <axId val="2249996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03626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Cálculos!$J$42:$J$72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388983"/>
        <axId val="42870220"/>
      </lineChart>
      <catAx>
        <axId val="503889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2870220"/>
        <crosses val="autoZero"/>
        <auto val="1"/>
        <lblAlgn val="ctr"/>
        <lblOffset val="100"/>
        <noMultiLvlLbl val="0"/>
      </catAx>
      <valAx>
        <axId val="4287022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38898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Cálculos!$K$42:$K$72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86.33333333333333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402584"/>
        <axId val="1923642"/>
      </lineChart>
      <catAx>
        <axId val="734025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23642"/>
        <crosses val="autoZero"/>
        <auto val="1"/>
        <lblAlgn val="ctr"/>
        <lblOffset val="100"/>
        <noMultiLvlLbl val="0"/>
      </catAx>
      <valAx>
        <axId val="19236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4025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Cálculos!$L$42:$L$72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752323"/>
        <axId val="5848739"/>
      </lineChart>
      <catAx>
        <axId val="9075232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739"/>
        <crosses val="autoZero"/>
        <auto val="1"/>
        <lblAlgn val="ctr"/>
        <lblOffset val="100"/>
        <noMultiLvlLbl val="0"/>
      </catAx>
      <valAx>
        <axId val="58487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75232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Cálculos!$M$42:$M$72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191718"/>
        <axId val="58482415"/>
      </lineChart>
      <catAx>
        <axId val="6819171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2415"/>
        <crosses val="autoZero"/>
        <auto val="1"/>
        <lblAlgn val="ctr"/>
        <lblOffset val="100"/>
        <noMultiLvlLbl val="0"/>
      </catAx>
      <valAx>
        <axId val="5848241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19171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Cálculos!$N$42:$N$72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3805683"/>
        <axId val="43280331"/>
      </barChart>
      <catAx>
        <axId val="638056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280331"/>
        <crosses val="autoZero"/>
        <auto val="1"/>
        <lblAlgn val="ctr"/>
        <lblOffset val="100"/>
        <noMultiLvlLbl val="0"/>
      </catAx>
      <valAx>
        <axId val="43280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805683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Cálculos!$O$42:$O$72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35.09999999999999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1466795"/>
        <axId val="5659219"/>
      </barChart>
      <catAx>
        <axId val="114667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9219"/>
        <crosses val="autoZero"/>
        <auto val="1"/>
        <lblAlgn val="ctr"/>
        <lblOffset val="100"/>
        <noMultiLvlLbl val="0"/>
      </catAx>
      <valAx>
        <axId val="56592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146679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Cálculos!$P$42:$P$72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44725832"/>
        <axId val="26729101"/>
      </barChart>
      <catAx>
        <axId val="4472583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729101"/>
        <crosses val="autoZero"/>
        <auto val="1"/>
        <lblAlgn val="ctr"/>
        <lblOffset val="100"/>
        <noMultiLvlLbl val="0"/>
      </catAx>
      <valAx>
        <axId val="2672910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725832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Cálculos!$Q$42:$Q$72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4.433333333333334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6412868"/>
        <axId val="76627586"/>
      </lineChart>
      <catAx>
        <axId val="464128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627586"/>
        <crosses val="autoZero"/>
        <auto val="1"/>
        <lblAlgn val="ctr"/>
        <lblOffset val="100"/>
        <noMultiLvlLbl val="0"/>
      </catAx>
      <valAx>
        <axId val="7662758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64128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Cálculos!$R$42:$R$72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5.5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741766"/>
        <axId val="78946062"/>
      </lineChart>
      <catAx>
        <axId val="257417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946062"/>
        <crosses val="autoZero"/>
        <auto val="1"/>
        <lblAlgn val="ctr"/>
        <lblOffset val="100"/>
        <noMultiLvlLbl val="0"/>
      </catAx>
      <valAx>
        <axId val="789460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7417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Cálculos!$S$42:$S$72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73094"/>
        <axId val="7461473"/>
      </lineChart>
      <catAx>
        <axId val="6267309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61473"/>
        <crosses val="autoZero"/>
        <auto val="1"/>
        <lblAlgn val="ctr"/>
        <lblOffset val="100"/>
        <noMultiLvlLbl val="0"/>
      </catAx>
      <valAx>
        <axId val="746147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7309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Cálculos!$T$42:$T$72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100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5686992"/>
        <axId val="17569691"/>
      </lineChart>
      <catAx>
        <axId val="556869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569691"/>
        <crosses val="autoZero"/>
        <auto val="1"/>
        <lblAlgn val="ctr"/>
        <lblOffset val="100"/>
        <noMultiLvlLbl val="0"/>
      </catAx>
      <valAx>
        <axId val="17569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56869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Cálculos!$D$76:$D$87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7997920"/>
        <axId val="40920134"/>
      </lineChart>
      <catAx>
        <axId val="679979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920134"/>
        <crosses val="autoZero"/>
        <auto val="1"/>
        <lblAlgn val="ctr"/>
        <lblOffset val="100"/>
        <noMultiLvlLbl val="0"/>
      </catAx>
      <valAx>
        <axId val="409201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9979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Cálculos!$E$76:$E$87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164237"/>
        <axId val="12670762"/>
      </lineChart>
      <catAx>
        <axId val="731642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670762"/>
        <crosses val="autoZero"/>
        <auto val="1"/>
        <lblAlgn val="ctr"/>
        <lblOffset val="100"/>
        <noMultiLvlLbl val="0"/>
      </catAx>
      <valAx>
        <axId val="126707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1642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Cálculos!$F$76:$F$87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6520238"/>
        <axId val="27158206"/>
      </lineChart>
      <catAx>
        <axId val="565202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158206"/>
        <crosses val="autoZero"/>
        <auto val="1"/>
        <lblAlgn val="ctr"/>
        <lblOffset val="100"/>
        <noMultiLvlLbl val="0"/>
      </catAx>
      <valAx>
        <axId val="2715820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202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Cálculos!$G$76:$G$87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2787834"/>
        <axId val="93133003"/>
      </lineChart>
      <catAx>
        <axId val="827878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133003"/>
        <crosses val="autoZero"/>
        <auto val="1"/>
        <lblAlgn val="ctr"/>
        <lblOffset val="100"/>
        <noMultiLvlLbl val="0"/>
      </catAx>
      <valAx>
        <axId val="9313300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7878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Cálculos!$H$76:$H$87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2029484"/>
        <axId val="93214574"/>
      </lineChart>
      <catAx>
        <axId val="920294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214574"/>
        <crosses val="autoZero"/>
        <auto val="1"/>
        <lblAlgn val="ctr"/>
        <lblOffset val="100"/>
        <noMultiLvlLbl val="0"/>
      </catAx>
      <valAx>
        <axId val="932145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294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Cálculos!$I$76:$I$87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3393437"/>
        <axId val="61852398"/>
      </lineChart>
      <catAx>
        <axId val="333934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852398"/>
        <crosses val="autoZero"/>
        <auto val="1"/>
        <lblAlgn val="ctr"/>
        <lblOffset val="100"/>
        <noMultiLvlLbl val="0"/>
      </catAx>
      <valAx>
        <axId val="6185239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33934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Cálculos!$J$76:$J$87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394210"/>
        <axId val="92674705"/>
      </lineChart>
      <catAx>
        <axId val="3939421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674705"/>
        <crosses val="autoZero"/>
        <auto val="1"/>
        <lblAlgn val="ctr"/>
        <lblOffset val="100"/>
        <noMultiLvlLbl val="0"/>
      </catAx>
      <valAx>
        <axId val="926747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39421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Cálculos!$K$76:$K$87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698836"/>
        <axId val="45985495"/>
      </lineChart>
      <catAx>
        <axId val="246988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985495"/>
        <crosses val="autoZero"/>
        <auto val="1"/>
        <lblAlgn val="ctr"/>
        <lblOffset val="100"/>
        <noMultiLvlLbl val="0"/>
      </catAx>
      <valAx>
        <axId val="4598549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6988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Cálculos!$L$76:$L$87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16597"/>
        <axId val="1398288"/>
      </lineChart>
      <catAx>
        <axId val="996165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98288"/>
        <crosses val="autoZero"/>
        <auto val="1"/>
        <lblAlgn val="ctr"/>
        <lblOffset val="100"/>
        <noMultiLvlLbl val="0"/>
      </catAx>
      <valAx>
        <axId val="13982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165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Cálculos!$M$76:$M$87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661"/>
        <axId val="25619261"/>
      </lineChart>
      <catAx>
        <axId val="1202266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619261"/>
        <crosses val="autoZero"/>
        <auto val="1"/>
        <lblAlgn val="ctr"/>
        <lblOffset val="100"/>
        <noMultiLvlLbl val="0"/>
      </catAx>
      <valAx>
        <axId val="256192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66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Cálculos!$N$76:$N$87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4153174"/>
        <axId val="17368474"/>
      </barChart>
      <catAx>
        <axId val="8415317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368474"/>
        <crosses val="autoZero"/>
        <auto val="1"/>
        <lblAlgn val="ctr"/>
        <lblOffset val="100"/>
        <noMultiLvlLbl val="0"/>
      </catAx>
      <valAx>
        <axId val="173684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15317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Cálculos!$O$76:$O$87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119667"/>
        <axId val="97274791"/>
      </barChart>
      <catAx>
        <axId val="7211966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274791"/>
        <crosses val="autoZero"/>
        <auto val="1"/>
        <lblAlgn val="ctr"/>
        <lblOffset val="100"/>
        <noMultiLvlLbl val="0"/>
      </catAx>
      <valAx>
        <axId val="972747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119667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Cálculos!$P$76:$P$87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9697070"/>
        <axId val="29149588"/>
      </barChart>
      <catAx>
        <axId val="8969707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149588"/>
        <crosses val="autoZero"/>
        <auto val="1"/>
        <lblAlgn val="ctr"/>
        <lblOffset val="100"/>
        <noMultiLvlLbl val="0"/>
      </catAx>
      <valAx>
        <axId val="291495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69707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Cálculos!$Q$76:$Q$87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0869292"/>
        <axId val="92000668"/>
      </lineChart>
      <catAx>
        <axId val="808692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00668"/>
        <crosses val="autoZero"/>
        <auto val="1"/>
        <lblAlgn val="ctr"/>
        <lblOffset val="100"/>
        <noMultiLvlLbl val="0"/>
      </catAx>
      <valAx>
        <axId val="920006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8692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Cálculos!$R$76:$R$87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214601"/>
        <axId val="28024541"/>
      </lineChart>
      <catAx>
        <axId val="1221460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024541"/>
        <crosses val="autoZero"/>
        <auto val="1"/>
        <lblAlgn val="ctr"/>
        <lblOffset val="100"/>
        <noMultiLvlLbl val="0"/>
      </catAx>
      <valAx>
        <axId val="280245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21460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Cálculos!$S$76:$S$87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380"/>
        <axId val="88878450"/>
      </lineChart>
      <catAx>
        <axId val="1202238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8878450"/>
        <crosses val="autoZero"/>
        <auto val="1"/>
        <lblAlgn val="ctr"/>
        <lblOffset val="100"/>
        <noMultiLvlLbl val="0"/>
      </catAx>
      <valAx>
        <axId val="888784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38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Cálculos!$T$76:$T$87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0322120"/>
        <axId val="77002094"/>
      </lineChart>
      <catAx>
        <axId val="403221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7002094"/>
        <crosses val="autoZero"/>
        <auto val="1"/>
        <lblAlgn val="ctr"/>
        <lblOffset val="100"/>
        <noMultiLvlLbl val="0"/>
      </catAx>
      <valAx>
        <axId val="77002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3221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Cálculos!$D$91:$D$126</f>
              <numCache>
                <formatCode>General</formatCode>
                <ptCount val="36"/>
                <pt idx="0">
                  <v>15.3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124440"/>
        <axId val="94503654"/>
      </lineChart>
      <catAx>
        <axId val="391244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503654"/>
        <crosses val="autoZero"/>
        <auto val="1"/>
        <lblAlgn val="ctr"/>
        <lblOffset val="100"/>
        <noMultiLvlLbl val="0"/>
      </catAx>
      <valAx>
        <axId val="945036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1244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Cálculos!$E$91:$E$126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7953550"/>
        <axId val="2376030"/>
      </lineChart>
      <catAx>
        <axId val="479535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76030"/>
        <crosses val="autoZero"/>
        <auto val="1"/>
        <lblAlgn val="ctr"/>
        <lblOffset val="100"/>
        <noMultiLvlLbl val="0"/>
      </catAx>
      <valAx>
        <axId val="23760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9535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Cálculos!$F$91:$F$126</f>
              <numCache>
                <formatCode>General</formatCode>
                <ptCount val="36"/>
                <pt idx="0">
                  <v>15.4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378002"/>
        <axId val="45767097"/>
      </lineChart>
      <catAx>
        <axId val="683780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767097"/>
        <crosses val="autoZero"/>
        <auto val="1"/>
        <lblAlgn val="ctr"/>
        <lblOffset val="100"/>
        <noMultiLvlLbl val="0"/>
      </catAx>
      <valAx>
        <axId val="457670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3780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Cálculos!$G$91:$G$126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9778673"/>
        <axId val="14667736"/>
      </lineChart>
      <catAx>
        <axId val="4977867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667736"/>
        <crosses val="autoZero"/>
        <auto val="1"/>
        <lblAlgn val="ctr"/>
        <lblOffset val="100"/>
        <noMultiLvlLbl val="0"/>
      </catAx>
      <valAx>
        <axId val="1466773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977867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Cálculos!$H$91:$H$126</f>
              <numCache>
                <formatCode>General</formatCode>
                <ptCount val="36"/>
                <pt idx="0">
                  <v>9.699999999999999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6691434"/>
        <axId val="3111691"/>
      </lineChart>
      <catAx>
        <axId val="366914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111691"/>
        <crosses val="autoZero"/>
        <auto val="1"/>
        <lblAlgn val="ctr"/>
        <lblOffset val="100"/>
        <noMultiLvlLbl val="0"/>
      </catAx>
      <valAx>
        <axId val="3111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6914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Cálculos!$I$91:$I$126</f>
              <numCache>
                <formatCode>General</formatCode>
                <ptCount val="36"/>
                <pt idx="0">
                  <v>13.83333333333333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6339902"/>
        <axId val="79843094"/>
      </lineChart>
      <catAx>
        <axId val="663399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9843094"/>
        <crosses val="autoZero"/>
        <auto val="1"/>
        <lblAlgn val="ctr"/>
        <lblOffset val="100"/>
        <noMultiLvlLbl val="0"/>
      </catAx>
      <valAx>
        <axId val="79843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3399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Cálculos!$J$91:$J$126</f>
              <numCache>
                <formatCode>General</formatCode>
                <ptCount val="36"/>
                <pt idx="0">
                  <v>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4496634"/>
        <axId val="76052921"/>
      </lineChart>
      <catAx>
        <axId val="544966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052921"/>
        <crosses val="autoZero"/>
        <auto val="1"/>
        <lblAlgn val="ctr"/>
        <lblOffset val="100"/>
        <noMultiLvlLbl val="0"/>
      </catAx>
      <valAx>
        <axId val="7605292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44966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Cálculos!$K$91:$K$126</f>
              <numCache>
                <formatCode>General</formatCode>
                <ptCount val="36"/>
                <pt idx="0">
                  <v>86.33333333333333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8510050"/>
        <axId val="35418623"/>
      </lineChart>
      <catAx>
        <axId val="385100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418623"/>
        <crosses val="autoZero"/>
        <auto val="1"/>
        <lblAlgn val="ctr"/>
        <lblOffset val="100"/>
        <noMultiLvlLbl val="0"/>
      </catAx>
      <valAx>
        <axId val="354186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5100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Cálculos!$L$91:$L$126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395506"/>
        <axId val="45387238"/>
      </lineChart>
      <catAx>
        <axId val="253955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387238"/>
        <crosses val="autoZero"/>
        <auto val="1"/>
        <lblAlgn val="ctr"/>
        <lblOffset val="100"/>
        <noMultiLvlLbl val="0"/>
      </catAx>
      <valAx>
        <axId val="4538723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3955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Cálculos!$M$91:$M$126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421363"/>
        <axId val="21133184"/>
      </lineChart>
      <catAx>
        <axId val="8542136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1133184"/>
        <crosses val="autoZero"/>
        <auto val="1"/>
        <lblAlgn val="ctr"/>
        <lblOffset val="100"/>
        <noMultiLvlLbl val="0"/>
      </catAx>
      <valAx>
        <axId val="211331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42136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B5ED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B5ED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Cálculos!$N$91:$N$126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7467231"/>
        <axId val="91819347"/>
      </lineChart>
      <catAx>
        <axId val="2746723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819347"/>
        <crosses val="autoZero"/>
        <auto val="1"/>
        <lblAlgn val="ctr"/>
        <lblOffset val="100"/>
        <noMultiLvlLbl val="0"/>
      </catAx>
      <valAx>
        <axId val="9181934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46723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E86D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E86D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Cálculos!$O$91:$O$126</f>
              <numCache>
                <formatCode>General</formatCode>
                <ptCount val="36"/>
                <pt idx="0">
                  <v>35.09999999999999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956998"/>
        <axId val="58272060"/>
      </lineChart>
      <catAx>
        <axId val="19569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272060"/>
        <crosses val="autoZero"/>
        <auto val="1"/>
        <lblAlgn val="ctr"/>
        <lblOffset val="100"/>
        <noMultiLvlLbl val="0"/>
      </catAx>
      <valAx>
        <axId val="5827206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569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54A0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54A0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Cálculos!$P$91:$P$126</f>
              <numCache>
                <formatCode>General</formatCode>
                <ptCount val="36"/>
                <pt idx="0">
                  <v>1.4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008747"/>
        <axId val="14038784"/>
      </lineChart>
      <catAx>
        <axId val="6400874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038784"/>
        <crosses val="autoZero"/>
        <auto val="1"/>
        <lblAlgn val="ctr"/>
        <lblOffset val="100"/>
        <noMultiLvlLbl val="0"/>
      </catAx>
      <valAx>
        <axId val="140387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00874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Cálculos!$Q$91:$Q$126</f>
              <numCache>
                <formatCode>General</formatCode>
                <ptCount val="36"/>
                <pt idx="0">
                  <v>4.433333333333334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2829485"/>
        <axId val="64776852"/>
      </lineChart>
      <catAx>
        <axId val="5282948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776852"/>
        <crosses val="autoZero"/>
        <auto val="1"/>
        <lblAlgn val="ctr"/>
        <lblOffset val="100"/>
        <noMultiLvlLbl val="0"/>
      </catAx>
      <valAx>
        <axId val="6477685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282948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Cálculos!$R$91:$R$126</f>
              <numCache>
                <formatCode>General</formatCode>
                <ptCount val="36"/>
                <pt idx="0">
                  <v>5.5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248406"/>
        <axId val="90582888"/>
      </lineChart>
      <catAx>
        <axId val="842484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582888"/>
        <crosses val="autoZero"/>
        <auto val="1"/>
        <lblAlgn val="ctr"/>
        <lblOffset val="100"/>
        <noMultiLvlLbl val="0"/>
      </catAx>
      <valAx>
        <axId val="905828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2484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Cálculos!$S$91:$S$126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431940"/>
        <axId val="44851610"/>
      </lineChart>
      <catAx>
        <axId val="844319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851610"/>
        <crosses val="autoZero"/>
        <auto val="1"/>
        <lblAlgn val="ctr"/>
        <lblOffset val="100"/>
        <noMultiLvlLbl val="0"/>
      </catAx>
      <valAx>
        <axId val="4485161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4319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Cálculos!$T$91:$T$126</f>
              <numCache>
                <formatCode>General</formatCode>
                <ptCount val="36"/>
                <pt idx="0">
                  <v>100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929772"/>
        <axId val="15721907"/>
      </lineChart>
      <catAx>
        <axId val="239297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721907"/>
        <crosses val="autoZero"/>
        <auto val="1"/>
        <lblAlgn val="ctr"/>
        <lblOffset val="100"/>
        <noMultiLvlLbl val="0"/>
      </catAx>
      <valAx>
        <axId val="15721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9297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Relationship Type="http://schemas.openxmlformats.org/officeDocument/2006/relationships/chart" Target="/xl/charts/chart11.xml" Id="rId11" /><Relationship Type="http://schemas.openxmlformats.org/officeDocument/2006/relationships/chart" Target="/xl/charts/chart12.xml" Id="rId12" /><Relationship Type="http://schemas.openxmlformats.org/officeDocument/2006/relationships/chart" Target="/xl/charts/chart13.xml" Id="rId13" /><Relationship Type="http://schemas.openxmlformats.org/officeDocument/2006/relationships/chart" Target="/xl/charts/chart14.xml" Id="rId14" /><Relationship Type="http://schemas.openxmlformats.org/officeDocument/2006/relationships/chart" Target="/xl/charts/chart15.xml" Id="rId15" /><Relationship Type="http://schemas.openxmlformats.org/officeDocument/2006/relationships/chart" Target="/xl/charts/chart16.xml" Id="rId16" /><Relationship Type="http://schemas.openxmlformats.org/officeDocument/2006/relationships/chart" Target="/xl/charts/chart17.xml" Id="rId17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18.xml" Id="rId1" /><Relationship Type="http://schemas.openxmlformats.org/officeDocument/2006/relationships/chart" Target="/xl/charts/chart19.xml" Id="rId2" /><Relationship Type="http://schemas.openxmlformats.org/officeDocument/2006/relationships/chart" Target="/xl/charts/chart20.xml" Id="rId3" /><Relationship Type="http://schemas.openxmlformats.org/officeDocument/2006/relationships/chart" Target="/xl/charts/chart21.xml" Id="rId4" /><Relationship Type="http://schemas.openxmlformats.org/officeDocument/2006/relationships/chart" Target="/xl/charts/chart22.xml" Id="rId5" /><Relationship Type="http://schemas.openxmlformats.org/officeDocument/2006/relationships/chart" Target="/xl/charts/chart23.xml" Id="rId6" /><Relationship Type="http://schemas.openxmlformats.org/officeDocument/2006/relationships/chart" Target="/xl/charts/chart24.xml" Id="rId7" /><Relationship Type="http://schemas.openxmlformats.org/officeDocument/2006/relationships/chart" Target="/xl/charts/chart25.xml" Id="rId8" /><Relationship Type="http://schemas.openxmlformats.org/officeDocument/2006/relationships/chart" Target="/xl/charts/chart26.xml" Id="rId9" /><Relationship Type="http://schemas.openxmlformats.org/officeDocument/2006/relationships/chart" Target="/xl/charts/chart27.xml" Id="rId10" /><Relationship Type="http://schemas.openxmlformats.org/officeDocument/2006/relationships/chart" Target="/xl/charts/chart28.xml" Id="rId11" /><Relationship Type="http://schemas.openxmlformats.org/officeDocument/2006/relationships/chart" Target="/xl/charts/chart29.xml" Id="rId12" /><Relationship Type="http://schemas.openxmlformats.org/officeDocument/2006/relationships/chart" Target="/xl/charts/chart30.xml" Id="rId13" /><Relationship Type="http://schemas.openxmlformats.org/officeDocument/2006/relationships/chart" Target="/xl/charts/chart31.xml" Id="rId14" /><Relationship Type="http://schemas.openxmlformats.org/officeDocument/2006/relationships/chart" Target="/xl/charts/chart32.xml" Id="rId15" /><Relationship Type="http://schemas.openxmlformats.org/officeDocument/2006/relationships/chart" Target="/xl/charts/chart33.xml" Id="rId16" /><Relationship Type="http://schemas.openxmlformats.org/officeDocument/2006/relationships/chart" Target="/xl/charts/chart34.xml" Id="rId17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35.xml" Id="rId1" /><Relationship Type="http://schemas.openxmlformats.org/officeDocument/2006/relationships/chart" Target="/xl/charts/chart36.xml" Id="rId2" /><Relationship Type="http://schemas.openxmlformats.org/officeDocument/2006/relationships/chart" Target="/xl/charts/chart37.xml" Id="rId3" /><Relationship Type="http://schemas.openxmlformats.org/officeDocument/2006/relationships/chart" Target="/xl/charts/chart38.xml" Id="rId4" /><Relationship Type="http://schemas.openxmlformats.org/officeDocument/2006/relationships/chart" Target="/xl/charts/chart39.xml" Id="rId5" /><Relationship Type="http://schemas.openxmlformats.org/officeDocument/2006/relationships/chart" Target="/xl/charts/chart40.xml" Id="rId6" /><Relationship Type="http://schemas.openxmlformats.org/officeDocument/2006/relationships/chart" Target="/xl/charts/chart41.xml" Id="rId7" /><Relationship Type="http://schemas.openxmlformats.org/officeDocument/2006/relationships/chart" Target="/xl/charts/chart42.xml" Id="rId8" /><Relationship Type="http://schemas.openxmlformats.org/officeDocument/2006/relationships/chart" Target="/xl/charts/chart43.xml" Id="rId9" /><Relationship Type="http://schemas.openxmlformats.org/officeDocument/2006/relationships/chart" Target="/xl/charts/chart44.xml" Id="rId10" /><Relationship Type="http://schemas.openxmlformats.org/officeDocument/2006/relationships/chart" Target="/xl/charts/chart45.xml" Id="rId11" /><Relationship Type="http://schemas.openxmlformats.org/officeDocument/2006/relationships/chart" Target="/xl/charts/chart46.xml" Id="rId12" /><Relationship Type="http://schemas.openxmlformats.org/officeDocument/2006/relationships/chart" Target="/xl/charts/chart47.xml" Id="rId13" /><Relationship Type="http://schemas.openxmlformats.org/officeDocument/2006/relationships/chart" Target="/xl/charts/chart48.xml" Id="rId14" /><Relationship Type="http://schemas.openxmlformats.org/officeDocument/2006/relationships/chart" Target="/xl/charts/chart49.xml" Id="rId15" /><Relationship Type="http://schemas.openxmlformats.org/officeDocument/2006/relationships/chart" Target="/xl/charts/chart50.xml" Id="rId16" /><Relationship Type="http://schemas.openxmlformats.org/officeDocument/2006/relationships/chart" Target="/xl/charts/chart51.xml" Id="rId17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52.xml" Id="rId1" /><Relationship Type="http://schemas.openxmlformats.org/officeDocument/2006/relationships/chart" Target="/xl/charts/chart53.xml" Id="rId2" /><Relationship Type="http://schemas.openxmlformats.org/officeDocument/2006/relationships/chart" Target="/xl/charts/chart54.xml" Id="rId3" /><Relationship Type="http://schemas.openxmlformats.org/officeDocument/2006/relationships/chart" Target="/xl/charts/chart55.xml" Id="rId4" /><Relationship Type="http://schemas.openxmlformats.org/officeDocument/2006/relationships/chart" Target="/xl/charts/chart56.xml" Id="rId5" /><Relationship Type="http://schemas.openxmlformats.org/officeDocument/2006/relationships/chart" Target="/xl/charts/chart57.xml" Id="rId6" /><Relationship Type="http://schemas.openxmlformats.org/officeDocument/2006/relationships/chart" Target="/xl/charts/chart58.xml" Id="rId7" /><Relationship Type="http://schemas.openxmlformats.org/officeDocument/2006/relationships/chart" Target="/xl/charts/chart59.xml" Id="rId8" /><Relationship Type="http://schemas.openxmlformats.org/officeDocument/2006/relationships/chart" Target="/xl/charts/chart60.xml" Id="rId9" /><Relationship Type="http://schemas.openxmlformats.org/officeDocument/2006/relationships/chart" Target="/xl/charts/chart61.xml" Id="rId10" /><Relationship Type="http://schemas.openxmlformats.org/officeDocument/2006/relationships/chart" Target="/xl/charts/chart62.xml" Id="rId11" /><Relationship Type="http://schemas.openxmlformats.org/officeDocument/2006/relationships/chart" Target="/xl/charts/chart63.xml" Id="rId12" /><Relationship Type="http://schemas.openxmlformats.org/officeDocument/2006/relationships/chart" Target="/xl/charts/chart64.xml" Id="rId13" /><Relationship Type="http://schemas.openxmlformats.org/officeDocument/2006/relationships/chart" Target="/xl/charts/chart65.xml" Id="rId14" /><Relationship Type="http://schemas.openxmlformats.org/officeDocument/2006/relationships/chart" Target="/xl/charts/chart66.xml" Id="rId15" /><Relationship Type="http://schemas.openxmlformats.org/officeDocument/2006/relationships/chart" Target="/xl/charts/chart67.xml" Id="rId16" /><Relationship Type="http://schemas.openxmlformats.org/officeDocument/2006/relationships/chart" Target="/xl/charts/chart68.xml" Id="rId17" /></Relationships>
</file>

<file path=xl/drawings/_rels/drawing5.xml.rels><Relationships xmlns="http://schemas.openxmlformats.org/package/2006/relationships"><Relationship Type="http://schemas.openxmlformats.org/officeDocument/2006/relationships/chart" Target="/xl/charts/chart69.xml" Id="rId1" /><Relationship Type="http://schemas.openxmlformats.org/officeDocument/2006/relationships/chart" Target="/xl/charts/chart70.xml" Id="rId2" /><Relationship Type="http://schemas.openxmlformats.org/officeDocument/2006/relationships/chart" Target="/xl/charts/chart71.xml" Id="rId3" /><Relationship Type="http://schemas.openxmlformats.org/officeDocument/2006/relationships/chart" Target="/xl/charts/chart72.xml" Id="rId4" /><Relationship Type="http://schemas.openxmlformats.org/officeDocument/2006/relationships/chart" Target="/xl/charts/chart73.xml" Id="rId5" /><Relationship Type="http://schemas.openxmlformats.org/officeDocument/2006/relationships/chart" Target="/xl/charts/chart74.xml" Id="rId6" /><Relationship Type="http://schemas.openxmlformats.org/officeDocument/2006/relationships/chart" Target="/xl/charts/chart75.xml" Id="rId7" /><Relationship Type="http://schemas.openxmlformats.org/officeDocument/2006/relationships/chart" Target="/xl/charts/chart76.xml" Id="rId8" /><Relationship Type="http://schemas.openxmlformats.org/officeDocument/2006/relationships/chart" Target="/xl/charts/chart77.xml" Id="rId9" /><Relationship Type="http://schemas.openxmlformats.org/officeDocument/2006/relationships/chart" Target="/xl/charts/chart78.xml" Id="rId10" /><Relationship Type="http://schemas.openxmlformats.org/officeDocument/2006/relationships/chart" Target="/xl/charts/chart79.xml" Id="rId11" /><Relationship Type="http://schemas.openxmlformats.org/officeDocument/2006/relationships/chart" Target="/xl/charts/chart80.xml" Id="rId12" /><Relationship Type="http://schemas.openxmlformats.org/officeDocument/2006/relationships/chart" Target="/xl/charts/chart81.xml" Id="rId13" /><Relationship Type="http://schemas.openxmlformats.org/officeDocument/2006/relationships/chart" Target="/xl/charts/chart82.xml" Id="rId14" /><Relationship Type="http://schemas.openxmlformats.org/officeDocument/2006/relationships/chart" Target="/xl/charts/chart83.xml" Id="rId15" /><Relationship Type="http://schemas.openxmlformats.org/officeDocument/2006/relationships/chart" Target="/xl/charts/chart84.xml" Id="rId16" /><Relationship Type="http://schemas.openxmlformats.org/officeDocument/2006/relationships/chart" Target="/xl/charts/chart85.xml" Id="rId17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220635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220635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220635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220635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220635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220635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220635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220635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5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C85"/>
  <sheetViews>
    <sheetView tabSelected="1" zoomScaleNormal="100" workbookViewId="0">
      <pane ySplit="1" topLeftCell="A2" activePane="bottomLeft" state="frozen"/>
      <selection pane="bottomLeft" activeCell="A5" sqref="A5"/>
    </sheetView>
  </sheetViews>
  <sheetFormatPr baseColWidth="8" defaultColWidth="8.7109375" defaultRowHeight="15"/>
  <cols>
    <col width="21" customWidth="1" min="1" max="1"/>
    <col width="23" customWidth="1" min="2" max="2"/>
    <col width="20" customWidth="1" min="3" max="3"/>
    <col width="21" customWidth="1" min="4" max="4"/>
    <col width="16" customWidth="1" min="5" max="5"/>
    <col width="15" customWidth="1" min="6" max="6"/>
    <col width="12" customWidth="1" min="7" max="7"/>
    <col width="18" customWidth="1" min="8" max="8"/>
    <col width="20" customWidth="1" min="9" max="11"/>
    <col width="16" customWidth="1" min="12" max="12"/>
    <col width="15" customWidth="1" min="13" max="13"/>
    <col width="23" customWidth="1" min="14" max="14"/>
    <col width="10" customWidth="1" min="15" max="16"/>
    <col width="11" customWidth="1" min="17" max="17"/>
    <col width="19" customWidth="1" min="18" max="18"/>
    <col width="14" customWidth="1" min="19" max="19"/>
    <col width="23" customWidth="1" min="20" max="20"/>
    <col width="25" customWidth="1" min="21" max="23"/>
    <col width="19" customWidth="1" min="24" max="24"/>
    <col width="10" customWidth="1" min="25" max="25"/>
    <col width="17" customWidth="1" min="26" max="26"/>
    <col width="15" customWidth="1" min="27" max="27"/>
    <col width="16" customWidth="1" min="28" max="28"/>
    <col width="24" customWidth="1" min="29" max="29"/>
  </cols>
  <sheetData>
    <row r="1">
      <c r="A1" s="1" t="inlineStr">
        <is>
          <t>timestamp</t>
        </is>
      </c>
      <c r="B1" s="1" t="inlineStr">
        <is>
          <t>atmospheric_pressture</t>
        </is>
      </c>
      <c r="C1" s="1" t="inlineStr">
        <is>
          <t>battery_percentage</t>
        </is>
      </c>
      <c r="D1" s="1" t="inlineStr">
        <is>
          <t>bright_unit_convert</t>
        </is>
      </c>
      <c r="E1" s="1" t="inlineStr">
        <is>
          <t>dew_point_temp</t>
        </is>
      </c>
      <c r="F1" s="1" t="inlineStr">
        <is>
          <t>feellike_temp</t>
        </is>
      </c>
      <c r="G1" s="1" t="inlineStr">
        <is>
          <t>heat_index</t>
        </is>
      </c>
      <c r="H1" s="1" t="inlineStr">
        <is>
          <t>humidity_outdoor</t>
        </is>
      </c>
      <c r="I1" s="1" t="inlineStr">
        <is>
          <t>humidity_outdoor_1</t>
        </is>
      </c>
      <c r="J1" s="1" t="inlineStr">
        <is>
          <t>humidity_outdoor_2</t>
        </is>
      </c>
      <c r="K1" s="1" t="inlineStr">
        <is>
          <t>humidity_outdoor_3</t>
        </is>
      </c>
      <c r="L1" s="1" t="inlineStr">
        <is>
          <t>humidity_value</t>
        </is>
      </c>
      <c r="M1" s="1" t="inlineStr">
        <is>
          <t>pressure_drop</t>
        </is>
      </c>
      <c r="N1" s="1" t="inlineStr">
        <is>
          <t>pressure_unit_convert</t>
        </is>
      </c>
      <c r="O1" s="1" t="inlineStr">
        <is>
          <t>rain_1h</t>
        </is>
      </c>
      <c r="P1" s="1" t="inlineStr">
        <is>
          <t>rain_24h</t>
        </is>
      </c>
      <c r="Q1" s="1" t="inlineStr">
        <is>
          <t>rain_rate</t>
        </is>
      </c>
      <c r="R1" s="1" t="inlineStr">
        <is>
          <t>rain_unit_convert</t>
        </is>
      </c>
      <c r="S1" s="1" t="inlineStr">
        <is>
          <t>temp_current</t>
        </is>
      </c>
      <c r="T1" s="1" t="inlineStr">
        <is>
          <t>temp_current_external</t>
        </is>
      </c>
      <c r="U1" s="1" t="inlineStr">
        <is>
          <t>temp_current_external_1</t>
        </is>
      </c>
      <c r="V1" s="1" t="inlineStr">
        <is>
          <t>temp_current_external_2</t>
        </is>
      </c>
      <c r="W1" s="1" t="inlineStr">
        <is>
          <t>temp_current_external_3</t>
        </is>
      </c>
      <c r="X1" s="1" t="inlineStr">
        <is>
          <t>temp_unit_convert</t>
        </is>
      </c>
      <c r="Y1" s="1" t="inlineStr">
        <is>
          <t>uv_index</t>
        </is>
      </c>
      <c r="Z1" s="1" t="inlineStr">
        <is>
          <t>windchill_index</t>
        </is>
      </c>
      <c r="AA1" s="1" t="inlineStr">
        <is>
          <t>windspeed_avg</t>
        </is>
      </c>
      <c r="AB1" s="1" t="inlineStr">
        <is>
          <t>windspeed_gust</t>
        </is>
      </c>
      <c r="AC1" s="1" t="inlineStr">
        <is>
          <t>windspeed_unit_convert</t>
        </is>
      </c>
    </row>
    <row r="2">
      <c r="A2" t="inlineStr">
        <is>
          <t>2026-07-11 18:39:26</t>
        </is>
      </c>
      <c r="B2" t="n">
        <v>995</v>
      </c>
      <c r="C2" t="n">
        <v>100</v>
      </c>
      <c r="D2" t="inlineStr">
        <is>
          <t>klux</t>
        </is>
      </c>
      <c r="E2" t="n">
        <v>13.9</v>
      </c>
      <c r="F2" t="n">
        <v>15.6</v>
      </c>
      <c r="G2" t="n">
        <v>14.9</v>
      </c>
      <c r="H2" t="n">
        <v>94</v>
      </c>
      <c r="I2" t="n">
        <v>0</v>
      </c>
      <c r="J2" t="n">
        <v>0</v>
      </c>
      <c r="K2" t="n">
        <v>0</v>
      </c>
      <c r="L2" t="n">
        <v>86</v>
      </c>
      <c r="M2" t="n">
        <v>995</v>
      </c>
      <c r="N2" t="inlineStr">
        <is>
          <t>hpa</t>
        </is>
      </c>
      <c r="O2" t="n">
        <v>0</v>
      </c>
      <c r="P2" t="n">
        <v>11.7</v>
      </c>
      <c r="Q2" t="n">
        <v>0.6</v>
      </c>
      <c r="R2" t="inlineStr">
        <is>
          <t>mm</t>
        </is>
      </c>
      <c r="S2" t="n">
        <v>15.4</v>
      </c>
      <c r="T2" t="n">
        <v>14.9</v>
      </c>
      <c r="U2" t="n">
        <v>-60</v>
      </c>
      <c r="V2" t="n">
        <v>-60</v>
      </c>
      <c r="W2" t="n">
        <v>-60</v>
      </c>
      <c r="X2" t="inlineStr">
        <is>
          <t>c</t>
        </is>
      </c>
      <c r="Y2" t="n">
        <v>0</v>
      </c>
      <c r="Z2" t="n">
        <v>9.699999999999999</v>
      </c>
      <c r="AA2" t="n">
        <v>3.4</v>
      </c>
      <c r="AB2" t="n">
        <v>6.6</v>
      </c>
      <c r="AC2" t="inlineStr">
        <is>
          <t>kmph</t>
        </is>
      </c>
    </row>
    <row r="3">
      <c r="A3" t="inlineStr">
        <is>
          <t>2026-07-11 19:02:51</t>
        </is>
      </c>
      <c r="B3" t="n">
        <v>995</v>
      </c>
      <c r="C3" t="n">
        <v>100</v>
      </c>
      <c r="D3" t="inlineStr">
        <is>
          <t>klux</t>
        </is>
      </c>
      <c r="E3" t="n">
        <v>13.7</v>
      </c>
      <c r="F3" t="n">
        <v>15.1</v>
      </c>
      <c r="G3" t="n">
        <v>14.6</v>
      </c>
      <c r="H3" t="n">
        <v>95</v>
      </c>
      <c r="I3" t="n">
        <v>0</v>
      </c>
      <c r="J3" t="n">
        <v>0</v>
      </c>
      <c r="K3" t="n">
        <v>0</v>
      </c>
      <c r="L3" t="n">
        <v>86</v>
      </c>
      <c r="M3" t="n">
        <v>995</v>
      </c>
      <c r="N3" t="inlineStr">
        <is>
          <t>hpa</t>
        </is>
      </c>
      <c r="O3" t="n">
        <v>0</v>
      </c>
      <c r="P3" t="n">
        <v>11.7</v>
      </c>
      <c r="Q3" t="n">
        <v>0.4</v>
      </c>
      <c r="R3" t="inlineStr">
        <is>
          <t>mm</t>
        </is>
      </c>
      <c r="S3" t="n">
        <v>15.3</v>
      </c>
      <c r="T3" t="n">
        <v>14.6</v>
      </c>
      <c r="U3" t="n">
        <v>-60</v>
      </c>
      <c r="V3" t="n">
        <v>-60</v>
      </c>
      <c r="W3" t="n">
        <v>-60</v>
      </c>
      <c r="X3" t="inlineStr">
        <is>
          <t>c</t>
        </is>
      </c>
      <c r="Y3" t="n">
        <v>0</v>
      </c>
      <c r="Z3" t="n">
        <v>9.699999999999999</v>
      </c>
      <c r="AA3" t="n">
        <v>5.4</v>
      </c>
      <c r="AB3" t="n">
        <v>5.3</v>
      </c>
      <c r="AC3" t="inlineStr">
        <is>
          <t>kmph</t>
        </is>
      </c>
    </row>
    <row r="4">
      <c r="A4" t="inlineStr">
        <is>
          <t>2026-07-11 20:05:35</t>
        </is>
      </c>
      <c r="B4" t="n">
        <v>995</v>
      </c>
      <c r="C4" t="n">
        <v>100</v>
      </c>
      <c r="D4" t="inlineStr">
        <is>
          <t>klux</t>
        </is>
      </c>
      <c r="E4" t="n">
        <v>13.9</v>
      </c>
      <c r="F4" t="n">
        <v>15.5</v>
      </c>
      <c r="G4" t="n">
        <v>14.6</v>
      </c>
      <c r="H4" t="n">
        <v>96</v>
      </c>
      <c r="I4" t="n">
        <v>0</v>
      </c>
      <c r="J4" t="n">
        <v>0</v>
      </c>
      <c r="K4" t="n">
        <v>0</v>
      </c>
      <c r="L4" t="n">
        <v>87</v>
      </c>
      <c r="M4" t="n">
        <v>995</v>
      </c>
      <c r="N4" t="inlineStr">
        <is>
          <t>hpa</t>
        </is>
      </c>
      <c r="O4" t="n">
        <v>0</v>
      </c>
      <c r="P4" t="n">
        <v>11.7</v>
      </c>
      <c r="Q4" t="n">
        <v>0.4</v>
      </c>
      <c r="R4" t="inlineStr">
        <is>
          <t>mm</t>
        </is>
      </c>
      <c r="S4" t="n">
        <v>15.2</v>
      </c>
      <c r="T4" t="n">
        <v>14.6</v>
      </c>
      <c r="U4" t="n">
        <v>-60</v>
      </c>
      <c r="V4" t="n">
        <v>-60</v>
      </c>
      <c r="W4" t="n">
        <v>-60</v>
      </c>
      <c r="X4" t="inlineStr">
        <is>
          <t>c</t>
        </is>
      </c>
      <c r="Y4" t="n">
        <v>0</v>
      </c>
      <c r="Z4" t="n">
        <v>9.699999999999999</v>
      </c>
      <c r="AA4" t="n">
        <v>4.5</v>
      </c>
      <c r="AB4" t="n">
        <v>4.6</v>
      </c>
      <c r="AC4" t="inlineStr">
        <is>
          <t>kmph</t>
        </is>
      </c>
    </row>
    <row r="5">
      <c r="A5" t="inlineStr">
        <is>
          <t>2026-07-12 04:50:44</t>
        </is>
      </c>
      <c r="B5" t="n">
        <v>997</v>
      </c>
      <c r="C5" t="n">
        <v>100</v>
      </c>
      <c r="D5" t="inlineStr">
        <is>
          <t>klux</t>
        </is>
      </c>
      <c r="E5" t="n">
        <v>11.3</v>
      </c>
      <c r="F5" t="n">
        <v>12</v>
      </c>
      <c r="G5" t="n">
        <v>11.8</v>
      </c>
      <c r="H5" t="n">
        <v>97</v>
      </c>
      <c r="I5" t="n">
        <v>0</v>
      </c>
      <c r="J5" t="n">
        <v>0</v>
      </c>
      <c r="K5" t="n">
        <v>0</v>
      </c>
      <c r="L5" t="n">
        <v>88</v>
      </c>
      <c r="M5" t="n">
        <v>997</v>
      </c>
      <c r="N5" t="inlineStr">
        <is>
          <t>hpa</t>
        </is>
      </c>
      <c r="O5" t="n">
        <v>0</v>
      </c>
      <c r="P5" t="n">
        <v>0</v>
      </c>
      <c r="Q5" t="n">
        <v>0</v>
      </c>
      <c r="R5" t="inlineStr">
        <is>
          <t>mm</t>
        </is>
      </c>
      <c r="S5" t="n">
        <v>12.8</v>
      </c>
      <c r="T5" t="n">
        <v>11.8</v>
      </c>
      <c r="U5" t="n">
        <v>-60</v>
      </c>
      <c r="V5" t="n">
        <v>-60</v>
      </c>
      <c r="W5" t="n">
        <v>-60</v>
      </c>
      <c r="X5" t="inlineStr">
        <is>
          <t>c</t>
        </is>
      </c>
      <c r="Y5" t="n">
        <v>0</v>
      </c>
      <c r="Z5" t="n">
        <v>9.699999999999999</v>
      </c>
      <c r="AA5" t="n">
        <v>5.9</v>
      </c>
      <c r="AB5" t="n">
        <v>7.9</v>
      </c>
      <c r="AC5" t="inlineStr">
        <is>
          <t>kmph</t>
        </is>
      </c>
    </row>
    <row r="6">
      <c r="A6" t="inlineStr">
        <is>
          <t>2026-07-12 11:45:11</t>
        </is>
      </c>
      <c r="B6" t="n">
        <v>1001</v>
      </c>
      <c r="C6" t="n">
        <v>100</v>
      </c>
      <c r="D6" t="inlineStr">
        <is>
          <t>klux</t>
        </is>
      </c>
      <c r="E6" t="n">
        <v>8.699999999999999</v>
      </c>
      <c r="F6" t="n">
        <v>11.5</v>
      </c>
      <c r="G6" t="n">
        <v>12.7</v>
      </c>
      <c r="H6" t="n">
        <v>77</v>
      </c>
      <c r="I6" t="n">
        <v>0</v>
      </c>
      <c r="J6" t="n">
        <v>0</v>
      </c>
      <c r="K6" t="n">
        <v>0</v>
      </c>
      <c r="L6" t="n">
        <v>70</v>
      </c>
      <c r="M6" t="n">
        <v>1001</v>
      </c>
      <c r="N6" t="inlineStr">
        <is>
          <t>hpa</t>
        </is>
      </c>
      <c r="O6" t="n">
        <v>0</v>
      </c>
      <c r="P6" t="n">
        <v>0.2</v>
      </c>
      <c r="Q6" t="n">
        <v>0</v>
      </c>
      <c r="R6" t="inlineStr">
        <is>
          <t>mm</t>
        </is>
      </c>
      <c r="S6" t="n">
        <v>14</v>
      </c>
      <c r="T6" t="n">
        <v>12.7</v>
      </c>
      <c r="U6" t="n">
        <v>-60</v>
      </c>
      <c r="V6" t="n">
        <v>-60</v>
      </c>
      <c r="W6" t="n">
        <v>-60</v>
      </c>
      <c r="X6" t="inlineStr">
        <is>
          <t>c</t>
        </is>
      </c>
      <c r="Y6" t="n">
        <v>0</v>
      </c>
      <c r="Z6" t="n">
        <v>9.699999999999999</v>
      </c>
      <c r="AA6" t="n">
        <v>10</v>
      </c>
      <c r="AB6" t="n">
        <v>13.3</v>
      </c>
      <c r="AC6" t="inlineStr">
        <is>
          <t>kmph</t>
        </is>
      </c>
    </row>
    <row r="7">
      <c r="A7" t="inlineStr">
        <is>
          <t>2026-07-12 15:42:38</t>
        </is>
      </c>
      <c r="B7" t="n">
        <v>1001</v>
      </c>
      <c r="C7" t="n">
        <v>100</v>
      </c>
      <c r="D7" t="inlineStr">
        <is>
          <t>klux</t>
        </is>
      </c>
      <c r="E7" t="n">
        <v>8.1</v>
      </c>
      <c r="F7" t="n">
        <v>11</v>
      </c>
      <c r="G7" t="n">
        <v>12.3</v>
      </c>
      <c r="H7" t="n">
        <v>76</v>
      </c>
      <c r="I7" t="n">
        <v>0</v>
      </c>
      <c r="J7" t="n">
        <v>0</v>
      </c>
      <c r="K7" t="n">
        <v>0</v>
      </c>
      <c r="L7" t="n">
        <v>70</v>
      </c>
      <c r="M7" t="n">
        <v>1001</v>
      </c>
      <c r="N7" t="inlineStr">
        <is>
          <t>hpa</t>
        </is>
      </c>
      <c r="O7" t="n">
        <v>0</v>
      </c>
      <c r="P7" t="n">
        <v>0.2</v>
      </c>
      <c r="Q7" t="n">
        <v>0</v>
      </c>
      <c r="R7" t="inlineStr">
        <is>
          <t>mm</t>
        </is>
      </c>
      <c r="S7" t="n">
        <v>12.7</v>
      </c>
      <c r="T7" t="n">
        <v>12.3</v>
      </c>
      <c r="U7" t="n">
        <v>-60</v>
      </c>
      <c r="V7" t="n">
        <v>-60</v>
      </c>
      <c r="W7" t="n">
        <v>-60</v>
      </c>
      <c r="X7" t="inlineStr">
        <is>
          <t>c</t>
        </is>
      </c>
      <c r="Y7" t="n">
        <v>0</v>
      </c>
      <c r="Z7" t="n">
        <v>9.699999999999999</v>
      </c>
      <c r="AA7" t="n">
        <v>9.1</v>
      </c>
      <c r="AB7" t="n">
        <v>11.9</v>
      </c>
      <c r="AC7" t="inlineStr">
        <is>
          <t>kmph</t>
        </is>
      </c>
    </row>
    <row r="8">
      <c r="A8" t="inlineStr">
        <is>
          <t>2026-07-12 18:00:47</t>
        </is>
      </c>
      <c r="B8" t="n">
        <v>1002</v>
      </c>
      <c r="C8" t="n">
        <v>100</v>
      </c>
      <c r="D8" t="inlineStr">
        <is>
          <t>klux</t>
        </is>
      </c>
      <c r="E8" t="n">
        <v>8.1</v>
      </c>
      <c r="F8" t="n">
        <v>9.300000000000001</v>
      </c>
      <c r="G8" t="n">
        <v>10.6</v>
      </c>
      <c r="H8" t="n">
        <v>85</v>
      </c>
      <c r="I8" t="n">
        <v>0</v>
      </c>
      <c r="J8" t="n">
        <v>0</v>
      </c>
      <c r="K8" t="n">
        <v>0</v>
      </c>
      <c r="L8" t="n">
        <v>77</v>
      </c>
      <c r="M8" t="n">
        <v>1002</v>
      </c>
      <c r="N8" t="inlineStr">
        <is>
          <t>hpa</t>
        </is>
      </c>
      <c r="O8" t="n">
        <v>0</v>
      </c>
      <c r="P8" t="n">
        <v>0.2</v>
      </c>
      <c r="Q8" t="n">
        <v>0</v>
      </c>
      <c r="R8" t="inlineStr">
        <is>
          <t>mm</t>
        </is>
      </c>
      <c r="S8" t="n">
        <v>11.4</v>
      </c>
      <c r="T8" t="n">
        <v>10.6</v>
      </c>
      <c r="U8" t="n">
        <v>-60</v>
      </c>
      <c r="V8" t="n">
        <v>-60</v>
      </c>
      <c r="W8" t="n">
        <v>-60</v>
      </c>
      <c r="X8" t="inlineStr">
        <is>
          <t>c</t>
        </is>
      </c>
      <c r="Y8" t="n">
        <v>0</v>
      </c>
      <c r="Z8" t="n">
        <v>9.699999999999999</v>
      </c>
      <c r="AA8" t="n">
        <v>8.699999999999999</v>
      </c>
      <c r="AB8" t="n">
        <v>13.3</v>
      </c>
      <c r="AC8" t="inlineStr">
        <is>
          <t>kmph</t>
        </is>
      </c>
    </row>
    <row r="9">
      <c r="A9" t="inlineStr">
        <is>
          <t>2026-07-12 18:34:30</t>
        </is>
      </c>
      <c r="B9" t="n">
        <v>1002</v>
      </c>
      <c r="C9" t="n">
        <v>100</v>
      </c>
      <c r="D9" t="inlineStr">
        <is>
          <t>klux</t>
        </is>
      </c>
      <c r="E9" t="n">
        <v>8.300000000000001</v>
      </c>
      <c r="F9" t="n">
        <v>9.5</v>
      </c>
      <c r="G9" t="n">
        <v>10.3</v>
      </c>
      <c r="H9" t="n">
        <v>88</v>
      </c>
      <c r="I9" t="n">
        <v>0</v>
      </c>
      <c r="J9" t="n">
        <v>0</v>
      </c>
      <c r="K9" t="n">
        <v>0</v>
      </c>
      <c r="L9" t="n">
        <v>78</v>
      </c>
      <c r="M9" t="n">
        <v>1002</v>
      </c>
      <c r="N9" t="inlineStr">
        <is>
          <t>hpa</t>
        </is>
      </c>
      <c r="O9" t="n">
        <v>0</v>
      </c>
      <c r="P9" t="n">
        <v>0.2</v>
      </c>
      <c r="Q9" t="n">
        <v>0</v>
      </c>
      <c r="R9" t="inlineStr">
        <is>
          <t>mm</t>
        </is>
      </c>
      <c r="S9" t="n">
        <v>11</v>
      </c>
      <c r="T9" t="n">
        <v>10.3</v>
      </c>
      <c r="U9" t="n">
        <v>-60</v>
      </c>
      <c r="V9" t="n">
        <v>-60</v>
      </c>
      <c r="W9" t="n">
        <v>-60</v>
      </c>
      <c r="X9" t="inlineStr">
        <is>
          <t>c</t>
        </is>
      </c>
      <c r="Y9" t="n">
        <v>0</v>
      </c>
      <c r="Z9" t="n">
        <v>9.699999999999999</v>
      </c>
      <c r="AA9" t="n">
        <v>4.4</v>
      </c>
      <c r="AB9" t="n">
        <v>5.9</v>
      </c>
      <c r="AC9" t="inlineStr">
        <is>
          <t>kmph</t>
        </is>
      </c>
    </row>
    <row r="10">
      <c r="A10" t="inlineStr">
        <is>
          <t>2026-07-12 19:00:49</t>
        </is>
      </c>
      <c r="B10" t="n">
        <v>1003</v>
      </c>
      <c r="C10" t="n">
        <v>100</v>
      </c>
      <c r="D10" t="inlineStr">
        <is>
          <t>klux</t>
        </is>
      </c>
      <c r="E10" t="n">
        <v>8.199999999999999</v>
      </c>
      <c r="F10" t="n">
        <v>9.1</v>
      </c>
      <c r="G10" t="n">
        <v>9.800000000000001</v>
      </c>
      <c r="H10" t="n">
        <v>90</v>
      </c>
      <c r="I10" t="n">
        <v>0</v>
      </c>
      <c r="J10" t="n">
        <v>0</v>
      </c>
      <c r="K10" t="n">
        <v>0</v>
      </c>
      <c r="L10" t="n">
        <v>81</v>
      </c>
      <c r="M10" t="n">
        <v>1003</v>
      </c>
      <c r="N10" t="inlineStr">
        <is>
          <t>hpa</t>
        </is>
      </c>
      <c r="O10" t="n">
        <v>0</v>
      </c>
      <c r="P10" t="n">
        <v>0.2</v>
      </c>
      <c r="Q10" t="n">
        <v>0</v>
      </c>
      <c r="R10" t="inlineStr">
        <is>
          <t>mm</t>
        </is>
      </c>
      <c r="S10" t="n">
        <v>10.3</v>
      </c>
      <c r="T10" t="n">
        <v>9.800000000000001</v>
      </c>
      <c r="U10" t="n">
        <v>-60</v>
      </c>
      <c r="V10" t="n">
        <v>-60</v>
      </c>
      <c r="W10" t="n">
        <v>-60</v>
      </c>
      <c r="X10" t="inlineStr">
        <is>
          <t>c</t>
        </is>
      </c>
      <c r="Y10" t="n">
        <v>0</v>
      </c>
      <c r="Z10" t="n">
        <v>9.1</v>
      </c>
      <c r="AA10" t="n">
        <v>5.4</v>
      </c>
      <c r="AB10" t="n">
        <v>6.6</v>
      </c>
      <c r="AC10" t="inlineStr">
        <is>
          <t>kmph</t>
        </is>
      </c>
    </row>
    <row r="11">
      <c r="A11" t="inlineStr">
        <is>
          <t>2026-07-12 20:00:52</t>
        </is>
      </c>
      <c r="B11" t="n">
        <v>1003</v>
      </c>
      <c r="C11" t="n">
        <v>100</v>
      </c>
      <c r="D11" t="inlineStr">
        <is>
          <t>klux</t>
        </is>
      </c>
      <c r="E11" t="n">
        <v>8.4</v>
      </c>
      <c r="F11" t="n">
        <v>9</v>
      </c>
      <c r="G11" t="n">
        <v>9.699999999999999</v>
      </c>
      <c r="H11" t="n">
        <v>92</v>
      </c>
      <c r="I11" t="n">
        <v>0</v>
      </c>
      <c r="J11" t="n">
        <v>0</v>
      </c>
      <c r="K11" t="n">
        <v>0</v>
      </c>
      <c r="L11" t="n">
        <v>84</v>
      </c>
      <c r="M11" t="n">
        <v>1003</v>
      </c>
      <c r="N11" t="inlineStr">
        <is>
          <t>hpa</t>
        </is>
      </c>
      <c r="O11" t="n">
        <v>0</v>
      </c>
      <c r="P11" t="n">
        <v>0.2</v>
      </c>
      <c r="Q11" t="n">
        <v>0</v>
      </c>
      <c r="R11" t="inlineStr">
        <is>
          <t>mm</t>
        </is>
      </c>
      <c r="S11" t="n">
        <v>10.1</v>
      </c>
      <c r="T11" t="n">
        <v>9.699999999999999</v>
      </c>
      <c r="U11" t="n">
        <v>-60</v>
      </c>
      <c r="V11" t="n">
        <v>-60</v>
      </c>
      <c r="W11" t="n">
        <v>-60</v>
      </c>
      <c r="X11" t="inlineStr">
        <is>
          <t>c</t>
        </is>
      </c>
      <c r="Y11" t="n">
        <v>0</v>
      </c>
      <c r="Z11" t="n">
        <v>9.1</v>
      </c>
      <c r="AA11" t="n">
        <v>5.6</v>
      </c>
      <c r="AB11" t="n">
        <v>7.3</v>
      </c>
      <c r="AC11" t="inlineStr">
        <is>
          <t>kmph</t>
        </is>
      </c>
    </row>
    <row r="12">
      <c r="A12" t="inlineStr">
        <is>
          <t>2026-07-12 21:00:51</t>
        </is>
      </c>
      <c r="B12" t="n">
        <v>1003</v>
      </c>
      <c r="C12" t="n">
        <v>100</v>
      </c>
      <c r="D12" t="inlineStr">
        <is>
          <t>klux</t>
        </is>
      </c>
      <c r="E12" t="n">
        <v>8.5</v>
      </c>
      <c r="F12" t="n">
        <v>9.6</v>
      </c>
      <c r="G12" t="n">
        <v>9.5</v>
      </c>
      <c r="H12" t="n">
        <v>94</v>
      </c>
      <c r="I12" t="n">
        <v>0</v>
      </c>
      <c r="J12" t="n">
        <v>0</v>
      </c>
      <c r="K12" t="n">
        <v>0</v>
      </c>
      <c r="L12" t="n">
        <v>84</v>
      </c>
      <c r="M12" t="n">
        <v>1003</v>
      </c>
      <c r="N12" t="inlineStr">
        <is>
          <t>hpa</t>
        </is>
      </c>
      <c r="O12" t="n">
        <v>0</v>
      </c>
      <c r="P12" t="n">
        <v>0.2</v>
      </c>
      <c r="Q12" t="n">
        <v>0</v>
      </c>
      <c r="R12" t="inlineStr">
        <is>
          <t>mm</t>
        </is>
      </c>
      <c r="S12" t="n">
        <v>10.5</v>
      </c>
      <c r="T12" t="n">
        <v>9.5</v>
      </c>
      <c r="U12" t="n">
        <v>-60</v>
      </c>
      <c r="V12" t="n">
        <v>-60</v>
      </c>
      <c r="W12" t="n">
        <v>-60</v>
      </c>
      <c r="X12" t="inlineStr">
        <is>
          <t>c</t>
        </is>
      </c>
      <c r="Y12" t="n">
        <v>0</v>
      </c>
      <c r="Z12" t="n">
        <v>8.5</v>
      </c>
      <c r="AA12" t="n">
        <v>0</v>
      </c>
      <c r="AB12" t="n">
        <v>0</v>
      </c>
      <c r="AC12" t="inlineStr">
        <is>
          <t>kmph</t>
        </is>
      </c>
    </row>
    <row r="13">
      <c r="A13" t="inlineStr">
        <is>
          <t>2026-07-12 22:00:47</t>
        </is>
      </c>
      <c r="B13" t="n">
        <v>1003</v>
      </c>
      <c r="C13" t="n">
        <v>100</v>
      </c>
      <c r="D13" t="inlineStr">
        <is>
          <t>klux</t>
        </is>
      </c>
      <c r="E13" t="n">
        <v>8.800000000000001</v>
      </c>
      <c r="F13" t="n">
        <v>8.699999999999999</v>
      </c>
      <c r="G13" t="n">
        <v>9.5</v>
      </c>
      <c r="H13" t="n">
        <v>96</v>
      </c>
      <c r="I13" t="n">
        <v>0</v>
      </c>
      <c r="J13" t="n">
        <v>0</v>
      </c>
      <c r="K13" t="n">
        <v>0</v>
      </c>
      <c r="L13" t="n">
        <v>86</v>
      </c>
      <c r="M13" t="n">
        <v>1003</v>
      </c>
      <c r="N13" t="inlineStr">
        <is>
          <t>hpa</t>
        </is>
      </c>
      <c r="O13" t="n">
        <v>0</v>
      </c>
      <c r="P13" t="n">
        <v>0.2</v>
      </c>
      <c r="Q13" t="n">
        <v>0</v>
      </c>
      <c r="R13" t="inlineStr">
        <is>
          <t>mm</t>
        </is>
      </c>
      <c r="S13" t="n">
        <v>10.5</v>
      </c>
      <c r="T13" t="n">
        <v>9.5</v>
      </c>
      <c r="U13" t="n">
        <v>-60</v>
      </c>
      <c r="V13" t="n">
        <v>-60</v>
      </c>
      <c r="W13" t="n">
        <v>-60</v>
      </c>
      <c r="X13" t="inlineStr">
        <is>
          <t>c</t>
        </is>
      </c>
      <c r="Y13" t="n">
        <v>0</v>
      </c>
      <c r="Z13" t="n">
        <v>9.1</v>
      </c>
      <c r="AA13" t="n">
        <v>4.3</v>
      </c>
      <c r="AB13" t="n">
        <v>4.6</v>
      </c>
      <c r="AC13" t="inlineStr">
        <is>
          <t>kmph</t>
        </is>
      </c>
    </row>
    <row r="14">
      <c r="A14" t="inlineStr">
        <is>
          <t>2026-07-12 23:00:48</t>
        </is>
      </c>
      <c r="B14" t="n">
        <v>1004</v>
      </c>
      <c r="C14" t="n">
        <v>100</v>
      </c>
      <c r="D14" t="inlineStr">
        <is>
          <t>klux</t>
        </is>
      </c>
      <c r="E14" t="n">
        <v>9.1</v>
      </c>
      <c r="F14" t="n">
        <v>9.800000000000001</v>
      </c>
      <c r="G14" t="n">
        <v>9.6</v>
      </c>
      <c r="H14" t="n">
        <v>97</v>
      </c>
      <c r="I14" t="n">
        <v>0</v>
      </c>
      <c r="J14" t="n">
        <v>0</v>
      </c>
      <c r="K14" t="n">
        <v>0</v>
      </c>
      <c r="L14" t="n">
        <v>87</v>
      </c>
      <c r="M14" t="n">
        <v>1004</v>
      </c>
      <c r="N14" t="inlineStr">
        <is>
          <t>hpa</t>
        </is>
      </c>
      <c r="O14" t="n">
        <v>0</v>
      </c>
      <c r="P14" t="n">
        <v>0.2</v>
      </c>
      <c r="Q14" t="n">
        <v>0</v>
      </c>
      <c r="R14" t="inlineStr">
        <is>
          <t>mm</t>
        </is>
      </c>
      <c r="S14" t="n">
        <v>10.5</v>
      </c>
      <c r="T14" t="n">
        <v>9.6</v>
      </c>
      <c r="U14" t="n">
        <v>-60</v>
      </c>
      <c r="V14" t="n">
        <v>-60</v>
      </c>
      <c r="W14" t="n">
        <v>-60</v>
      </c>
      <c r="X14" t="inlineStr">
        <is>
          <t>c</t>
        </is>
      </c>
      <c r="Y14" t="n">
        <v>0</v>
      </c>
      <c r="Z14" t="n">
        <v>8.199999999999999</v>
      </c>
      <c r="AA14" t="n">
        <v>2.7</v>
      </c>
      <c r="AB14" t="n">
        <v>0</v>
      </c>
      <c r="AC14" t="inlineStr">
        <is>
          <t>kmph</t>
        </is>
      </c>
    </row>
    <row r="15">
      <c r="A15" t="inlineStr">
        <is>
          <t>2026-07-13 00:00:50</t>
        </is>
      </c>
      <c r="B15" t="n">
        <v>1004</v>
      </c>
      <c r="C15" t="n">
        <v>100</v>
      </c>
      <c r="D15" t="inlineStr">
        <is>
          <t>klux</t>
        </is>
      </c>
      <c r="E15" t="n">
        <v>8.800000000000001</v>
      </c>
      <c r="F15" t="n">
        <v>10.3</v>
      </c>
      <c r="G15" t="n">
        <v>10.1</v>
      </c>
      <c r="H15" t="n">
        <v>92</v>
      </c>
      <c r="I15" t="n">
        <v>0</v>
      </c>
      <c r="J15" t="n">
        <v>0</v>
      </c>
      <c r="K15" t="n">
        <v>0</v>
      </c>
      <c r="L15" t="n">
        <v>84</v>
      </c>
      <c r="M15" t="n">
        <v>1004</v>
      </c>
      <c r="N15" t="inlineStr">
        <is>
          <t>hpa</t>
        </is>
      </c>
      <c r="O15" t="n">
        <v>0</v>
      </c>
      <c r="P15" t="n">
        <v>0</v>
      </c>
      <c r="Q15" t="n">
        <v>0</v>
      </c>
      <c r="R15" t="inlineStr">
        <is>
          <t>mm</t>
        </is>
      </c>
      <c r="S15" t="n">
        <v>11</v>
      </c>
      <c r="T15" t="n">
        <v>10.1</v>
      </c>
      <c r="U15" t="n">
        <v>-60</v>
      </c>
      <c r="V15" t="n">
        <v>-60</v>
      </c>
      <c r="W15" t="n">
        <v>-60</v>
      </c>
      <c r="X15" t="inlineStr">
        <is>
          <t>c</t>
        </is>
      </c>
      <c r="Y15" t="n">
        <v>0</v>
      </c>
      <c r="Z15" t="n">
        <v>8.199999999999999</v>
      </c>
      <c r="AA15" t="n">
        <v>0.1</v>
      </c>
      <c r="AB15" t="n">
        <v>0</v>
      </c>
      <c r="AC15" t="inlineStr">
        <is>
          <t>kmph</t>
        </is>
      </c>
    </row>
    <row r="16">
      <c r="A16" t="inlineStr">
        <is>
          <t>2026-07-13 01:00:46</t>
        </is>
      </c>
      <c r="B16" t="n">
        <v>1004</v>
      </c>
      <c r="C16" t="n">
        <v>100</v>
      </c>
      <c r="D16" t="inlineStr">
        <is>
          <t>klux</t>
        </is>
      </c>
      <c r="E16" t="n">
        <v>8.9</v>
      </c>
      <c r="F16" t="n">
        <v>9.9</v>
      </c>
      <c r="G16" t="n">
        <v>9.699999999999999</v>
      </c>
      <c r="H16" t="n">
        <v>95</v>
      </c>
      <c r="I16" t="n">
        <v>0</v>
      </c>
      <c r="J16" t="n">
        <v>0</v>
      </c>
      <c r="K16" t="n">
        <v>0</v>
      </c>
      <c r="L16" t="n">
        <v>84</v>
      </c>
      <c r="M16" t="n">
        <v>1004</v>
      </c>
      <c r="N16" t="inlineStr">
        <is>
          <t>hpa</t>
        </is>
      </c>
      <c r="O16" t="n">
        <v>0</v>
      </c>
      <c r="P16" t="n">
        <v>0</v>
      </c>
      <c r="Q16" t="n">
        <v>0</v>
      </c>
      <c r="R16" t="inlineStr">
        <is>
          <t>mm</t>
        </is>
      </c>
      <c r="S16" t="n">
        <v>11</v>
      </c>
      <c r="T16" t="n">
        <v>9.699999999999999</v>
      </c>
      <c r="U16" t="n">
        <v>-60</v>
      </c>
      <c r="V16" t="n">
        <v>-60</v>
      </c>
      <c r="W16" t="n">
        <v>-60</v>
      </c>
      <c r="X16" t="inlineStr">
        <is>
          <t>c</t>
        </is>
      </c>
      <c r="Y16" t="n">
        <v>0</v>
      </c>
      <c r="Z16" t="n">
        <v>8.199999999999999</v>
      </c>
      <c r="AA16" t="n">
        <v>0</v>
      </c>
      <c r="AB16" t="n">
        <v>0</v>
      </c>
      <c r="AC16" t="inlineStr">
        <is>
          <t>kmph</t>
        </is>
      </c>
    </row>
    <row r="17">
      <c r="A17" t="inlineStr">
        <is>
          <t>2026-07-13 02:00:45</t>
        </is>
      </c>
      <c r="B17" t="n">
        <v>1003</v>
      </c>
      <c r="C17" t="n">
        <v>100</v>
      </c>
      <c r="D17" t="inlineStr">
        <is>
          <t>klux</t>
        </is>
      </c>
      <c r="E17" t="n">
        <v>8.4</v>
      </c>
      <c r="F17" t="n">
        <v>8.9</v>
      </c>
      <c r="G17" t="n">
        <v>9.9</v>
      </c>
      <c r="H17" t="n">
        <v>91</v>
      </c>
      <c r="I17" t="n">
        <v>0</v>
      </c>
      <c r="J17" t="n">
        <v>0</v>
      </c>
      <c r="K17" t="n">
        <v>0</v>
      </c>
      <c r="L17" t="n">
        <v>83</v>
      </c>
      <c r="M17" t="n">
        <v>1003</v>
      </c>
      <c r="N17" t="inlineStr">
        <is>
          <t>hpa</t>
        </is>
      </c>
      <c r="O17" t="n">
        <v>0</v>
      </c>
      <c r="P17" t="n">
        <v>0</v>
      </c>
      <c r="Q17" t="n">
        <v>0</v>
      </c>
      <c r="R17" t="inlineStr">
        <is>
          <t>mm</t>
        </is>
      </c>
      <c r="S17" t="n">
        <v>10.8</v>
      </c>
      <c r="T17" t="n">
        <v>9.9</v>
      </c>
      <c r="U17" t="n">
        <v>-60</v>
      </c>
      <c r="V17" t="n">
        <v>-60</v>
      </c>
      <c r="W17" t="n">
        <v>-60</v>
      </c>
      <c r="X17" t="inlineStr">
        <is>
          <t>c</t>
        </is>
      </c>
      <c r="Y17" t="n">
        <v>0</v>
      </c>
      <c r="Z17" t="n">
        <v>8.800000000000001</v>
      </c>
      <c r="AA17" t="n">
        <v>1.8</v>
      </c>
      <c r="AB17" t="n">
        <v>7.3</v>
      </c>
      <c r="AC17" t="inlineStr">
        <is>
          <t>kmph</t>
        </is>
      </c>
    </row>
    <row r="18">
      <c r="A18" t="inlineStr">
        <is>
          <t>2026-07-13 03:00:46</t>
        </is>
      </c>
      <c r="B18" t="n">
        <v>1003</v>
      </c>
      <c r="C18" t="n">
        <v>100</v>
      </c>
      <c r="D18" t="inlineStr">
        <is>
          <t>klux</t>
        </is>
      </c>
      <c r="E18" t="n">
        <v>8</v>
      </c>
      <c r="F18" t="n">
        <v>8.199999999999999</v>
      </c>
      <c r="G18" t="n">
        <v>8.800000000000001</v>
      </c>
      <c r="H18" t="n">
        <v>95</v>
      </c>
      <c r="I18" t="n">
        <v>0</v>
      </c>
      <c r="J18" t="n">
        <v>0</v>
      </c>
      <c r="K18" t="n">
        <v>0</v>
      </c>
      <c r="L18" t="n">
        <v>85</v>
      </c>
      <c r="M18" t="n">
        <v>1003</v>
      </c>
      <c r="N18" t="inlineStr">
        <is>
          <t>hpa</t>
        </is>
      </c>
      <c r="O18" t="n">
        <v>0</v>
      </c>
      <c r="P18" t="n">
        <v>0</v>
      </c>
      <c r="Q18" t="n">
        <v>0</v>
      </c>
      <c r="R18" t="inlineStr">
        <is>
          <t>mm</t>
        </is>
      </c>
      <c r="S18" t="n">
        <v>9.5</v>
      </c>
      <c r="T18" t="n">
        <v>8.800000000000001</v>
      </c>
      <c r="U18" t="n">
        <v>-60</v>
      </c>
      <c r="V18" t="n">
        <v>-60</v>
      </c>
      <c r="W18" t="n">
        <v>-60</v>
      </c>
      <c r="X18" t="inlineStr">
        <is>
          <t>c</t>
        </is>
      </c>
      <c r="Y18" t="n">
        <v>0</v>
      </c>
      <c r="Z18" t="n">
        <v>7.8</v>
      </c>
      <c r="AA18" t="n">
        <v>3.4</v>
      </c>
      <c r="AB18" t="n">
        <v>5.9</v>
      </c>
      <c r="AC18" t="inlineStr">
        <is>
          <t>kmph</t>
        </is>
      </c>
    </row>
    <row r="19">
      <c r="A19" t="inlineStr">
        <is>
          <t>2026-07-13 04:00:49</t>
        </is>
      </c>
      <c r="B19" t="n">
        <v>1004</v>
      </c>
      <c r="C19" t="n">
        <v>100</v>
      </c>
      <c r="D19" t="inlineStr">
        <is>
          <t>klux</t>
        </is>
      </c>
      <c r="E19" t="n">
        <v>8.300000000000001</v>
      </c>
      <c r="F19" t="n">
        <v>9</v>
      </c>
      <c r="G19" t="n">
        <v>9.4</v>
      </c>
      <c r="H19" t="n">
        <v>93</v>
      </c>
      <c r="I19" t="n">
        <v>0</v>
      </c>
      <c r="J19" t="n">
        <v>0</v>
      </c>
      <c r="K19" t="n">
        <v>0</v>
      </c>
      <c r="L19" t="n">
        <v>85</v>
      </c>
      <c r="M19" t="n">
        <v>1004</v>
      </c>
      <c r="N19" t="inlineStr">
        <is>
          <t>hpa</t>
        </is>
      </c>
      <c r="O19" t="n">
        <v>0</v>
      </c>
      <c r="P19" t="n">
        <v>0</v>
      </c>
      <c r="Q19" t="n">
        <v>0</v>
      </c>
      <c r="R19" t="inlineStr">
        <is>
          <t>mm</t>
        </is>
      </c>
      <c r="S19" t="n">
        <v>10.1</v>
      </c>
      <c r="T19" t="n">
        <v>9.4</v>
      </c>
      <c r="U19" t="n">
        <v>-60</v>
      </c>
      <c r="V19" t="n">
        <v>-60</v>
      </c>
      <c r="W19" t="n">
        <v>-60</v>
      </c>
      <c r="X19" t="inlineStr">
        <is>
          <t>c</t>
        </is>
      </c>
      <c r="Y19" t="n">
        <v>0</v>
      </c>
      <c r="Z19" t="n">
        <v>8.5</v>
      </c>
      <c r="AA19" t="n">
        <v>1</v>
      </c>
      <c r="AB19" t="n">
        <v>3.9</v>
      </c>
      <c r="AC19" t="inlineStr">
        <is>
          <t>kmph</t>
        </is>
      </c>
    </row>
    <row r="20">
      <c r="A20" t="inlineStr">
        <is>
          <t>2026-07-13 05:00:49</t>
        </is>
      </c>
      <c r="B20" t="n">
        <v>1003</v>
      </c>
      <c r="C20" t="n">
        <v>100</v>
      </c>
      <c r="D20" t="inlineStr">
        <is>
          <t>klux</t>
        </is>
      </c>
      <c r="E20" t="n">
        <v>8</v>
      </c>
      <c r="F20" t="n">
        <v>8.800000000000001</v>
      </c>
      <c r="G20" t="n">
        <v>9.6</v>
      </c>
      <c r="H20" t="n">
        <v>90</v>
      </c>
      <c r="I20" t="n">
        <v>0</v>
      </c>
      <c r="J20" t="n">
        <v>0</v>
      </c>
      <c r="K20" t="n">
        <v>0</v>
      </c>
      <c r="L20" t="n">
        <v>83</v>
      </c>
      <c r="M20" t="n">
        <v>1003</v>
      </c>
      <c r="N20" t="inlineStr">
        <is>
          <t>hpa</t>
        </is>
      </c>
      <c r="O20" t="n">
        <v>0</v>
      </c>
      <c r="P20" t="n">
        <v>0</v>
      </c>
      <c r="Q20" t="n">
        <v>0</v>
      </c>
      <c r="R20" t="inlineStr">
        <is>
          <t>mm</t>
        </is>
      </c>
      <c r="S20" t="n">
        <v>10.3</v>
      </c>
      <c r="T20" t="n">
        <v>9.6</v>
      </c>
      <c r="U20" t="n">
        <v>-60</v>
      </c>
      <c r="V20" t="n">
        <v>-60</v>
      </c>
      <c r="W20" t="n">
        <v>-60</v>
      </c>
      <c r="X20" t="inlineStr">
        <is>
          <t>c</t>
        </is>
      </c>
      <c r="Y20" t="n">
        <v>0</v>
      </c>
      <c r="Z20" t="n">
        <v>9.1</v>
      </c>
      <c r="AA20" t="n">
        <v>5.5</v>
      </c>
      <c r="AB20" t="n">
        <v>5.3</v>
      </c>
      <c r="AC20" t="inlineStr">
        <is>
          <t>kmph</t>
        </is>
      </c>
    </row>
    <row r="21">
      <c r="A21" t="inlineStr">
        <is>
          <t>2026-07-13 05:37:20</t>
        </is>
      </c>
      <c r="B21" t="n">
        <v>1003</v>
      </c>
      <c r="C21" t="n">
        <v>100</v>
      </c>
      <c r="D21" t="inlineStr">
        <is>
          <t>klux</t>
        </is>
      </c>
      <c r="E21" t="n">
        <v>7.9</v>
      </c>
      <c r="F21" t="n">
        <v>9.5</v>
      </c>
      <c r="G21" t="n">
        <v>9.4</v>
      </c>
      <c r="H21" t="n">
        <v>91</v>
      </c>
      <c r="I21" t="n">
        <v>0</v>
      </c>
      <c r="J21" t="n">
        <v>0</v>
      </c>
      <c r="K21" t="n">
        <v>0</v>
      </c>
      <c r="L21" t="n">
        <v>83</v>
      </c>
      <c r="M21" t="n">
        <v>1003</v>
      </c>
      <c r="N21" t="inlineStr">
        <is>
          <t>hpa</t>
        </is>
      </c>
      <c r="O21" t="n">
        <v>0</v>
      </c>
      <c r="P21" t="n">
        <v>0</v>
      </c>
      <c r="Q21" t="n">
        <v>0</v>
      </c>
      <c r="R21" t="inlineStr">
        <is>
          <t>mm</t>
        </is>
      </c>
      <c r="S21" t="n">
        <v>10.4</v>
      </c>
      <c r="T21" t="n">
        <v>9.4</v>
      </c>
      <c r="U21" t="n">
        <v>-60</v>
      </c>
      <c r="V21" t="n">
        <v>-60</v>
      </c>
      <c r="W21" t="n">
        <v>-60</v>
      </c>
      <c r="X21" t="inlineStr">
        <is>
          <t>c</t>
        </is>
      </c>
      <c r="Y21" t="n">
        <v>0</v>
      </c>
      <c r="Z21" t="n">
        <v>8.5</v>
      </c>
      <c r="AA21" t="n">
        <v>3.7</v>
      </c>
      <c r="AB21" t="n">
        <v>0</v>
      </c>
      <c r="AC21" t="inlineStr">
        <is>
          <t>kmph</t>
        </is>
      </c>
    </row>
    <row r="22">
      <c r="A22" t="inlineStr">
        <is>
          <t>2026-07-13 06:00:49</t>
        </is>
      </c>
      <c r="B22" t="n">
        <v>1004</v>
      </c>
      <c r="C22" t="n">
        <v>100</v>
      </c>
      <c r="D22" t="inlineStr">
        <is>
          <t>klux</t>
        </is>
      </c>
      <c r="E22" t="n">
        <v>7.7</v>
      </c>
      <c r="F22" t="n">
        <v>8.800000000000001</v>
      </c>
      <c r="G22" t="n">
        <v>9.5</v>
      </c>
      <c r="H22" t="n">
        <v>89</v>
      </c>
      <c r="I22" t="n">
        <v>0</v>
      </c>
      <c r="J22" t="n">
        <v>0</v>
      </c>
      <c r="K22" t="n">
        <v>0</v>
      </c>
      <c r="L22" t="n">
        <v>82</v>
      </c>
      <c r="M22" t="n">
        <v>1004</v>
      </c>
      <c r="N22" t="inlineStr">
        <is>
          <t>hpa</t>
        </is>
      </c>
      <c r="O22" t="n">
        <v>0</v>
      </c>
      <c r="P22" t="n">
        <v>0</v>
      </c>
      <c r="Q22" t="n">
        <v>0</v>
      </c>
      <c r="R22" t="inlineStr">
        <is>
          <t>mm</t>
        </is>
      </c>
      <c r="S22" t="n">
        <v>10.3</v>
      </c>
      <c r="T22" t="n">
        <v>9.5</v>
      </c>
      <c r="U22" t="n">
        <v>-60</v>
      </c>
      <c r="V22" t="n">
        <v>-60</v>
      </c>
      <c r="W22" t="n">
        <v>-60</v>
      </c>
      <c r="X22" t="inlineStr">
        <is>
          <t>c</t>
        </is>
      </c>
      <c r="Y22" t="n">
        <v>0</v>
      </c>
      <c r="Z22" t="n">
        <v>9.4</v>
      </c>
      <c r="AA22" t="n">
        <v>3.3</v>
      </c>
      <c r="AB22" t="n">
        <v>5.9</v>
      </c>
      <c r="AC22" t="inlineStr">
        <is>
          <t>kmph</t>
        </is>
      </c>
    </row>
    <row r="23">
      <c r="A23" t="inlineStr">
        <is>
          <t>2026-07-13 07:00:49</t>
        </is>
      </c>
      <c r="B23" t="n">
        <v>1004</v>
      </c>
      <c r="C23" t="n">
        <v>100</v>
      </c>
      <c r="D23" t="inlineStr">
        <is>
          <t>klux</t>
        </is>
      </c>
      <c r="E23" t="n">
        <v>8</v>
      </c>
      <c r="F23" t="n">
        <v>9</v>
      </c>
      <c r="G23" t="n">
        <v>9</v>
      </c>
      <c r="H23" t="n">
        <v>94</v>
      </c>
      <c r="I23" t="n">
        <v>0</v>
      </c>
      <c r="J23" t="n">
        <v>0</v>
      </c>
      <c r="K23" t="n">
        <v>0</v>
      </c>
      <c r="L23" t="n">
        <v>84</v>
      </c>
      <c r="M23" t="n">
        <v>1004</v>
      </c>
      <c r="N23" t="inlineStr">
        <is>
          <t>hpa</t>
        </is>
      </c>
      <c r="O23" t="n">
        <v>0</v>
      </c>
      <c r="P23" t="n">
        <v>0</v>
      </c>
      <c r="Q23" t="n">
        <v>0</v>
      </c>
      <c r="R23" t="inlineStr">
        <is>
          <t>mm</t>
        </is>
      </c>
      <c r="S23" t="n">
        <v>10.1</v>
      </c>
      <c r="T23" t="n">
        <v>9</v>
      </c>
      <c r="U23" t="n">
        <v>-60</v>
      </c>
      <c r="V23" t="n">
        <v>-60</v>
      </c>
      <c r="W23" t="n">
        <v>-60</v>
      </c>
      <c r="X23" t="inlineStr">
        <is>
          <t>c</t>
        </is>
      </c>
      <c r="Y23" t="n">
        <v>0</v>
      </c>
      <c r="Z23" t="n">
        <v>9.4</v>
      </c>
      <c r="AA23" t="n">
        <v>0</v>
      </c>
      <c r="AB23" t="n">
        <v>0</v>
      </c>
      <c r="AC23" t="inlineStr">
        <is>
          <t>kmph</t>
        </is>
      </c>
    </row>
    <row r="24">
      <c r="A24" t="inlineStr">
        <is>
          <t>2026-07-13 08:00:46</t>
        </is>
      </c>
      <c r="B24" t="n">
        <v>1005</v>
      </c>
      <c r="C24" t="n">
        <v>100</v>
      </c>
      <c r="D24" t="inlineStr">
        <is>
          <t>klux</t>
        </is>
      </c>
      <c r="E24" t="n">
        <v>8.1</v>
      </c>
      <c r="F24" t="n">
        <v>8.4</v>
      </c>
      <c r="G24" t="n">
        <v>8.9</v>
      </c>
      <c r="H24" t="n">
        <v>95</v>
      </c>
      <c r="I24" t="n">
        <v>0</v>
      </c>
      <c r="J24" t="n">
        <v>0</v>
      </c>
      <c r="K24" t="n">
        <v>0</v>
      </c>
      <c r="L24" t="n">
        <v>86</v>
      </c>
      <c r="M24" t="n">
        <v>1005</v>
      </c>
      <c r="N24" t="inlineStr">
        <is>
          <t>hpa</t>
        </is>
      </c>
      <c r="O24" t="n">
        <v>0</v>
      </c>
      <c r="P24" t="n">
        <v>0</v>
      </c>
      <c r="Q24" t="n">
        <v>0</v>
      </c>
      <c r="R24" t="inlineStr">
        <is>
          <t>mm</t>
        </is>
      </c>
      <c r="S24" t="n">
        <v>9.800000000000001</v>
      </c>
      <c r="T24" t="n">
        <v>8.9</v>
      </c>
      <c r="U24" t="n">
        <v>-60</v>
      </c>
      <c r="V24" t="n">
        <v>-60</v>
      </c>
      <c r="W24" t="n">
        <v>-60</v>
      </c>
      <c r="X24" t="inlineStr">
        <is>
          <t>c</t>
        </is>
      </c>
      <c r="Y24" t="n">
        <v>0</v>
      </c>
      <c r="Z24" t="n">
        <v>8.5</v>
      </c>
      <c r="AA24" t="n">
        <v>0</v>
      </c>
      <c r="AB24" t="n">
        <v>5.3</v>
      </c>
      <c r="AC24" t="inlineStr">
        <is>
          <t>kmph</t>
        </is>
      </c>
    </row>
    <row r="25">
      <c r="A25" t="inlineStr">
        <is>
          <t>2026-07-13 09:00:49</t>
        </is>
      </c>
      <c r="B25" t="n">
        <v>1006</v>
      </c>
      <c r="C25" t="n">
        <v>100</v>
      </c>
      <c r="D25" t="inlineStr">
        <is>
          <t>klux</t>
        </is>
      </c>
      <c r="E25" t="n">
        <v>8.6</v>
      </c>
      <c r="F25" t="n">
        <v>9.800000000000001</v>
      </c>
      <c r="G25" t="n">
        <v>9.6</v>
      </c>
      <c r="H25" t="n">
        <v>94</v>
      </c>
      <c r="I25" t="n">
        <v>0</v>
      </c>
      <c r="J25" t="n">
        <v>0</v>
      </c>
      <c r="K25" t="n">
        <v>0</v>
      </c>
      <c r="L25" t="n">
        <v>84</v>
      </c>
      <c r="M25" t="n">
        <v>1006</v>
      </c>
      <c r="N25" t="inlineStr">
        <is>
          <t>hpa</t>
        </is>
      </c>
      <c r="O25" t="n">
        <v>0</v>
      </c>
      <c r="P25" t="n">
        <v>0</v>
      </c>
      <c r="Q25" t="n">
        <v>0</v>
      </c>
      <c r="R25" t="inlineStr">
        <is>
          <t>mm</t>
        </is>
      </c>
      <c r="S25" t="n">
        <v>10.3</v>
      </c>
      <c r="T25" t="n">
        <v>9.6</v>
      </c>
      <c r="U25" t="n">
        <v>-60</v>
      </c>
      <c r="V25" t="n">
        <v>-60</v>
      </c>
      <c r="W25" t="n">
        <v>-60</v>
      </c>
      <c r="X25" t="inlineStr">
        <is>
          <t>c</t>
        </is>
      </c>
      <c r="Y25" t="n">
        <v>0</v>
      </c>
      <c r="Z25" t="n">
        <v>9.4</v>
      </c>
      <c r="AA25" t="n">
        <v>2</v>
      </c>
      <c r="AB25" t="n">
        <v>3.9</v>
      </c>
      <c r="AC25" t="inlineStr">
        <is>
          <t>kmph</t>
        </is>
      </c>
    </row>
    <row r="26">
      <c r="A26" t="inlineStr">
        <is>
          <t>2026-07-13 10:00:50</t>
        </is>
      </c>
      <c r="B26" t="n">
        <v>1006</v>
      </c>
      <c r="C26" t="n">
        <v>100</v>
      </c>
      <c r="D26" t="inlineStr">
        <is>
          <t>klux</t>
        </is>
      </c>
      <c r="E26" t="n">
        <v>8.199999999999999</v>
      </c>
      <c r="F26" t="n">
        <v>9.199999999999999</v>
      </c>
      <c r="G26" t="n">
        <v>10.3</v>
      </c>
      <c r="H26" t="n">
        <v>87</v>
      </c>
      <c r="I26" t="n">
        <v>0</v>
      </c>
      <c r="J26" t="n">
        <v>0</v>
      </c>
      <c r="K26" t="n">
        <v>0</v>
      </c>
      <c r="L26" t="n">
        <v>76</v>
      </c>
      <c r="M26" t="n">
        <v>1006</v>
      </c>
      <c r="N26" t="inlineStr">
        <is>
          <t>hpa</t>
        </is>
      </c>
      <c r="O26" t="n">
        <v>0</v>
      </c>
      <c r="P26" t="n">
        <v>0</v>
      </c>
      <c r="Q26" t="n">
        <v>0</v>
      </c>
      <c r="R26" t="inlineStr">
        <is>
          <t>mm</t>
        </is>
      </c>
      <c r="S26" t="n">
        <v>12</v>
      </c>
      <c r="T26" t="n">
        <v>10.3</v>
      </c>
      <c r="U26" t="n">
        <v>-60</v>
      </c>
      <c r="V26" t="n">
        <v>-60</v>
      </c>
      <c r="W26" t="n">
        <v>-60</v>
      </c>
      <c r="X26" t="inlineStr">
        <is>
          <t>c</t>
        </is>
      </c>
      <c r="Y26" t="n">
        <v>0</v>
      </c>
      <c r="Z26" t="n">
        <v>9.4</v>
      </c>
      <c r="AA26" t="n">
        <v>1.6</v>
      </c>
      <c r="AB26" t="n">
        <v>9.9</v>
      </c>
      <c r="AC26" t="inlineStr">
        <is>
          <t>kmph</t>
        </is>
      </c>
    </row>
    <row r="27">
      <c r="A27" t="inlineStr">
        <is>
          <t>2026-07-13 11:00:52</t>
        </is>
      </c>
      <c r="B27" t="n">
        <v>1006</v>
      </c>
      <c r="C27" t="n">
        <v>100</v>
      </c>
      <c r="D27" t="inlineStr">
        <is>
          <t>klux</t>
        </is>
      </c>
      <c r="E27" t="n">
        <v>7.9</v>
      </c>
      <c r="F27" t="n">
        <v>9.699999999999999</v>
      </c>
      <c r="G27" t="n">
        <v>10.4</v>
      </c>
      <c r="H27" t="n">
        <v>85</v>
      </c>
      <c r="I27" t="n">
        <v>0</v>
      </c>
      <c r="J27" t="n">
        <v>0</v>
      </c>
      <c r="K27" t="n">
        <v>0</v>
      </c>
      <c r="L27" t="n">
        <v>74</v>
      </c>
      <c r="M27" t="n">
        <v>1006</v>
      </c>
      <c r="N27" t="inlineStr">
        <is>
          <t>hpa</t>
        </is>
      </c>
      <c r="O27" t="n">
        <v>0</v>
      </c>
      <c r="P27" t="n">
        <v>0</v>
      </c>
      <c r="Q27" t="n">
        <v>0</v>
      </c>
      <c r="R27" t="inlineStr">
        <is>
          <t>mm</t>
        </is>
      </c>
      <c r="S27" t="n">
        <v>12.3</v>
      </c>
      <c r="T27" t="n">
        <v>10.4</v>
      </c>
      <c r="U27" t="n">
        <v>-60</v>
      </c>
      <c r="V27" t="n">
        <v>-60</v>
      </c>
      <c r="W27" t="n">
        <v>-60</v>
      </c>
      <c r="X27" t="inlineStr">
        <is>
          <t>c</t>
        </is>
      </c>
      <c r="Y27" t="n">
        <v>0</v>
      </c>
      <c r="Z27" t="n">
        <v>9.199999999999999</v>
      </c>
      <c r="AA27" t="n">
        <v>2</v>
      </c>
      <c r="AB27" t="n">
        <v>5.9</v>
      </c>
      <c r="AC27" t="inlineStr">
        <is>
          <t>kmph</t>
        </is>
      </c>
    </row>
    <row r="28">
      <c r="A28" t="inlineStr">
        <is>
          <t>2026-07-13 12:00:54</t>
        </is>
      </c>
      <c r="B28" t="n">
        <v>1006</v>
      </c>
      <c r="C28" t="n">
        <v>100</v>
      </c>
      <c r="D28" t="inlineStr">
        <is>
          <t>klux</t>
        </is>
      </c>
      <c r="E28" t="n">
        <v>8.199999999999999</v>
      </c>
      <c r="F28" t="n">
        <v>11.4</v>
      </c>
      <c r="G28" t="n">
        <v>11.2</v>
      </c>
      <c r="H28" t="n">
        <v>82</v>
      </c>
      <c r="I28" t="n">
        <v>0</v>
      </c>
      <c r="J28" t="n">
        <v>0</v>
      </c>
      <c r="K28" t="n">
        <v>0</v>
      </c>
      <c r="L28" t="n">
        <v>67</v>
      </c>
      <c r="M28" t="n">
        <v>1006</v>
      </c>
      <c r="N28" t="inlineStr">
        <is>
          <t>hpa</t>
        </is>
      </c>
      <c r="O28" t="n">
        <v>0</v>
      </c>
      <c r="P28" t="n">
        <v>0</v>
      </c>
      <c r="Q28" t="n">
        <v>0</v>
      </c>
      <c r="R28" t="inlineStr">
        <is>
          <t>mm</t>
        </is>
      </c>
      <c r="S28" t="n">
        <v>13.8</v>
      </c>
      <c r="T28" t="n">
        <v>11.2</v>
      </c>
      <c r="U28" t="n">
        <v>-60</v>
      </c>
      <c r="V28" t="n">
        <v>-60</v>
      </c>
      <c r="W28" t="n">
        <v>-60</v>
      </c>
      <c r="X28" t="inlineStr">
        <is>
          <t>c</t>
        </is>
      </c>
      <c r="Y28" t="n">
        <v>0</v>
      </c>
      <c r="Z28" t="n">
        <v>9.199999999999999</v>
      </c>
      <c r="AA28" t="n">
        <v>1.4</v>
      </c>
      <c r="AB28" t="n">
        <v>0</v>
      </c>
      <c r="AC28" t="inlineStr">
        <is>
          <t>kmph</t>
        </is>
      </c>
    </row>
    <row r="29">
      <c r="A29" t="inlineStr">
        <is>
          <t>2026-07-13 13:00:49</t>
        </is>
      </c>
      <c r="B29" t="n">
        <v>1005</v>
      </c>
      <c r="C29" t="n">
        <v>100</v>
      </c>
      <c r="D29" t="inlineStr">
        <is>
          <t>klux</t>
        </is>
      </c>
      <c r="E29" t="n">
        <v>8.4</v>
      </c>
      <c r="F29" t="n">
        <v>11.7</v>
      </c>
      <c r="G29" t="n">
        <v>11.8</v>
      </c>
      <c r="H29" t="n">
        <v>80</v>
      </c>
      <c r="I29" t="n">
        <v>0</v>
      </c>
      <c r="J29" t="n">
        <v>0</v>
      </c>
      <c r="K29" t="n">
        <v>0</v>
      </c>
      <c r="L29" t="n">
        <v>69</v>
      </c>
      <c r="M29" t="n">
        <v>1005</v>
      </c>
      <c r="N29" t="inlineStr">
        <is>
          <t>hpa</t>
        </is>
      </c>
      <c r="O29" t="n">
        <v>0</v>
      </c>
      <c r="P29" t="n">
        <v>0</v>
      </c>
      <c r="Q29" t="n">
        <v>0</v>
      </c>
      <c r="R29" t="inlineStr">
        <is>
          <t>mm</t>
        </is>
      </c>
      <c r="S29" t="n">
        <v>13.8</v>
      </c>
      <c r="T29" t="n">
        <v>11.8</v>
      </c>
      <c r="U29" t="n">
        <v>-60</v>
      </c>
      <c r="V29" t="n">
        <v>-60</v>
      </c>
      <c r="W29" t="n">
        <v>-60</v>
      </c>
      <c r="X29" t="inlineStr">
        <is>
          <t>c</t>
        </is>
      </c>
      <c r="Y29" t="n">
        <v>0</v>
      </c>
      <c r="Z29" t="n">
        <v>9.199999999999999</v>
      </c>
      <c r="AA29" t="n">
        <v>2.5</v>
      </c>
      <c r="AB29" t="n">
        <v>0.6</v>
      </c>
      <c r="AC29" t="inlineStr">
        <is>
          <t>kmph</t>
        </is>
      </c>
    </row>
    <row r="30">
      <c r="A30" t="inlineStr">
        <is>
          <t>2026-07-13 14:00:49</t>
        </is>
      </c>
      <c r="B30" t="n">
        <v>1005</v>
      </c>
      <c r="C30" t="n">
        <v>100</v>
      </c>
      <c r="D30" t="inlineStr">
        <is>
          <t>klux</t>
        </is>
      </c>
      <c r="E30" t="n">
        <v>8.300000000000001</v>
      </c>
      <c r="F30" t="n">
        <v>11.1</v>
      </c>
      <c r="G30" t="n">
        <v>11.3</v>
      </c>
      <c r="H30" t="n">
        <v>82</v>
      </c>
      <c r="I30" t="n">
        <v>0</v>
      </c>
      <c r="J30" t="n">
        <v>0</v>
      </c>
      <c r="K30" t="n">
        <v>0</v>
      </c>
      <c r="L30" t="n">
        <v>68</v>
      </c>
      <c r="M30" t="n">
        <v>1005</v>
      </c>
      <c r="N30" t="inlineStr">
        <is>
          <t>hpa</t>
        </is>
      </c>
      <c r="O30" t="n">
        <v>0</v>
      </c>
      <c r="P30" t="n">
        <v>0</v>
      </c>
      <c r="Q30" t="n">
        <v>0</v>
      </c>
      <c r="R30" t="inlineStr">
        <is>
          <t>mm</t>
        </is>
      </c>
      <c r="S30" t="n">
        <v>14</v>
      </c>
      <c r="T30" t="n">
        <v>11.3</v>
      </c>
      <c r="U30" t="n">
        <v>-60</v>
      </c>
      <c r="V30" t="n">
        <v>-60</v>
      </c>
      <c r="W30" t="n">
        <v>-60</v>
      </c>
      <c r="X30" t="inlineStr">
        <is>
          <t>c</t>
        </is>
      </c>
      <c r="Y30" t="n">
        <v>0</v>
      </c>
      <c r="Z30" t="n">
        <v>9.199999999999999</v>
      </c>
      <c r="AA30" t="n">
        <v>2.7</v>
      </c>
      <c r="AB30" t="n">
        <v>2.6</v>
      </c>
      <c r="AC30" t="inlineStr">
        <is>
          <t>kmph</t>
        </is>
      </c>
    </row>
    <row r="31">
      <c r="A31" t="inlineStr">
        <is>
          <t>2026-07-13 14:02:28</t>
        </is>
      </c>
      <c r="B31" t="n">
        <v>1005</v>
      </c>
      <c r="C31" t="n">
        <v>100</v>
      </c>
      <c r="D31" t="inlineStr">
        <is>
          <t>klux</t>
        </is>
      </c>
      <c r="E31" t="n">
        <v>8.300000000000001</v>
      </c>
      <c r="F31" t="n">
        <v>11.7</v>
      </c>
      <c r="G31" t="n">
        <v>11.5</v>
      </c>
      <c r="H31" t="n">
        <v>81</v>
      </c>
      <c r="I31" t="n">
        <v>0</v>
      </c>
      <c r="J31" t="n">
        <v>0</v>
      </c>
      <c r="K31" t="n">
        <v>0</v>
      </c>
      <c r="L31" t="n">
        <v>69</v>
      </c>
      <c r="M31" t="n">
        <v>1005</v>
      </c>
      <c r="N31" t="inlineStr">
        <is>
          <t>hpa</t>
        </is>
      </c>
      <c r="O31" t="n">
        <v>0</v>
      </c>
      <c r="P31" t="n">
        <v>0</v>
      </c>
      <c r="Q31" t="n">
        <v>0</v>
      </c>
      <c r="R31" t="inlineStr">
        <is>
          <t>mm</t>
        </is>
      </c>
      <c r="S31" t="n">
        <v>14</v>
      </c>
      <c r="T31" t="n">
        <v>11.5</v>
      </c>
      <c r="U31" t="n">
        <v>-60</v>
      </c>
      <c r="V31" t="n">
        <v>-60</v>
      </c>
      <c r="W31" t="n">
        <v>-60</v>
      </c>
      <c r="X31" t="inlineStr">
        <is>
          <t>c</t>
        </is>
      </c>
      <c r="Y31" t="n">
        <v>0</v>
      </c>
      <c r="Z31" t="n">
        <v>9.199999999999999</v>
      </c>
      <c r="AA31" t="n">
        <v>2.7</v>
      </c>
      <c r="AB31" t="n">
        <v>2.6</v>
      </c>
      <c r="AC31" t="inlineStr">
        <is>
          <t>kmph</t>
        </is>
      </c>
    </row>
    <row r="32">
      <c r="A32" t="inlineStr">
        <is>
          <t>2026-07-13 15:00:49</t>
        </is>
      </c>
      <c r="B32" t="n">
        <v>1005</v>
      </c>
      <c r="C32" t="n">
        <v>100</v>
      </c>
      <c r="D32" t="inlineStr">
        <is>
          <t>klux</t>
        </is>
      </c>
      <c r="E32" t="n">
        <v>8.4</v>
      </c>
      <c r="F32" t="n">
        <v>10.5</v>
      </c>
      <c r="G32" t="n">
        <v>11.2</v>
      </c>
      <c r="H32" t="n">
        <v>83</v>
      </c>
      <c r="I32" t="n">
        <v>0</v>
      </c>
      <c r="J32" t="n">
        <v>0</v>
      </c>
      <c r="K32" t="n">
        <v>0</v>
      </c>
      <c r="L32" t="n">
        <v>71</v>
      </c>
      <c r="M32" t="n">
        <v>1005</v>
      </c>
      <c r="N32" t="inlineStr">
        <is>
          <t>hpa</t>
        </is>
      </c>
      <c r="O32" t="n">
        <v>0</v>
      </c>
      <c r="P32" t="n">
        <v>0</v>
      </c>
      <c r="Q32" t="n">
        <v>0</v>
      </c>
      <c r="R32" t="inlineStr">
        <is>
          <t>mm</t>
        </is>
      </c>
      <c r="S32" t="n">
        <v>12.8</v>
      </c>
      <c r="T32" t="n">
        <v>11.2</v>
      </c>
      <c r="U32" t="n">
        <v>-60</v>
      </c>
      <c r="V32" t="n">
        <v>-60</v>
      </c>
      <c r="W32" t="n">
        <v>-60</v>
      </c>
      <c r="X32" t="inlineStr">
        <is>
          <t>c</t>
        </is>
      </c>
      <c r="Y32" t="n">
        <v>0</v>
      </c>
      <c r="Z32" t="n">
        <v>9.199999999999999</v>
      </c>
      <c r="AA32" t="n">
        <v>5</v>
      </c>
      <c r="AB32" t="n">
        <v>7.9</v>
      </c>
      <c r="AC32" t="inlineStr">
        <is>
          <t>kmph</t>
        </is>
      </c>
    </row>
    <row r="33">
      <c r="A33" t="inlineStr">
        <is>
          <t>2026-07-13 16:00:53</t>
        </is>
      </c>
      <c r="B33" t="n">
        <v>1004</v>
      </c>
      <c r="C33" t="n">
        <v>100</v>
      </c>
      <c r="D33" t="inlineStr">
        <is>
          <t>klux</t>
        </is>
      </c>
      <c r="E33" t="n">
        <v>8.6</v>
      </c>
      <c r="F33" t="n">
        <v>10.8</v>
      </c>
      <c r="G33" t="n">
        <v>11.1</v>
      </c>
      <c r="H33" t="n">
        <v>85</v>
      </c>
      <c r="I33" t="n">
        <v>0</v>
      </c>
      <c r="J33" t="n">
        <v>0</v>
      </c>
      <c r="K33" t="n">
        <v>0</v>
      </c>
      <c r="L33" t="n">
        <v>74</v>
      </c>
      <c r="M33" t="n">
        <v>1004</v>
      </c>
      <c r="N33" t="inlineStr">
        <is>
          <t>hpa</t>
        </is>
      </c>
      <c r="O33" t="n">
        <v>0</v>
      </c>
      <c r="P33" t="n">
        <v>0</v>
      </c>
      <c r="Q33" t="n">
        <v>0</v>
      </c>
      <c r="R33" t="inlineStr">
        <is>
          <t>mm</t>
        </is>
      </c>
      <c r="S33" t="n">
        <v>12.1</v>
      </c>
      <c r="T33" t="n">
        <v>11.1</v>
      </c>
      <c r="U33" t="n">
        <v>-60</v>
      </c>
      <c r="V33" t="n">
        <v>-60</v>
      </c>
      <c r="W33" t="n">
        <v>-60</v>
      </c>
      <c r="X33" t="inlineStr">
        <is>
          <t>c</t>
        </is>
      </c>
      <c r="Y33" t="n">
        <v>0</v>
      </c>
      <c r="Z33" t="n">
        <v>9.199999999999999</v>
      </c>
      <c r="AA33" t="n">
        <v>5.1</v>
      </c>
      <c r="AB33" t="n">
        <v>7.3</v>
      </c>
      <c r="AC33" t="inlineStr">
        <is>
          <t>kmph</t>
        </is>
      </c>
    </row>
    <row r="34">
      <c r="A34" t="inlineStr">
        <is>
          <t>2026-07-13 17:00:54</t>
        </is>
      </c>
      <c r="B34" t="n">
        <v>1004</v>
      </c>
      <c r="C34" t="n">
        <v>100</v>
      </c>
      <c r="D34" t="inlineStr">
        <is>
          <t>klux</t>
        </is>
      </c>
      <c r="E34" t="n">
        <v>8.5</v>
      </c>
      <c r="F34" t="n">
        <v>11</v>
      </c>
      <c r="G34" t="n">
        <v>10.8</v>
      </c>
      <c r="H34" t="n">
        <v>86</v>
      </c>
      <c r="I34" t="n">
        <v>0</v>
      </c>
      <c r="J34" t="n">
        <v>0</v>
      </c>
      <c r="K34" t="n">
        <v>0</v>
      </c>
      <c r="L34" t="n">
        <v>76</v>
      </c>
      <c r="M34" t="n">
        <v>1004</v>
      </c>
      <c r="N34" t="inlineStr">
        <is>
          <t>hpa</t>
        </is>
      </c>
      <c r="O34" t="n">
        <v>0</v>
      </c>
      <c r="P34" t="n">
        <v>0</v>
      </c>
      <c r="Q34" t="n">
        <v>0</v>
      </c>
      <c r="R34" t="inlineStr">
        <is>
          <t>mm</t>
        </is>
      </c>
      <c r="S34" t="n">
        <v>11.8</v>
      </c>
      <c r="T34" t="n">
        <v>10.8</v>
      </c>
      <c r="U34" t="n">
        <v>-60</v>
      </c>
      <c r="V34" t="n">
        <v>-60</v>
      </c>
      <c r="W34" t="n">
        <v>-60</v>
      </c>
      <c r="X34" t="inlineStr">
        <is>
          <t>c</t>
        </is>
      </c>
      <c r="Y34" t="n">
        <v>0</v>
      </c>
      <c r="Z34" t="n">
        <v>9.199999999999999</v>
      </c>
      <c r="AA34" t="n">
        <v>1.5</v>
      </c>
      <c r="AB34" t="n">
        <v>0</v>
      </c>
      <c r="AC34" t="inlineStr">
        <is>
          <t>kmph</t>
        </is>
      </c>
    </row>
    <row r="35">
      <c r="A35" t="inlineStr">
        <is>
          <t>2026-07-13 18:00:51</t>
        </is>
      </c>
      <c r="B35" t="n">
        <v>1005</v>
      </c>
      <c r="C35" t="n">
        <v>100</v>
      </c>
      <c r="D35" t="inlineStr">
        <is>
          <t>klux</t>
        </is>
      </c>
      <c r="E35" t="n">
        <v>8.4</v>
      </c>
      <c r="F35" t="n">
        <v>10.6</v>
      </c>
      <c r="G35" t="n">
        <v>10.4</v>
      </c>
      <c r="H35" t="n">
        <v>88</v>
      </c>
      <c r="I35" t="n">
        <v>0</v>
      </c>
      <c r="J35" t="n">
        <v>0</v>
      </c>
      <c r="K35" t="n">
        <v>0</v>
      </c>
      <c r="L35" t="n">
        <v>78</v>
      </c>
      <c r="M35" t="n">
        <v>1005</v>
      </c>
      <c r="N35" t="inlineStr">
        <is>
          <t>hpa</t>
        </is>
      </c>
      <c r="O35" t="n">
        <v>0</v>
      </c>
      <c r="P35" t="n">
        <v>0</v>
      </c>
      <c r="Q35" t="n">
        <v>0</v>
      </c>
      <c r="R35" t="inlineStr">
        <is>
          <t>mm</t>
        </is>
      </c>
      <c r="S35" t="n">
        <v>11.6</v>
      </c>
      <c r="T35" t="n">
        <v>10.4</v>
      </c>
      <c r="U35" t="n">
        <v>-60</v>
      </c>
      <c r="V35" t="n">
        <v>-60</v>
      </c>
      <c r="W35" t="n">
        <v>-60</v>
      </c>
      <c r="X35" t="inlineStr">
        <is>
          <t>c</t>
        </is>
      </c>
      <c r="Y35" t="n">
        <v>0</v>
      </c>
      <c r="Z35" t="n">
        <v>9.199999999999999</v>
      </c>
      <c r="AA35" t="n">
        <v>0</v>
      </c>
      <c r="AB35" t="n">
        <v>0</v>
      </c>
      <c r="AC35" t="inlineStr">
        <is>
          <t>kmph</t>
        </is>
      </c>
    </row>
    <row r="36">
      <c r="A36" t="inlineStr">
        <is>
          <t>2026-07-13 18:13:27</t>
        </is>
      </c>
      <c r="B36" t="n">
        <v>1005</v>
      </c>
      <c r="C36" t="n">
        <v>100</v>
      </c>
      <c r="D36" t="inlineStr">
        <is>
          <t>klux</t>
        </is>
      </c>
      <c r="E36" t="n">
        <v>8.4</v>
      </c>
      <c r="F36" t="n">
        <v>10.6</v>
      </c>
      <c r="G36" t="n">
        <v>10.4</v>
      </c>
      <c r="H36" t="n">
        <v>88</v>
      </c>
      <c r="I36" t="n">
        <v>0</v>
      </c>
      <c r="J36" t="n">
        <v>0</v>
      </c>
      <c r="K36" t="n">
        <v>0</v>
      </c>
      <c r="L36" t="n">
        <v>78</v>
      </c>
      <c r="M36" t="n">
        <v>1005</v>
      </c>
      <c r="N36" t="inlineStr">
        <is>
          <t>hpa</t>
        </is>
      </c>
      <c r="O36" t="n">
        <v>0</v>
      </c>
      <c r="P36" t="n">
        <v>0</v>
      </c>
      <c r="Q36" t="n">
        <v>0</v>
      </c>
      <c r="R36" t="inlineStr">
        <is>
          <t>mm</t>
        </is>
      </c>
      <c r="S36" t="n">
        <v>11.5</v>
      </c>
      <c r="T36" t="n">
        <v>10.4</v>
      </c>
      <c r="U36" t="n">
        <v>-60</v>
      </c>
      <c r="V36" t="n">
        <v>-60</v>
      </c>
      <c r="W36" t="n">
        <v>-60</v>
      </c>
      <c r="X36" t="inlineStr">
        <is>
          <t>c</t>
        </is>
      </c>
      <c r="Y36" t="n">
        <v>0</v>
      </c>
      <c r="Z36" t="n">
        <v>9.199999999999999</v>
      </c>
      <c r="AA36" t="n">
        <v>0</v>
      </c>
      <c r="AB36" t="n">
        <v>0</v>
      </c>
      <c r="AC36" t="inlineStr">
        <is>
          <t>kmph</t>
        </is>
      </c>
    </row>
    <row r="37">
      <c r="A37" t="inlineStr">
        <is>
          <t>2026-07-13 19:00:52</t>
        </is>
      </c>
      <c r="B37" t="n">
        <v>1005</v>
      </c>
      <c r="C37" t="n">
        <v>100</v>
      </c>
      <c r="D37" t="inlineStr">
        <is>
          <t>klux</t>
        </is>
      </c>
      <c r="E37" t="n">
        <v>8.300000000000001</v>
      </c>
      <c r="F37" t="n">
        <v>10.3</v>
      </c>
      <c r="G37" t="n">
        <v>10.1</v>
      </c>
      <c r="H37" t="n">
        <v>89</v>
      </c>
      <c r="I37" t="n">
        <v>0</v>
      </c>
      <c r="J37" t="n">
        <v>0</v>
      </c>
      <c r="K37" t="n">
        <v>0</v>
      </c>
      <c r="L37" t="n">
        <v>79</v>
      </c>
      <c r="M37" t="n">
        <v>1005</v>
      </c>
      <c r="N37" t="inlineStr">
        <is>
          <t>hpa</t>
        </is>
      </c>
      <c r="O37" t="n">
        <v>0</v>
      </c>
      <c r="P37" t="n">
        <v>0</v>
      </c>
      <c r="Q37" t="n">
        <v>0</v>
      </c>
      <c r="R37" t="inlineStr">
        <is>
          <t>mm</t>
        </is>
      </c>
      <c r="S37" t="n">
        <v>11.4</v>
      </c>
      <c r="T37" t="n">
        <v>10.1</v>
      </c>
      <c r="U37" t="n">
        <v>-60</v>
      </c>
      <c r="V37" t="n">
        <v>-60</v>
      </c>
      <c r="W37" t="n">
        <v>-60</v>
      </c>
      <c r="X37" t="inlineStr">
        <is>
          <t>c</t>
        </is>
      </c>
      <c r="Y37" t="n">
        <v>0</v>
      </c>
      <c r="Z37" t="n">
        <v>9.199999999999999</v>
      </c>
      <c r="AA37" t="n">
        <v>0</v>
      </c>
      <c r="AB37" t="n">
        <v>0</v>
      </c>
      <c r="AC37" t="inlineStr">
        <is>
          <t>kmph</t>
        </is>
      </c>
    </row>
    <row r="38">
      <c r="A38" t="inlineStr">
        <is>
          <t>2026-07-13 20:00:46</t>
        </is>
      </c>
      <c r="B38" t="n">
        <v>1005</v>
      </c>
      <c r="C38" t="n">
        <v>100</v>
      </c>
      <c r="D38" t="inlineStr">
        <is>
          <t>klux</t>
        </is>
      </c>
      <c r="E38" t="n">
        <v>8.199999999999999</v>
      </c>
      <c r="F38" t="n">
        <v>10.4</v>
      </c>
      <c r="G38" t="n">
        <v>10.2</v>
      </c>
      <c r="H38" t="n">
        <v>88</v>
      </c>
      <c r="I38" t="n">
        <v>0</v>
      </c>
      <c r="J38" t="n">
        <v>0</v>
      </c>
      <c r="K38" t="n">
        <v>0</v>
      </c>
      <c r="L38" t="n">
        <v>79</v>
      </c>
      <c r="M38" t="n">
        <v>1005</v>
      </c>
      <c r="N38" t="inlineStr">
        <is>
          <t>hpa</t>
        </is>
      </c>
      <c r="O38" t="n">
        <v>0</v>
      </c>
      <c r="P38" t="n">
        <v>0</v>
      </c>
      <c r="Q38" t="n">
        <v>0</v>
      </c>
      <c r="R38" t="inlineStr">
        <is>
          <t>mm</t>
        </is>
      </c>
      <c r="S38" t="n">
        <v>11.2</v>
      </c>
      <c r="T38" t="n">
        <v>10.2</v>
      </c>
      <c r="U38" t="n">
        <v>-60</v>
      </c>
      <c r="V38" t="n">
        <v>-60</v>
      </c>
      <c r="W38" t="n">
        <v>-60</v>
      </c>
      <c r="X38" t="inlineStr">
        <is>
          <t>c</t>
        </is>
      </c>
      <c r="Y38" t="n">
        <v>0</v>
      </c>
      <c r="Z38" t="n">
        <v>9.199999999999999</v>
      </c>
      <c r="AA38" t="n">
        <v>0</v>
      </c>
      <c r="AB38" t="n">
        <v>0</v>
      </c>
      <c r="AC38" t="inlineStr">
        <is>
          <t>kmph</t>
        </is>
      </c>
    </row>
    <row r="39">
      <c r="A39" t="inlineStr">
        <is>
          <t>2026-07-13 21:00:50</t>
        </is>
      </c>
      <c r="B39" t="n">
        <v>1005</v>
      </c>
      <c r="C39" t="n">
        <v>100</v>
      </c>
      <c r="D39" t="inlineStr">
        <is>
          <t>klux</t>
        </is>
      </c>
      <c r="E39" t="n">
        <v>8.1</v>
      </c>
      <c r="F39" t="n">
        <v>10.3</v>
      </c>
      <c r="G39" t="n">
        <v>10.2</v>
      </c>
      <c r="H39" t="n">
        <v>87</v>
      </c>
      <c r="I39" t="n">
        <v>0</v>
      </c>
      <c r="J39" t="n">
        <v>0</v>
      </c>
      <c r="K39" t="n">
        <v>0</v>
      </c>
      <c r="L39" t="n">
        <v>78</v>
      </c>
      <c r="M39" t="n">
        <v>1005</v>
      </c>
      <c r="N39" t="inlineStr">
        <is>
          <t>hpa</t>
        </is>
      </c>
      <c r="O39" t="n">
        <v>0</v>
      </c>
      <c r="P39" t="n">
        <v>0</v>
      </c>
      <c r="Q39" t="n">
        <v>0</v>
      </c>
      <c r="R39" t="inlineStr">
        <is>
          <t>mm</t>
        </is>
      </c>
      <c r="S39" t="n">
        <v>11.1</v>
      </c>
      <c r="T39" t="n">
        <v>10.2</v>
      </c>
      <c r="U39" t="n">
        <v>-60</v>
      </c>
      <c r="V39" t="n">
        <v>-60</v>
      </c>
      <c r="W39" t="n">
        <v>-60</v>
      </c>
      <c r="X39" t="inlineStr">
        <is>
          <t>c</t>
        </is>
      </c>
      <c r="Y39" t="n">
        <v>0</v>
      </c>
      <c r="Z39" t="n">
        <v>9.199999999999999</v>
      </c>
      <c r="AA39" t="n">
        <v>0</v>
      </c>
      <c r="AB39" t="n">
        <v>0</v>
      </c>
      <c r="AC39" t="inlineStr">
        <is>
          <t>kmph</t>
        </is>
      </c>
    </row>
    <row r="40">
      <c r="A40" t="inlineStr">
        <is>
          <t>2026-07-13 22:00:48</t>
        </is>
      </c>
      <c r="B40" t="n">
        <v>1005</v>
      </c>
      <c r="C40" t="n">
        <v>100</v>
      </c>
      <c r="D40" t="inlineStr">
        <is>
          <t>klux</t>
        </is>
      </c>
      <c r="E40" t="n">
        <v>7</v>
      </c>
      <c r="F40" t="n">
        <v>7.9</v>
      </c>
      <c r="G40" t="n">
        <v>8.1</v>
      </c>
      <c r="H40" t="n">
        <v>93</v>
      </c>
      <c r="I40" t="n">
        <v>0</v>
      </c>
      <c r="J40" t="n">
        <v>0</v>
      </c>
      <c r="K40" t="n">
        <v>0</v>
      </c>
      <c r="L40" t="n">
        <v>81</v>
      </c>
      <c r="M40" t="n">
        <v>1005</v>
      </c>
      <c r="N40" t="inlineStr">
        <is>
          <t>hpa</t>
        </is>
      </c>
      <c r="O40" t="n">
        <v>0</v>
      </c>
      <c r="P40" t="n">
        <v>0</v>
      </c>
      <c r="Q40" t="n">
        <v>0</v>
      </c>
      <c r="R40" t="inlineStr">
        <is>
          <t>mm</t>
        </is>
      </c>
      <c r="S40" t="n">
        <v>9.300000000000001</v>
      </c>
      <c r="T40" t="n">
        <v>8.1</v>
      </c>
      <c r="U40" t="n">
        <v>-60</v>
      </c>
      <c r="V40" t="n">
        <v>-60</v>
      </c>
      <c r="W40" t="n">
        <v>-60</v>
      </c>
      <c r="X40" t="inlineStr">
        <is>
          <t>c</t>
        </is>
      </c>
      <c r="Y40" t="n">
        <v>0</v>
      </c>
      <c r="Z40" t="n">
        <v>9.199999999999999</v>
      </c>
      <c r="AA40" t="n">
        <v>1.1</v>
      </c>
      <c r="AB40" t="n">
        <v>3.9</v>
      </c>
      <c r="AC40" t="inlineStr">
        <is>
          <t>kmph</t>
        </is>
      </c>
    </row>
    <row r="41">
      <c r="A41" t="inlineStr">
        <is>
          <t>2026-07-13 23:00:45</t>
        </is>
      </c>
      <c r="B41" t="n">
        <v>1005</v>
      </c>
      <c r="C41" t="n">
        <v>100</v>
      </c>
      <c r="D41" t="inlineStr">
        <is>
          <t>klux</t>
        </is>
      </c>
      <c r="E41" t="n">
        <v>6.5</v>
      </c>
      <c r="F41" t="n">
        <v>7.5</v>
      </c>
      <c r="G41" t="n">
        <v>7.8</v>
      </c>
      <c r="H41" t="n">
        <v>92</v>
      </c>
      <c r="I41" t="n">
        <v>0</v>
      </c>
      <c r="J41" t="n">
        <v>0</v>
      </c>
      <c r="K41" t="n">
        <v>0</v>
      </c>
      <c r="L41" t="n">
        <v>84</v>
      </c>
      <c r="M41" t="n">
        <v>1005</v>
      </c>
      <c r="N41" t="inlineStr">
        <is>
          <t>hpa</t>
        </is>
      </c>
      <c r="O41" t="n">
        <v>0</v>
      </c>
      <c r="P41" t="n">
        <v>0</v>
      </c>
      <c r="Q41" t="n">
        <v>0</v>
      </c>
      <c r="R41" t="inlineStr">
        <is>
          <t>mm</t>
        </is>
      </c>
      <c r="S41" t="n">
        <v>8.4</v>
      </c>
      <c r="T41" t="n">
        <v>7.8</v>
      </c>
      <c r="U41" t="n">
        <v>-60</v>
      </c>
      <c r="V41" t="n">
        <v>-60</v>
      </c>
      <c r="W41" t="n">
        <v>-60</v>
      </c>
      <c r="X41" t="inlineStr">
        <is>
          <t>c</t>
        </is>
      </c>
      <c r="Y41" t="n">
        <v>0</v>
      </c>
      <c r="Z41" t="n">
        <v>7.2</v>
      </c>
      <c r="AA41" t="n">
        <v>3.2</v>
      </c>
      <c r="AB41" t="n">
        <v>0</v>
      </c>
      <c r="AC41" t="inlineStr">
        <is>
          <t>kmph</t>
        </is>
      </c>
    </row>
    <row r="42">
      <c r="A42" t="inlineStr">
        <is>
          <t>2026-07-14 00:00:46</t>
        </is>
      </c>
      <c r="B42" t="n">
        <v>1004</v>
      </c>
      <c r="C42" t="n">
        <v>100</v>
      </c>
      <c r="D42" t="inlineStr">
        <is>
          <t>klux</t>
        </is>
      </c>
      <c r="E42" t="n">
        <v>6.1</v>
      </c>
      <c r="F42" t="n">
        <v>5.9</v>
      </c>
      <c r="G42" t="n">
        <v>7.2</v>
      </c>
      <c r="H42" t="n">
        <v>93</v>
      </c>
      <c r="I42" t="n">
        <v>0</v>
      </c>
      <c r="J42" t="n">
        <v>0</v>
      </c>
      <c r="K42" t="n">
        <v>0</v>
      </c>
      <c r="L42" t="n">
        <v>86</v>
      </c>
      <c r="M42" t="n">
        <v>1004</v>
      </c>
      <c r="N42" t="inlineStr">
        <is>
          <t>hpa</t>
        </is>
      </c>
      <c r="O42" t="n">
        <v>0</v>
      </c>
      <c r="P42" t="n">
        <v>0</v>
      </c>
      <c r="Q42" t="n">
        <v>0</v>
      </c>
      <c r="R42" t="inlineStr">
        <is>
          <t>mm</t>
        </is>
      </c>
      <c r="S42" t="n">
        <v>7.5</v>
      </c>
      <c r="T42" t="n">
        <v>7.2</v>
      </c>
      <c r="U42" t="n">
        <v>-60</v>
      </c>
      <c r="V42" t="n">
        <v>-60</v>
      </c>
      <c r="W42" t="n">
        <v>-60</v>
      </c>
      <c r="X42" t="inlineStr">
        <is>
          <t>c</t>
        </is>
      </c>
      <c r="Y42" t="n">
        <v>0</v>
      </c>
      <c r="Z42" t="n">
        <v>5.9</v>
      </c>
      <c r="AA42" t="n">
        <v>3.6</v>
      </c>
      <c r="AB42" t="n">
        <v>6.6</v>
      </c>
      <c r="AC42" t="inlineStr">
        <is>
          <t>kmph</t>
        </is>
      </c>
    </row>
    <row r="43">
      <c r="A43" t="inlineStr">
        <is>
          <t>2026-07-14 01:00:46</t>
        </is>
      </c>
      <c r="B43" t="n">
        <v>1004</v>
      </c>
      <c r="C43" t="n">
        <v>100</v>
      </c>
      <c r="D43" t="inlineStr">
        <is>
          <t>klux</t>
        </is>
      </c>
      <c r="E43" t="n">
        <v>6</v>
      </c>
      <c r="F43" t="n">
        <v>5.7</v>
      </c>
      <c r="G43" t="n">
        <v>7</v>
      </c>
      <c r="H43" t="n">
        <v>94</v>
      </c>
      <c r="I43" t="n">
        <v>0</v>
      </c>
      <c r="J43" t="n">
        <v>0</v>
      </c>
      <c r="K43" t="n">
        <v>0</v>
      </c>
      <c r="L43" t="n">
        <v>86</v>
      </c>
      <c r="M43" t="n">
        <v>1004</v>
      </c>
      <c r="N43" t="inlineStr">
        <is>
          <t>hpa</t>
        </is>
      </c>
      <c r="O43" t="n">
        <v>0</v>
      </c>
      <c r="P43" t="n">
        <v>0</v>
      </c>
      <c r="Q43" t="n">
        <v>0</v>
      </c>
      <c r="R43" t="inlineStr">
        <is>
          <t>mm</t>
        </is>
      </c>
      <c r="S43" t="n">
        <v>7.1</v>
      </c>
      <c r="T43" t="n">
        <v>7</v>
      </c>
      <c r="U43" t="n">
        <v>-60</v>
      </c>
      <c r="V43" t="n">
        <v>-60</v>
      </c>
      <c r="W43" t="n">
        <v>-60</v>
      </c>
      <c r="X43" t="inlineStr">
        <is>
          <t>c</t>
        </is>
      </c>
      <c r="Y43" t="n">
        <v>0</v>
      </c>
      <c r="Z43" t="n">
        <v>5.9</v>
      </c>
      <c r="AA43" t="n">
        <v>3.8</v>
      </c>
      <c r="AB43" t="n">
        <v>5.3</v>
      </c>
      <c r="AC43" t="inlineStr">
        <is>
          <t>kmph</t>
        </is>
      </c>
    </row>
    <row r="44">
      <c r="A44" t="inlineStr">
        <is>
          <t>2026-07-14 02:00:48</t>
        </is>
      </c>
      <c r="B44" t="n">
        <v>1004</v>
      </c>
      <c r="C44" t="n">
        <v>100</v>
      </c>
      <c r="D44" t="inlineStr">
        <is>
          <t>klux</t>
        </is>
      </c>
      <c r="E44" t="n">
        <v>6.4</v>
      </c>
      <c r="F44" t="n">
        <v>6.3</v>
      </c>
      <c r="G44" t="n">
        <v>7.5</v>
      </c>
      <c r="H44" t="n">
        <v>93</v>
      </c>
      <c r="I44" t="n">
        <v>0</v>
      </c>
      <c r="J44" t="n">
        <v>0</v>
      </c>
      <c r="K44" t="n">
        <v>0</v>
      </c>
      <c r="L44" t="n">
        <v>87</v>
      </c>
      <c r="M44" t="n">
        <v>1004</v>
      </c>
      <c r="N44" t="inlineStr">
        <is>
          <t>hpa</t>
        </is>
      </c>
      <c r="O44" t="n">
        <v>0</v>
      </c>
      <c r="P44" t="n">
        <v>0</v>
      </c>
      <c r="Q44" t="n">
        <v>0</v>
      </c>
      <c r="R44" t="inlineStr">
        <is>
          <t>mm</t>
        </is>
      </c>
      <c r="S44" t="n">
        <v>7.5</v>
      </c>
      <c r="T44" t="n">
        <v>7.5</v>
      </c>
      <c r="U44" t="n">
        <v>-60</v>
      </c>
      <c r="V44" t="n">
        <v>-60</v>
      </c>
      <c r="W44" t="n">
        <v>-60</v>
      </c>
      <c r="X44" t="inlineStr">
        <is>
          <t>c</t>
        </is>
      </c>
      <c r="Y44" t="n">
        <v>0</v>
      </c>
      <c r="Z44" t="n">
        <v>6.6</v>
      </c>
      <c r="AA44" t="n">
        <v>4</v>
      </c>
      <c r="AB44" t="n">
        <v>5.9</v>
      </c>
      <c r="AC44" t="inlineStr">
        <is>
          <t>kmph</t>
        </is>
      </c>
    </row>
    <row r="45">
      <c r="A45" t="inlineStr">
        <is>
          <t>2026-07-14 02:59:28</t>
        </is>
      </c>
      <c r="B45" t="n">
        <v>1003</v>
      </c>
      <c r="C45" t="n">
        <v>100</v>
      </c>
      <c r="D45" t="inlineStr">
        <is>
          <t>klux</t>
        </is>
      </c>
      <c r="E45" t="n">
        <v>6.1</v>
      </c>
      <c r="F45" t="n">
        <v>6.7</v>
      </c>
      <c r="G45" t="n">
        <v>7.1</v>
      </c>
      <c r="H45" t="n">
        <v>94</v>
      </c>
      <c r="I45" t="n">
        <v>0</v>
      </c>
      <c r="J45" t="n">
        <v>0</v>
      </c>
      <c r="K45" t="n">
        <v>0</v>
      </c>
      <c r="L45" t="n">
        <v>86</v>
      </c>
      <c r="M45" t="n">
        <v>1003</v>
      </c>
      <c r="N45" t="inlineStr">
        <is>
          <t>hpa</t>
        </is>
      </c>
      <c r="O45" t="n">
        <v>0</v>
      </c>
      <c r="P45" t="n">
        <v>0</v>
      </c>
      <c r="Q45" t="n">
        <v>0</v>
      </c>
      <c r="R45" t="inlineStr">
        <is>
          <t>mm</t>
        </is>
      </c>
      <c r="S45" t="n">
        <v>7.4</v>
      </c>
      <c r="T45" t="n">
        <v>7.1</v>
      </c>
      <c r="U45" t="n">
        <v>-60</v>
      </c>
      <c r="V45" t="n">
        <v>-60</v>
      </c>
      <c r="W45" t="n">
        <v>-60</v>
      </c>
      <c r="X45" t="inlineStr">
        <is>
          <t>c</t>
        </is>
      </c>
      <c r="Y45" t="n">
        <v>0</v>
      </c>
      <c r="Z45" t="n">
        <v>5.9</v>
      </c>
      <c r="AA45" t="n">
        <v>4</v>
      </c>
      <c r="AB45" t="n">
        <v>0</v>
      </c>
      <c r="AC45" t="inlineStr">
        <is>
          <t>kmph</t>
        </is>
      </c>
    </row>
    <row r="46">
      <c r="A46" t="inlineStr">
        <is>
          <t>2026-07-14 03:00:46</t>
        </is>
      </c>
      <c r="B46" t="n">
        <v>1003</v>
      </c>
      <c r="C46" t="n">
        <v>100</v>
      </c>
      <c r="D46" t="inlineStr">
        <is>
          <t>klux</t>
        </is>
      </c>
      <c r="E46" t="n">
        <v>6</v>
      </c>
      <c r="F46" t="n">
        <v>6.6</v>
      </c>
      <c r="G46" t="n">
        <v>7</v>
      </c>
      <c r="H46" t="n">
        <v>94</v>
      </c>
      <c r="I46" t="n">
        <v>0</v>
      </c>
      <c r="J46" t="n">
        <v>0</v>
      </c>
      <c r="K46" t="n">
        <v>0</v>
      </c>
      <c r="L46" t="n">
        <v>86</v>
      </c>
      <c r="M46" t="n">
        <v>1003</v>
      </c>
      <c r="N46" t="inlineStr">
        <is>
          <t>hpa</t>
        </is>
      </c>
      <c r="O46" t="n">
        <v>0</v>
      </c>
      <c r="P46" t="n">
        <v>0</v>
      </c>
      <c r="Q46" t="n">
        <v>0</v>
      </c>
      <c r="R46" t="inlineStr">
        <is>
          <t>mm</t>
        </is>
      </c>
      <c r="S46" t="n">
        <v>7.4</v>
      </c>
      <c r="T46" t="n">
        <v>7</v>
      </c>
      <c r="U46" t="n">
        <v>-60</v>
      </c>
      <c r="V46" t="n">
        <v>-60</v>
      </c>
      <c r="W46" t="n">
        <v>-60</v>
      </c>
      <c r="X46" t="inlineStr">
        <is>
          <t>c</t>
        </is>
      </c>
      <c r="Y46" t="n">
        <v>0</v>
      </c>
      <c r="Z46" t="n">
        <v>5.9</v>
      </c>
      <c r="AA46" t="n">
        <v>4</v>
      </c>
      <c r="AB46" t="n">
        <v>0</v>
      </c>
      <c r="AC46" t="inlineStr">
        <is>
          <t>kmph</t>
        </is>
      </c>
    </row>
    <row r="47">
      <c r="A47" t="inlineStr">
        <is>
          <t>2026-07-14 04:00:47</t>
        </is>
      </c>
      <c r="B47" t="n">
        <v>1003</v>
      </c>
      <c r="C47" t="n">
        <v>100</v>
      </c>
      <c r="D47" t="inlineStr">
        <is>
          <t>klux</t>
        </is>
      </c>
      <c r="E47" t="n">
        <v>5.7</v>
      </c>
      <c r="F47" t="n">
        <v>4.9</v>
      </c>
      <c r="G47" t="n">
        <v>6.3</v>
      </c>
      <c r="H47" t="n">
        <v>96</v>
      </c>
      <c r="I47" t="n">
        <v>0</v>
      </c>
      <c r="J47" t="n">
        <v>0</v>
      </c>
      <c r="K47" t="n">
        <v>0</v>
      </c>
      <c r="L47" t="n">
        <v>87</v>
      </c>
      <c r="M47" t="n">
        <v>1003</v>
      </c>
      <c r="N47" t="inlineStr">
        <is>
          <t>hpa</t>
        </is>
      </c>
      <c r="O47" t="n">
        <v>0</v>
      </c>
      <c r="P47" t="n">
        <v>0</v>
      </c>
      <c r="Q47" t="n">
        <v>0</v>
      </c>
      <c r="R47" t="inlineStr">
        <is>
          <t>mm</t>
        </is>
      </c>
      <c r="S47" t="n">
        <v>6.8</v>
      </c>
      <c r="T47" t="n">
        <v>6.3</v>
      </c>
      <c r="U47" t="n">
        <v>-60</v>
      </c>
      <c r="V47" t="n">
        <v>-60</v>
      </c>
      <c r="W47" t="n">
        <v>-60</v>
      </c>
      <c r="X47" t="inlineStr">
        <is>
          <t>c</t>
        </is>
      </c>
      <c r="Y47" t="n">
        <v>0</v>
      </c>
      <c r="Z47" t="n">
        <v>5.3</v>
      </c>
      <c r="AA47" t="n">
        <v>2.7</v>
      </c>
      <c r="AB47" t="n">
        <v>5.9</v>
      </c>
      <c r="AC47" t="inlineStr">
        <is>
          <t>kmph</t>
        </is>
      </c>
    </row>
    <row r="48">
      <c r="A48" t="inlineStr">
        <is>
          <t>2026-07-14 05:00:47</t>
        </is>
      </c>
      <c r="B48" t="n">
        <v>1003</v>
      </c>
      <c r="C48" t="n">
        <v>100</v>
      </c>
      <c r="D48" t="inlineStr">
        <is>
          <t>klux</t>
        </is>
      </c>
      <c r="E48" t="n">
        <v>6.2</v>
      </c>
      <c r="F48" t="n">
        <v>5.5</v>
      </c>
      <c r="G48" t="n">
        <v>6.7</v>
      </c>
      <c r="H48" t="n">
        <v>97</v>
      </c>
      <c r="I48" t="n">
        <v>0</v>
      </c>
      <c r="J48" t="n">
        <v>0</v>
      </c>
      <c r="K48" t="n">
        <v>0</v>
      </c>
      <c r="L48" t="n">
        <v>89</v>
      </c>
      <c r="M48" t="n">
        <v>1003</v>
      </c>
      <c r="N48" t="inlineStr">
        <is>
          <t>hpa</t>
        </is>
      </c>
      <c r="O48" t="n">
        <v>0</v>
      </c>
      <c r="P48" t="n">
        <v>0</v>
      </c>
      <c r="Q48" t="n">
        <v>0</v>
      </c>
      <c r="R48" t="inlineStr">
        <is>
          <t>mm</t>
        </is>
      </c>
      <c r="S48" t="n">
        <v>7.1</v>
      </c>
      <c r="T48" t="n">
        <v>6.7</v>
      </c>
      <c r="U48" t="n">
        <v>-60</v>
      </c>
      <c r="V48" t="n">
        <v>-60</v>
      </c>
      <c r="W48" t="n">
        <v>-60</v>
      </c>
      <c r="X48" t="inlineStr">
        <is>
          <t>c</t>
        </is>
      </c>
      <c r="Y48" t="n">
        <v>0</v>
      </c>
      <c r="Z48" t="n">
        <v>5.9</v>
      </c>
      <c r="AA48" t="n">
        <v>4.1</v>
      </c>
      <c r="AB48" t="n">
        <v>5.3</v>
      </c>
      <c r="AC48" t="inlineStr">
        <is>
          <t>kmph</t>
        </is>
      </c>
    </row>
    <row r="49">
      <c r="A49" t="inlineStr">
        <is>
          <t>2026-07-14 06:00:47</t>
        </is>
      </c>
      <c r="B49" t="n">
        <v>1003</v>
      </c>
      <c r="C49" t="n">
        <v>100</v>
      </c>
      <c r="D49" t="inlineStr">
        <is>
          <t>klux</t>
        </is>
      </c>
      <c r="E49" t="n">
        <v>6.4</v>
      </c>
      <c r="F49" t="n">
        <v>5.4</v>
      </c>
      <c r="G49" t="n">
        <v>6.7</v>
      </c>
      <c r="H49" t="n">
        <v>98</v>
      </c>
      <c r="I49" t="n">
        <v>0</v>
      </c>
      <c r="J49" t="n">
        <v>0</v>
      </c>
      <c r="K49" t="n">
        <v>0</v>
      </c>
      <c r="L49" t="n">
        <v>90</v>
      </c>
      <c r="M49" t="n">
        <v>1003</v>
      </c>
      <c r="N49" t="inlineStr">
        <is>
          <t>hpa</t>
        </is>
      </c>
      <c r="O49" t="n">
        <v>0</v>
      </c>
      <c r="P49" t="n">
        <v>0</v>
      </c>
      <c r="Q49" t="n">
        <v>0</v>
      </c>
      <c r="R49" t="inlineStr">
        <is>
          <t>mm</t>
        </is>
      </c>
      <c r="S49" t="n">
        <v>7.3</v>
      </c>
      <c r="T49" t="n">
        <v>6.7</v>
      </c>
      <c r="U49" t="n">
        <v>-60</v>
      </c>
      <c r="V49" t="n">
        <v>-60</v>
      </c>
      <c r="W49" t="n">
        <v>-60</v>
      </c>
      <c r="X49" t="inlineStr">
        <is>
          <t>c</t>
        </is>
      </c>
      <c r="Y49" t="n">
        <v>0</v>
      </c>
      <c r="Z49" t="n">
        <v>5.9</v>
      </c>
      <c r="AA49" t="n">
        <v>3.7</v>
      </c>
      <c r="AB49" t="n">
        <v>7.3</v>
      </c>
      <c r="AC49" t="inlineStr">
        <is>
          <t>kmph</t>
        </is>
      </c>
    </row>
    <row r="50">
      <c r="A50" t="inlineStr">
        <is>
          <t>2026-07-14 07:00:51</t>
        </is>
      </c>
      <c r="B50" t="n">
        <v>1003</v>
      </c>
      <c r="C50" t="n">
        <v>100</v>
      </c>
      <c r="D50" t="inlineStr">
        <is>
          <t>klux</t>
        </is>
      </c>
      <c r="E50" t="n">
        <v>6.9</v>
      </c>
      <c r="F50" t="n">
        <v>6.2</v>
      </c>
      <c r="G50" t="n">
        <v>7.3</v>
      </c>
      <c r="H50" t="n">
        <v>98</v>
      </c>
      <c r="I50" t="n">
        <v>0</v>
      </c>
      <c r="J50" t="n">
        <v>0</v>
      </c>
      <c r="K50" t="n">
        <v>0</v>
      </c>
      <c r="L50" t="n">
        <v>91</v>
      </c>
      <c r="M50" t="n">
        <v>1003</v>
      </c>
      <c r="N50" t="inlineStr">
        <is>
          <t>hpa</t>
        </is>
      </c>
      <c r="O50" t="n">
        <v>0</v>
      </c>
      <c r="P50" t="n">
        <v>0</v>
      </c>
      <c r="Q50" t="n">
        <v>0</v>
      </c>
      <c r="R50" t="inlineStr">
        <is>
          <t>mm</t>
        </is>
      </c>
      <c r="S50" t="n">
        <v>7.7</v>
      </c>
      <c r="T50" t="n">
        <v>7.3</v>
      </c>
      <c r="U50" t="n">
        <v>-60</v>
      </c>
      <c r="V50" t="n">
        <v>-60</v>
      </c>
      <c r="W50" t="n">
        <v>-60</v>
      </c>
      <c r="X50" t="inlineStr">
        <is>
          <t>c</t>
        </is>
      </c>
      <c r="Y50" t="n">
        <v>0</v>
      </c>
      <c r="Z50" t="n">
        <v>6.6</v>
      </c>
      <c r="AA50" t="n">
        <v>3.9</v>
      </c>
      <c r="AB50" t="n">
        <v>5.3</v>
      </c>
      <c r="AC50" t="inlineStr">
        <is>
          <t>kmph</t>
        </is>
      </c>
    </row>
    <row r="51">
      <c r="A51" t="inlineStr">
        <is>
          <t>2026-07-14 08:00:49</t>
        </is>
      </c>
      <c r="B51" t="n">
        <v>1004</v>
      </c>
      <c r="C51" t="n">
        <v>100</v>
      </c>
      <c r="D51" t="inlineStr">
        <is>
          <t>klux</t>
        </is>
      </c>
      <c r="E51" t="n">
        <v>7.3</v>
      </c>
      <c r="F51" t="n">
        <v>7</v>
      </c>
      <c r="G51" t="n">
        <v>7.5</v>
      </c>
      <c r="H51" t="n">
        <v>99</v>
      </c>
      <c r="I51" t="n">
        <v>0</v>
      </c>
      <c r="J51" t="n">
        <v>0</v>
      </c>
      <c r="K51" t="n">
        <v>0</v>
      </c>
      <c r="L51" t="n">
        <v>91</v>
      </c>
      <c r="M51" t="n">
        <v>1004</v>
      </c>
      <c r="N51" t="inlineStr">
        <is>
          <t>hpa</t>
        </is>
      </c>
      <c r="O51" t="n">
        <v>0</v>
      </c>
      <c r="P51" t="n">
        <v>0</v>
      </c>
      <c r="Q51" t="n">
        <v>0</v>
      </c>
      <c r="R51" t="inlineStr">
        <is>
          <t>mm</t>
        </is>
      </c>
      <c r="S51" t="n">
        <v>8.1</v>
      </c>
      <c r="T51" t="n">
        <v>7.5</v>
      </c>
      <c r="U51" t="n">
        <v>-60</v>
      </c>
      <c r="V51" t="n">
        <v>-60</v>
      </c>
      <c r="W51" t="n">
        <v>-60</v>
      </c>
      <c r="X51" t="inlineStr">
        <is>
          <t>c</t>
        </is>
      </c>
      <c r="Y51" t="n">
        <v>0</v>
      </c>
      <c r="Z51" t="n">
        <v>6.6</v>
      </c>
      <c r="AA51" t="n">
        <v>4.1</v>
      </c>
      <c r="AB51" t="n">
        <v>6.6</v>
      </c>
      <c r="AC51" t="inlineStr">
        <is>
          <t>kmph</t>
        </is>
      </c>
    </row>
    <row r="52">
      <c r="A52" t="inlineStr">
        <is>
          <t>2026-07-14 08:59:21</t>
        </is>
      </c>
      <c r="B52" t="n">
        <v>1004</v>
      </c>
      <c r="C52" t="n">
        <v>100</v>
      </c>
      <c r="D52" t="inlineStr">
        <is>
          <t>klux</t>
        </is>
      </c>
      <c r="E52" t="n">
        <v>8.1</v>
      </c>
      <c r="F52" t="n">
        <v>8.1</v>
      </c>
      <c r="G52" t="n">
        <v>8.300000000000001</v>
      </c>
      <c r="H52" t="n">
        <v>99</v>
      </c>
      <c r="I52" t="n">
        <v>0</v>
      </c>
      <c r="J52" t="n">
        <v>0</v>
      </c>
      <c r="K52" t="n">
        <v>0</v>
      </c>
      <c r="L52" t="n">
        <v>91</v>
      </c>
      <c r="M52" t="n">
        <v>1004</v>
      </c>
      <c r="N52" t="inlineStr">
        <is>
          <t>hpa</t>
        </is>
      </c>
      <c r="O52" t="n">
        <v>0</v>
      </c>
      <c r="P52" t="n">
        <v>0</v>
      </c>
      <c r="Q52" t="n">
        <v>0</v>
      </c>
      <c r="R52" t="inlineStr">
        <is>
          <t>mm</t>
        </is>
      </c>
      <c r="S52" t="n">
        <v>8.800000000000001</v>
      </c>
      <c r="T52" t="n">
        <v>8.300000000000001</v>
      </c>
      <c r="U52" t="n">
        <v>-60</v>
      </c>
      <c r="V52" t="n">
        <v>-60</v>
      </c>
      <c r="W52" t="n">
        <v>-60</v>
      </c>
      <c r="X52" t="inlineStr">
        <is>
          <t>c</t>
        </is>
      </c>
      <c r="Y52" t="n">
        <v>0</v>
      </c>
      <c r="Z52" t="n">
        <v>6.9</v>
      </c>
      <c r="AA52" t="n">
        <v>5.3</v>
      </c>
      <c r="AB52" t="n">
        <v>5.9</v>
      </c>
      <c r="AC52" t="inlineStr">
        <is>
          <t>kmph</t>
        </is>
      </c>
    </row>
    <row r="53">
      <c r="A53" t="inlineStr">
        <is>
          <t>2026-07-14 09:00:52</t>
        </is>
      </c>
      <c r="B53" t="n">
        <v>1004</v>
      </c>
      <c r="C53" t="n">
        <v>100</v>
      </c>
      <c r="D53" t="inlineStr">
        <is>
          <t>klux</t>
        </is>
      </c>
      <c r="E53" t="n">
        <v>8</v>
      </c>
      <c r="F53" t="n">
        <v>6.3</v>
      </c>
      <c r="G53" t="n">
        <v>8.199999999999999</v>
      </c>
      <c r="H53" t="n">
        <v>99</v>
      </c>
      <c r="I53" t="n">
        <v>0</v>
      </c>
      <c r="J53" t="n">
        <v>0</v>
      </c>
      <c r="K53" t="n">
        <v>0</v>
      </c>
      <c r="L53" t="n">
        <v>91</v>
      </c>
      <c r="M53" t="n">
        <v>1004</v>
      </c>
      <c r="N53" t="inlineStr">
        <is>
          <t>hpa</t>
        </is>
      </c>
      <c r="O53" t="n">
        <v>0</v>
      </c>
      <c r="P53" t="n">
        <v>0</v>
      </c>
      <c r="Q53" t="n">
        <v>0</v>
      </c>
      <c r="R53" t="inlineStr">
        <is>
          <t>mm</t>
        </is>
      </c>
      <c r="S53" t="n">
        <v>8.800000000000001</v>
      </c>
      <c r="T53" t="n">
        <v>8.199999999999999</v>
      </c>
      <c r="U53" t="n">
        <v>-60</v>
      </c>
      <c r="V53" t="n">
        <v>-60</v>
      </c>
      <c r="W53" t="n">
        <v>-60</v>
      </c>
      <c r="X53" t="inlineStr">
        <is>
          <t>c</t>
        </is>
      </c>
      <c r="Y53" t="n">
        <v>0</v>
      </c>
      <c r="Z53" t="n">
        <v>5.9</v>
      </c>
      <c r="AA53" t="n">
        <v>5.3</v>
      </c>
      <c r="AB53" t="n">
        <v>9.9</v>
      </c>
      <c r="AC53" t="inlineStr">
        <is>
          <t>kmph</t>
        </is>
      </c>
    </row>
    <row r="54">
      <c r="A54" t="inlineStr">
        <is>
          <t>2026-07-14 10:00:51</t>
        </is>
      </c>
      <c r="B54" t="n">
        <v>1005</v>
      </c>
      <c r="C54" t="n">
        <v>100</v>
      </c>
      <c r="D54" t="inlineStr">
        <is>
          <t>klux</t>
        </is>
      </c>
      <c r="E54" t="n">
        <v>8.6</v>
      </c>
      <c r="F54" t="n">
        <v>8.4</v>
      </c>
      <c r="G54" t="n">
        <v>9</v>
      </c>
      <c r="H54" t="n">
        <v>98</v>
      </c>
      <c r="I54" t="n">
        <v>0</v>
      </c>
      <c r="J54" t="n">
        <v>0</v>
      </c>
      <c r="K54" t="n">
        <v>0</v>
      </c>
      <c r="L54" t="n">
        <v>88</v>
      </c>
      <c r="M54" t="n">
        <v>1005</v>
      </c>
      <c r="N54" t="inlineStr">
        <is>
          <t>hpa</t>
        </is>
      </c>
      <c r="O54" t="n">
        <v>0</v>
      </c>
      <c r="P54" t="n">
        <v>0</v>
      </c>
      <c r="Q54" t="n">
        <v>0</v>
      </c>
      <c r="R54" t="inlineStr">
        <is>
          <t>mm</t>
        </is>
      </c>
      <c r="S54" t="n">
        <v>10.3</v>
      </c>
      <c r="T54" t="n">
        <v>9</v>
      </c>
      <c r="U54" t="n">
        <v>-60</v>
      </c>
      <c r="V54" t="n">
        <v>-60</v>
      </c>
      <c r="W54" t="n">
        <v>-60</v>
      </c>
      <c r="X54" t="inlineStr">
        <is>
          <t>c</t>
        </is>
      </c>
      <c r="Y54" t="n">
        <v>0</v>
      </c>
      <c r="Z54" t="n">
        <v>8.800000000000001</v>
      </c>
      <c r="AA54" t="n">
        <v>3.9</v>
      </c>
      <c r="AB54" t="n">
        <v>8.6</v>
      </c>
      <c r="AC54" t="inlineStr">
        <is>
          <t>kmph</t>
        </is>
      </c>
    </row>
    <row r="55">
      <c r="A55" t="inlineStr">
        <is>
          <t>2026-07-14 11:00:51</t>
        </is>
      </c>
      <c r="B55" t="n">
        <v>1004</v>
      </c>
      <c r="C55" t="n">
        <v>100</v>
      </c>
      <c r="D55" t="inlineStr">
        <is>
          <t>klux</t>
        </is>
      </c>
      <c r="E55" t="n">
        <v>9</v>
      </c>
      <c r="F55" t="n">
        <v>9.4</v>
      </c>
      <c r="G55" t="n">
        <v>10</v>
      </c>
      <c r="H55" t="n">
        <v>94</v>
      </c>
      <c r="I55" t="n">
        <v>0</v>
      </c>
      <c r="J55" t="n">
        <v>0</v>
      </c>
      <c r="K55" t="n">
        <v>0</v>
      </c>
      <c r="L55" t="n">
        <v>84</v>
      </c>
      <c r="M55" t="n">
        <v>1004</v>
      </c>
      <c r="N55" t="inlineStr">
        <is>
          <t>hpa</t>
        </is>
      </c>
      <c r="O55" t="n">
        <v>0</v>
      </c>
      <c r="P55" t="n">
        <v>0</v>
      </c>
      <c r="Q55" t="n">
        <v>0</v>
      </c>
      <c r="R55" t="inlineStr">
        <is>
          <t>mm</t>
        </is>
      </c>
      <c r="S55" t="n">
        <v>11.5</v>
      </c>
      <c r="T55" t="n">
        <v>10</v>
      </c>
      <c r="U55" t="n">
        <v>-60</v>
      </c>
      <c r="V55" t="n">
        <v>-60</v>
      </c>
      <c r="W55" t="n">
        <v>-60</v>
      </c>
      <c r="X55" t="inlineStr">
        <is>
          <t>c</t>
        </is>
      </c>
      <c r="Y55" t="n">
        <v>0</v>
      </c>
      <c r="Z55" t="n">
        <v>9.699999999999999</v>
      </c>
      <c r="AA55" t="n">
        <v>5.4</v>
      </c>
      <c r="AB55" t="n">
        <v>9.300000000000001</v>
      </c>
      <c r="AC55" t="inlineStr">
        <is>
          <t>kmph</t>
        </is>
      </c>
    </row>
    <row r="56">
      <c r="A56" t="inlineStr">
        <is>
          <t>2026-07-14 12:00:58</t>
        </is>
      </c>
      <c r="B56" t="n">
        <v>1004</v>
      </c>
      <c r="C56" t="n">
        <v>100</v>
      </c>
      <c r="D56" t="inlineStr">
        <is>
          <t>klux</t>
        </is>
      </c>
      <c r="E56" t="n">
        <v>10.3</v>
      </c>
      <c r="F56" t="n">
        <v>12.6</v>
      </c>
      <c r="G56" t="n">
        <v>13.2</v>
      </c>
      <c r="H56" t="n">
        <v>83</v>
      </c>
      <c r="I56" t="n">
        <v>0</v>
      </c>
      <c r="J56" t="n">
        <v>0</v>
      </c>
      <c r="K56" t="n">
        <v>0</v>
      </c>
      <c r="L56" t="n">
        <v>72</v>
      </c>
      <c r="M56" t="n">
        <v>1004</v>
      </c>
      <c r="N56" t="inlineStr">
        <is>
          <t>hpa</t>
        </is>
      </c>
      <c r="O56" t="n">
        <v>0</v>
      </c>
      <c r="P56" t="n">
        <v>0</v>
      </c>
      <c r="Q56" t="n">
        <v>0</v>
      </c>
      <c r="R56" t="inlineStr">
        <is>
          <t>mm</t>
        </is>
      </c>
      <c r="S56" t="n">
        <v>15</v>
      </c>
      <c r="T56" t="n">
        <v>13.2</v>
      </c>
      <c r="U56" t="n">
        <v>-60</v>
      </c>
      <c r="V56" t="n">
        <v>-60</v>
      </c>
      <c r="W56" t="n">
        <v>-60</v>
      </c>
      <c r="X56" t="inlineStr">
        <is>
          <t>c</t>
        </is>
      </c>
      <c r="Y56" t="n">
        <v>1</v>
      </c>
      <c r="Z56" t="n">
        <v>8.6</v>
      </c>
      <c r="AA56" t="n">
        <v>6.5</v>
      </c>
      <c r="AB56" t="n">
        <v>9.9</v>
      </c>
      <c r="AC56" t="inlineStr">
        <is>
          <t>kmph</t>
        </is>
      </c>
    </row>
    <row r="57">
      <c r="A57" t="inlineStr">
        <is>
          <t>2026-07-14 13:00:51</t>
        </is>
      </c>
      <c r="B57" t="n">
        <v>1002</v>
      </c>
      <c r="C57" t="n">
        <v>100</v>
      </c>
      <c r="D57" t="inlineStr">
        <is>
          <t>klux</t>
        </is>
      </c>
      <c r="E57" t="n">
        <v>12.1</v>
      </c>
      <c r="F57" t="n">
        <v>16</v>
      </c>
      <c r="G57" t="n">
        <v>16.2</v>
      </c>
      <c r="H57" t="n">
        <v>77</v>
      </c>
      <c r="I57" t="n">
        <v>0</v>
      </c>
      <c r="J57" t="n">
        <v>0</v>
      </c>
      <c r="K57" t="n">
        <v>0</v>
      </c>
      <c r="L57" t="n">
        <v>62</v>
      </c>
      <c r="M57" t="n">
        <v>1002</v>
      </c>
      <c r="N57" t="inlineStr">
        <is>
          <t>hpa</t>
        </is>
      </c>
      <c r="O57" t="n">
        <v>0</v>
      </c>
      <c r="P57" t="n">
        <v>0</v>
      </c>
      <c r="Q57" t="n">
        <v>0</v>
      </c>
      <c r="R57" t="inlineStr">
        <is>
          <t>mm</t>
        </is>
      </c>
      <c r="S57" t="n">
        <v>18.7</v>
      </c>
      <c r="T57" t="n">
        <v>16.2</v>
      </c>
      <c r="U57" t="n">
        <v>-60</v>
      </c>
      <c r="V57" t="n">
        <v>-60</v>
      </c>
      <c r="W57" t="n">
        <v>-60</v>
      </c>
      <c r="X57" t="inlineStr">
        <is>
          <t>c</t>
        </is>
      </c>
      <c r="Y57" t="n">
        <v>1</v>
      </c>
      <c r="Z57" t="n">
        <v>8.6</v>
      </c>
      <c r="AA57" t="n">
        <v>6.2</v>
      </c>
      <c r="AB57" t="n">
        <v>3.9</v>
      </c>
      <c r="AC57" t="inlineStr">
        <is>
          <t>kmph</t>
        </is>
      </c>
    </row>
    <row r="58">
      <c r="A58" t="inlineStr">
        <is>
          <t>2026-07-14 13:51:12</t>
        </is>
      </c>
      <c r="B58" t="n">
        <v>1002</v>
      </c>
      <c r="C58" t="n">
        <v>100</v>
      </c>
      <c r="D58" t="inlineStr">
        <is>
          <t>klux</t>
        </is>
      </c>
      <c r="E58" t="n">
        <v>11.4</v>
      </c>
      <c r="F58" t="n">
        <v>16.8</v>
      </c>
      <c r="G58" t="n">
        <v>17</v>
      </c>
      <c r="H58" t="n">
        <v>70</v>
      </c>
      <c r="I58" t="n">
        <v>0</v>
      </c>
      <c r="J58" t="n">
        <v>0</v>
      </c>
      <c r="K58" t="n">
        <v>0</v>
      </c>
      <c r="L58" t="n">
        <v>57</v>
      </c>
      <c r="M58" t="n">
        <v>1002</v>
      </c>
      <c r="N58" t="inlineStr">
        <is>
          <t>hpa</t>
        </is>
      </c>
      <c r="O58" t="n">
        <v>0</v>
      </c>
      <c r="P58" t="n">
        <v>0</v>
      </c>
      <c r="Q58" t="n">
        <v>0</v>
      </c>
      <c r="R58" t="inlineStr">
        <is>
          <t>mm</t>
        </is>
      </c>
      <c r="S58" t="n">
        <v>19.9</v>
      </c>
      <c r="T58" t="n">
        <v>17</v>
      </c>
      <c r="U58" t="n">
        <v>-60</v>
      </c>
      <c r="V58" t="n">
        <v>-60</v>
      </c>
      <c r="W58" t="n">
        <v>-60</v>
      </c>
      <c r="X58" t="inlineStr">
        <is>
          <t>c</t>
        </is>
      </c>
      <c r="Y58" t="n">
        <v>1</v>
      </c>
      <c r="Z58" t="n">
        <v>8.6</v>
      </c>
      <c r="AA58" t="n">
        <v>3</v>
      </c>
      <c r="AB58" t="n">
        <v>7.9</v>
      </c>
      <c r="AC58" t="inlineStr">
        <is>
          <t>kmph</t>
        </is>
      </c>
    </row>
    <row r="59">
      <c r="A59" t="inlineStr">
        <is>
          <t>2026-07-14 14:00:50</t>
        </is>
      </c>
      <c r="B59" t="n">
        <v>1001</v>
      </c>
      <c r="C59" t="n">
        <v>100</v>
      </c>
      <c r="D59" t="inlineStr">
        <is>
          <t>klux</t>
        </is>
      </c>
      <c r="E59" t="n">
        <v>11.3</v>
      </c>
      <c r="F59" t="n">
        <v>18.2</v>
      </c>
      <c r="G59" t="n">
        <v>17.1</v>
      </c>
      <c r="H59" t="n">
        <v>69</v>
      </c>
      <c r="I59" t="n">
        <v>0</v>
      </c>
      <c r="J59" t="n">
        <v>0</v>
      </c>
      <c r="K59" t="n">
        <v>0</v>
      </c>
      <c r="L59" t="n">
        <v>56</v>
      </c>
      <c r="M59" t="n">
        <v>1001</v>
      </c>
      <c r="N59" t="inlineStr">
        <is>
          <t>hpa</t>
        </is>
      </c>
      <c r="O59" t="n">
        <v>0</v>
      </c>
      <c r="P59" t="n">
        <v>0</v>
      </c>
      <c r="Q59" t="n">
        <v>0</v>
      </c>
      <c r="R59" t="inlineStr">
        <is>
          <t>mm</t>
        </is>
      </c>
      <c r="S59" t="n">
        <v>19.9</v>
      </c>
      <c r="T59" t="n">
        <v>17.1</v>
      </c>
      <c r="U59" t="n">
        <v>-60</v>
      </c>
      <c r="V59" t="n">
        <v>-60</v>
      </c>
      <c r="W59" t="n">
        <v>-60</v>
      </c>
      <c r="X59" t="inlineStr">
        <is>
          <t>c</t>
        </is>
      </c>
      <c r="Y59" t="n">
        <v>0</v>
      </c>
      <c r="Z59" t="n">
        <v>8.6</v>
      </c>
      <c r="AA59" t="n">
        <v>4.6</v>
      </c>
      <c r="AB59" t="n">
        <v>9.9</v>
      </c>
      <c r="AC59" t="inlineStr">
        <is>
          <t>kmph</t>
        </is>
      </c>
    </row>
    <row r="60">
      <c r="A60" t="inlineStr">
        <is>
          <t>2026-07-14 15:00:51</t>
        </is>
      </c>
      <c r="B60" t="n">
        <v>1001</v>
      </c>
      <c r="C60" t="n">
        <v>100</v>
      </c>
      <c r="D60" t="inlineStr">
        <is>
          <t>klux</t>
        </is>
      </c>
      <c r="E60" t="n">
        <v>11.2</v>
      </c>
      <c r="F60" t="n">
        <v>18.9</v>
      </c>
      <c r="G60" t="n">
        <v>17.9</v>
      </c>
      <c r="H60" t="n">
        <v>65</v>
      </c>
      <c r="I60" t="n">
        <v>0</v>
      </c>
      <c r="J60" t="n">
        <v>0</v>
      </c>
      <c r="K60" t="n">
        <v>0</v>
      </c>
      <c r="L60" t="n">
        <v>54</v>
      </c>
      <c r="M60" t="n">
        <v>1001</v>
      </c>
      <c r="N60" t="inlineStr">
        <is>
          <t>hpa</t>
        </is>
      </c>
      <c r="O60" t="n">
        <v>0</v>
      </c>
      <c r="P60" t="n">
        <v>0</v>
      </c>
      <c r="Q60" t="n">
        <v>0</v>
      </c>
      <c r="R60" t="inlineStr">
        <is>
          <t>mm</t>
        </is>
      </c>
      <c r="S60" t="n">
        <v>20.7</v>
      </c>
      <c r="T60" t="n">
        <v>17.9</v>
      </c>
      <c r="U60" t="n">
        <v>-60</v>
      </c>
      <c r="V60" t="n">
        <v>-60</v>
      </c>
      <c r="W60" t="n">
        <v>-60</v>
      </c>
      <c r="X60" t="inlineStr">
        <is>
          <t>c</t>
        </is>
      </c>
      <c r="Y60" t="n">
        <v>1</v>
      </c>
      <c r="Z60" t="n">
        <v>8.6</v>
      </c>
      <c r="AA60" t="n">
        <v>4</v>
      </c>
      <c r="AB60" t="n">
        <v>6.6</v>
      </c>
      <c r="AC60" t="inlineStr">
        <is>
          <t>kmph</t>
        </is>
      </c>
    </row>
    <row r="61">
      <c r="A61" t="inlineStr">
        <is>
          <t>2026-07-14 16:00:49</t>
        </is>
      </c>
      <c r="B61" t="n">
        <v>1000</v>
      </c>
      <c r="C61" t="n">
        <v>100</v>
      </c>
      <c r="D61" t="inlineStr">
        <is>
          <t>klux</t>
        </is>
      </c>
      <c r="E61" t="n">
        <v>11.1</v>
      </c>
      <c r="F61" t="n">
        <v>19.8</v>
      </c>
      <c r="G61" t="n">
        <v>18.6</v>
      </c>
      <c r="H61" t="n">
        <v>62</v>
      </c>
      <c r="I61" t="n">
        <v>0</v>
      </c>
      <c r="J61" t="n">
        <v>0</v>
      </c>
      <c r="K61" t="n">
        <v>0</v>
      </c>
      <c r="L61" t="n">
        <v>55</v>
      </c>
      <c r="M61" t="n">
        <v>1000</v>
      </c>
      <c r="N61" t="inlineStr">
        <is>
          <t>hpa</t>
        </is>
      </c>
      <c r="O61" t="n">
        <v>0</v>
      </c>
      <c r="P61" t="n">
        <v>0</v>
      </c>
      <c r="Q61" t="n">
        <v>0</v>
      </c>
      <c r="R61" t="inlineStr">
        <is>
          <t>mm</t>
        </is>
      </c>
      <c r="S61" t="n">
        <v>19.8</v>
      </c>
      <c r="T61" t="n">
        <v>18.6</v>
      </c>
      <c r="U61" t="n">
        <v>-60</v>
      </c>
      <c r="V61" t="n">
        <v>-60</v>
      </c>
      <c r="W61" t="n">
        <v>-60</v>
      </c>
      <c r="X61" t="inlineStr">
        <is>
          <t>c</t>
        </is>
      </c>
      <c r="Y61" t="n">
        <v>0</v>
      </c>
      <c r="Z61" t="n">
        <v>8.6</v>
      </c>
      <c r="AA61" t="n">
        <v>1.2</v>
      </c>
      <c r="AB61" t="n">
        <v>0</v>
      </c>
      <c r="AC61" t="inlineStr">
        <is>
          <t>kmph</t>
        </is>
      </c>
    </row>
    <row r="62">
      <c r="A62" t="inlineStr">
        <is>
          <t>2026-07-14 17:00:52</t>
        </is>
      </c>
      <c r="B62" t="n">
        <v>1000</v>
      </c>
      <c r="C62" t="n">
        <v>100</v>
      </c>
      <c r="D62" t="inlineStr">
        <is>
          <t>klux</t>
        </is>
      </c>
      <c r="E62" t="n">
        <v>11.1</v>
      </c>
      <c r="F62" t="n">
        <v>16.8</v>
      </c>
      <c r="G62" t="n">
        <v>15.8</v>
      </c>
      <c r="H62" t="n">
        <v>74</v>
      </c>
      <c r="I62" t="n">
        <v>0</v>
      </c>
      <c r="J62" t="n">
        <v>0</v>
      </c>
      <c r="K62" t="n">
        <v>0</v>
      </c>
      <c r="L62" t="n">
        <v>62</v>
      </c>
      <c r="M62" t="n">
        <v>1000</v>
      </c>
      <c r="N62" t="inlineStr">
        <is>
          <t>hpa</t>
        </is>
      </c>
      <c r="O62" t="n">
        <v>0</v>
      </c>
      <c r="P62" t="n">
        <v>0</v>
      </c>
      <c r="Q62" t="n">
        <v>0</v>
      </c>
      <c r="R62" t="inlineStr">
        <is>
          <t>mm</t>
        </is>
      </c>
      <c r="S62" t="n">
        <v>17.4</v>
      </c>
      <c r="T62" t="n">
        <v>15.8</v>
      </c>
      <c r="U62" t="n">
        <v>-60</v>
      </c>
      <c r="V62" t="n">
        <v>-60</v>
      </c>
      <c r="W62" t="n">
        <v>-60</v>
      </c>
      <c r="X62" t="inlineStr">
        <is>
          <t>c</t>
        </is>
      </c>
      <c r="Y62" t="n">
        <v>0</v>
      </c>
      <c r="Z62" t="n">
        <v>8.6</v>
      </c>
      <c r="AA62" t="n">
        <v>0.4</v>
      </c>
      <c r="AB62" t="n">
        <v>0.6</v>
      </c>
      <c r="AC62" t="inlineStr">
        <is>
          <t>kmph</t>
        </is>
      </c>
    </row>
    <row r="63">
      <c r="A63" t="inlineStr">
        <is>
          <t>2026-07-14 18:00:51</t>
        </is>
      </c>
      <c r="B63" t="n">
        <v>1000</v>
      </c>
      <c r="C63" t="n">
        <v>100</v>
      </c>
      <c r="D63" t="inlineStr">
        <is>
          <t>klux</t>
        </is>
      </c>
      <c r="E63" t="n">
        <v>10.2</v>
      </c>
      <c r="F63" t="n">
        <v>12.3</v>
      </c>
      <c r="G63" t="n">
        <v>12.5</v>
      </c>
      <c r="H63" t="n">
        <v>86</v>
      </c>
      <c r="I63" t="n">
        <v>0</v>
      </c>
      <c r="J63" t="n">
        <v>0</v>
      </c>
      <c r="K63" t="n">
        <v>0</v>
      </c>
      <c r="L63" t="n">
        <v>77</v>
      </c>
      <c r="M63" t="n">
        <v>1000</v>
      </c>
      <c r="N63" t="inlineStr">
        <is>
          <t>hpa</t>
        </is>
      </c>
      <c r="O63" t="n">
        <v>0</v>
      </c>
      <c r="P63" t="n">
        <v>0</v>
      </c>
      <c r="Q63" t="n">
        <v>0</v>
      </c>
      <c r="R63" t="inlineStr">
        <is>
          <t>mm</t>
        </is>
      </c>
      <c r="S63" t="n">
        <v>12.9</v>
      </c>
      <c r="T63" t="n">
        <v>12.5</v>
      </c>
      <c r="U63" t="n">
        <v>-60</v>
      </c>
      <c r="V63" t="n">
        <v>-60</v>
      </c>
      <c r="W63" t="n">
        <v>-60</v>
      </c>
      <c r="X63" t="inlineStr">
        <is>
          <t>c</t>
        </is>
      </c>
      <c r="Y63" t="n">
        <v>0</v>
      </c>
      <c r="Z63" t="n">
        <v>8.6</v>
      </c>
      <c r="AA63" t="n">
        <v>0</v>
      </c>
      <c r="AB63" t="n">
        <v>5.9</v>
      </c>
      <c r="AC63" t="inlineStr">
        <is>
          <t>kmph</t>
        </is>
      </c>
    </row>
    <row r="64">
      <c r="A64" t="inlineStr">
        <is>
          <t>2026-07-14 18:17:11</t>
        </is>
      </c>
      <c r="B64" t="n">
        <v>1000</v>
      </c>
      <c r="C64" t="n">
        <v>100</v>
      </c>
      <c r="D64" t="inlineStr">
        <is>
          <t>klux</t>
        </is>
      </c>
      <c r="E64" t="n">
        <v>10.1</v>
      </c>
      <c r="F64" t="n">
        <v>11.5</v>
      </c>
      <c r="G64" t="n">
        <v>11.9</v>
      </c>
      <c r="H64" t="n">
        <v>89</v>
      </c>
      <c r="I64" t="n">
        <v>0</v>
      </c>
      <c r="J64" t="n">
        <v>0</v>
      </c>
      <c r="K64" t="n">
        <v>0</v>
      </c>
      <c r="L64" t="n">
        <v>80</v>
      </c>
      <c r="M64" t="n">
        <v>1000</v>
      </c>
      <c r="N64" t="inlineStr">
        <is>
          <t>hpa</t>
        </is>
      </c>
      <c r="O64" t="n">
        <v>0</v>
      </c>
      <c r="P64" t="n">
        <v>0</v>
      </c>
      <c r="Q64" t="n">
        <v>0</v>
      </c>
      <c r="R64" t="inlineStr">
        <is>
          <t>mm</t>
        </is>
      </c>
      <c r="S64" t="n">
        <v>12</v>
      </c>
      <c r="T64" t="n">
        <v>11.9</v>
      </c>
      <c r="U64" t="n">
        <v>-60</v>
      </c>
      <c r="V64" t="n">
        <v>-60</v>
      </c>
      <c r="W64" t="n">
        <v>-60</v>
      </c>
      <c r="X64" t="inlineStr">
        <is>
          <t>c</t>
        </is>
      </c>
      <c r="Y64" t="n">
        <v>0</v>
      </c>
      <c r="Z64" t="n">
        <v>8.6</v>
      </c>
      <c r="AA64" t="n">
        <v>3.9</v>
      </c>
      <c r="AB64" t="n">
        <v>4.6</v>
      </c>
      <c r="AC64" t="inlineStr">
        <is>
          <t>kmph</t>
        </is>
      </c>
    </row>
    <row r="65">
      <c r="A65" t="inlineStr">
        <is>
          <t>2026-07-14 19:00:57</t>
        </is>
      </c>
      <c r="B65" t="n">
        <v>1000</v>
      </c>
      <c r="C65" t="n">
        <v>100</v>
      </c>
      <c r="D65" t="inlineStr">
        <is>
          <t>klux</t>
        </is>
      </c>
      <c r="E65" t="n">
        <v>10.2</v>
      </c>
      <c r="F65" t="n">
        <v>12.4</v>
      </c>
      <c r="G65" t="n">
        <v>11.8</v>
      </c>
      <c r="H65" t="n">
        <v>90</v>
      </c>
      <c r="I65" t="n">
        <v>0</v>
      </c>
      <c r="J65" t="n">
        <v>0</v>
      </c>
      <c r="K65" t="n">
        <v>0</v>
      </c>
      <c r="L65" t="n">
        <v>82</v>
      </c>
      <c r="M65" t="n">
        <v>1000</v>
      </c>
      <c r="N65" t="inlineStr">
        <is>
          <t>hpa</t>
        </is>
      </c>
      <c r="O65" t="n">
        <v>0</v>
      </c>
      <c r="P65" t="n">
        <v>0</v>
      </c>
      <c r="Q65" t="n">
        <v>0</v>
      </c>
      <c r="R65" t="inlineStr">
        <is>
          <t>mm</t>
        </is>
      </c>
      <c r="S65" t="n">
        <v>11.3</v>
      </c>
      <c r="T65" t="n">
        <v>11.8</v>
      </c>
      <c r="U65" t="n">
        <v>-60</v>
      </c>
      <c r="V65" t="n">
        <v>-60</v>
      </c>
      <c r="W65" t="n">
        <v>-60</v>
      </c>
      <c r="X65" t="inlineStr">
        <is>
          <t>c</t>
        </is>
      </c>
      <c r="Y65" t="n">
        <v>0</v>
      </c>
      <c r="Z65" t="n">
        <v>8.6</v>
      </c>
      <c r="AA65" t="n">
        <v>0</v>
      </c>
      <c r="AB65" t="n">
        <v>0</v>
      </c>
      <c r="AC65" t="inlineStr">
        <is>
          <t>kmph</t>
        </is>
      </c>
    </row>
    <row r="66">
      <c r="A66" t="inlineStr">
        <is>
          <t>2026-07-14 20:00:50</t>
        </is>
      </c>
      <c r="B66" t="n">
        <v>1001</v>
      </c>
      <c r="C66" t="n">
        <v>100</v>
      </c>
      <c r="D66" t="inlineStr">
        <is>
          <t>klux</t>
        </is>
      </c>
      <c r="E66" t="n">
        <v>9.300000000000001</v>
      </c>
      <c r="F66" t="n">
        <v>10.3</v>
      </c>
      <c r="G66" t="n">
        <v>10.6</v>
      </c>
      <c r="H66" t="n">
        <v>92</v>
      </c>
      <c r="I66" t="n">
        <v>0</v>
      </c>
      <c r="J66" t="n">
        <v>0</v>
      </c>
      <c r="K66" t="n">
        <v>0</v>
      </c>
      <c r="L66" t="n">
        <v>83</v>
      </c>
      <c r="M66" t="n">
        <v>1001</v>
      </c>
      <c r="N66" t="inlineStr">
        <is>
          <t>hpa</t>
        </is>
      </c>
      <c r="O66" t="n">
        <v>0</v>
      </c>
      <c r="P66" t="n">
        <v>0</v>
      </c>
      <c r="Q66" t="n">
        <v>0</v>
      </c>
      <c r="R66" t="inlineStr">
        <is>
          <t>mm</t>
        </is>
      </c>
      <c r="S66" t="n">
        <v>10.9</v>
      </c>
      <c r="T66" t="n">
        <v>10.6</v>
      </c>
      <c r="U66" t="n">
        <v>-60</v>
      </c>
      <c r="V66" t="n">
        <v>-60</v>
      </c>
      <c r="W66" t="n">
        <v>-60</v>
      </c>
      <c r="X66" t="inlineStr">
        <is>
          <t>c</t>
        </is>
      </c>
      <c r="Y66" t="n">
        <v>0</v>
      </c>
      <c r="Z66" t="n">
        <v>8.6</v>
      </c>
      <c r="AA66" t="n">
        <v>3.8</v>
      </c>
      <c r="AB66" t="n">
        <v>4.6</v>
      </c>
      <c r="AC66" t="inlineStr">
        <is>
          <t>kmph</t>
        </is>
      </c>
    </row>
    <row r="67">
      <c r="A67" t="inlineStr">
        <is>
          <t>2026-07-14 21:00:48</t>
        </is>
      </c>
      <c r="B67" t="n">
        <v>1000</v>
      </c>
      <c r="C67" t="n">
        <v>100</v>
      </c>
      <c r="D67" t="inlineStr">
        <is>
          <t>klux</t>
        </is>
      </c>
      <c r="E67" t="n">
        <v>9.1</v>
      </c>
      <c r="F67" t="n">
        <v>9.699999999999999</v>
      </c>
      <c r="G67" t="n">
        <v>10.4</v>
      </c>
      <c r="H67" t="n">
        <v>92</v>
      </c>
      <c r="I67" t="n">
        <v>0</v>
      </c>
      <c r="J67" t="n">
        <v>0</v>
      </c>
      <c r="K67" t="n">
        <v>0</v>
      </c>
      <c r="L67" t="n">
        <v>84</v>
      </c>
      <c r="M67" t="n">
        <v>1000</v>
      </c>
      <c r="N67" t="inlineStr">
        <is>
          <t>hpa</t>
        </is>
      </c>
      <c r="O67" t="n">
        <v>0</v>
      </c>
      <c r="P67" t="n">
        <v>0</v>
      </c>
      <c r="Q67" t="n">
        <v>0</v>
      </c>
      <c r="R67" t="inlineStr">
        <is>
          <t>mm</t>
        </is>
      </c>
      <c r="S67" t="n">
        <v>10.5</v>
      </c>
      <c r="T67" t="n">
        <v>10.4</v>
      </c>
      <c r="U67" t="n">
        <v>-60</v>
      </c>
      <c r="V67" t="n">
        <v>-60</v>
      </c>
      <c r="W67" t="n">
        <v>-60</v>
      </c>
      <c r="X67" t="inlineStr">
        <is>
          <t>c</t>
        </is>
      </c>
      <c r="Y67" t="n">
        <v>0</v>
      </c>
      <c r="Z67" t="n">
        <v>8.6</v>
      </c>
      <c r="AA67" t="n">
        <v>0.5</v>
      </c>
      <c r="AB67" t="n">
        <v>6.6</v>
      </c>
      <c r="AC67" t="inlineStr">
        <is>
          <t>kmph</t>
        </is>
      </c>
    </row>
    <row r="68">
      <c r="A68" t="inlineStr">
        <is>
          <t>2026-07-14 22:00:51</t>
        </is>
      </c>
      <c r="B68" t="n">
        <v>1000</v>
      </c>
      <c r="C68" t="n">
        <v>100</v>
      </c>
      <c r="D68" t="inlineStr">
        <is>
          <t>klux</t>
        </is>
      </c>
      <c r="E68" t="n">
        <v>9.199999999999999</v>
      </c>
      <c r="F68" t="n">
        <v>11</v>
      </c>
      <c r="G68" t="n">
        <v>10.7</v>
      </c>
      <c r="H68" t="n">
        <v>91</v>
      </c>
      <c r="I68" t="n">
        <v>0</v>
      </c>
      <c r="J68" t="n">
        <v>0</v>
      </c>
      <c r="K68" t="n">
        <v>0</v>
      </c>
      <c r="L68" t="n">
        <v>84</v>
      </c>
      <c r="M68" t="n">
        <v>1000</v>
      </c>
      <c r="N68" t="inlineStr">
        <is>
          <t>hpa</t>
        </is>
      </c>
      <c r="O68" t="n">
        <v>0</v>
      </c>
      <c r="P68" t="n">
        <v>0</v>
      </c>
      <c r="Q68" t="n">
        <v>0</v>
      </c>
      <c r="R68" t="inlineStr">
        <is>
          <t>mm</t>
        </is>
      </c>
      <c r="S68" t="n">
        <v>10.8</v>
      </c>
      <c r="T68" t="n">
        <v>10.7</v>
      </c>
      <c r="U68" t="n">
        <v>-60</v>
      </c>
      <c r="V68" t="n">
        <v>-60</v>
      </c>
      <c r="W68" t="n">
        <v>-60</v>
      </c>
      <c r="X68" t="inlineStr">
        <is>
          <t>c</t>
        </is>
      </c>
      <c r="Y68" t="n">
        <v>0</v>
      </c>
      <c r="Z68" t="n">
        <v>8.6</v>
      </c>
      <c r="AA68" t="n">
        <v>2.5</v>
      </c>
      <c r="AB68" t="n">
        <v>0</v>
      </c>
      <c r="AC68" t="inlineStr">
        <is>
          <t>kmph</t>
        </is>
      </c>
    </row>
    <row r="69">
      <c r="A69" t="inlineStr">
        <is>
          <t>2026-07-14 23:00:46</t>
        </is>
      </c>
      <c r="B69" t="n">
        <v>1000</v>
      </c>
      <c r="C69" t="n">
        <v>100</v>
      </c>
      <c r="D69" t="inlineStr">
        <is>
          <t>klux</t>
        </is>
      </c>
      <c r="E69" t="n">
        <v>9.199999999999999</v>
      </c>
      <c r="F69" t="n">
        <v>10</v>
      </c>
      <c r="G69" t="n">
        <v>10.5</v>
      </c>
      <c r="H69" t="n">
        <v>92</v>
      </c>
      <c r="I69" t="n">
        <v>0</v>
      </c>
      <c r="J69" t="n">
        <v>0</v>
      </c>
      <c r="K69" t="n">
        <v>0</v>
      </c>
      <c r="L69" t="n">
        <v>85</v>
      </c>
      <c r="M69" t="n">
        <v>1000</v>
      </c>
      <c r="N69" t="inlineStr">
        <is>
          <t>hpa</t>
        </is>
      </c>
      <c r="O69" t="n">
        <v>0</v>
      </c>
      <c r="P69" t="n">
        <v>0</v>
      </c>
      <c r="Q69" t="n">
        <v>0</v>
      </c>
      <c r="R69" t="inlineStr">
        <is>
          <t>mm</t>
        </is>
      </c>
      <c r="S69" t="n">
        <v>10.9</v>
      </c>
      <c r="T69" t="n">
        <v>10.5</v>
      </c>
      <c r="U69" t="n">
        <v>-60</v>
      </c>
      <c r="V69" t="n">
        <v>-60</v>
      </c>
      <c r="W69" t="n">
        <v>-60</v>
      </c>
      <c r="X69" t="inlineStr">
        <is>
          <t>c</t>
        </is>
      </c>
      <c r="Y69" t="n">
        <v>0</v>
      </c>
      <c r="Z69" t="n">
        <v>8.6</v>
      </c>
      <c r="AA69" t="n">
        <v>1.8</v>
      </c>
      <c r="AB69" t="n">
        <v>7.3</v>
      </c>
      <c r="AC69" t="inlineStr">
        <is>
          <t>kmph</t>
        </is>
      </c>
    </row>
    <row r="70">
      <c r="A70" t="inlineStr">
        <is>
          <t>2026-07-15 00:00:46</t>
        </is>
      </c>
      <c r="B70" t="n">
        <v>999</v>
      </c>
      <c r="C70" t="n">
        <v>100</v>
      </c>
      <c r="D70" t="inlineStr">
        <is>
          <t>klux</t>
        </is>
      </c>
      <c r="E70" t="n">
        <v>9.5</v>
      </c>
      <c r="F70" t="n">
        <v>10.5</v>
      </c>
      <c r="G70" t="n">
        <v>10.6</v>
      </c>
      <c r="H70" t="n">
        <v>93</v>
      </c>
      <c r="I70" t="n">
        <v>0</v>
      </c>
      <c r="J70" t="n">
        <v>0</v>
      </c>
      <c r="K70" t="n">
        <v>0</v>
      </c>
      <c r="L70" t="n">
        <v>86</v>
      </c>
      <c r="M70" t="n">
        <v>999</v>
      </c>
      <c r="N70" t="inlineStr">
        <is>
          <t>hpa</t>
        </is>
      </c>
      <c r="O70" t="n">
        <v>0</v>
      </c>
      <c r="P70" t="n">
        <v>0</v>
      </c>
      <c r="Q70" t="n">
        <v>0</v>
      </c>
      <c r="R70" t="inlineStr">
        <is>
          <t>mm</t>
        </is>
      </c>
      <c r="S70" t="n">
        <v>10.7</v>
      </c>
      <c r="T70" t="n">
        <v>10.6</v>
      </c>
      <c r="U70" t="n">
        <v>-60</v>
      </c>
      <c r="V70" t="n">
        <v>-60</v>
      </c>
      <c r="W70" t="n">
        <v>-60</v>
      </c>
      <c r="X70" t="inlineStr">
        <is>
          <t>c</t>
        </is>
      </c>
      <c r="Y70" t="n">
        <v>0</v>
      </c>
      <c r="Z70" t="n">
        <v>8.6</v>
      </c>
      <c r="AA70" t="n">
        <v>0.4</v>
      </c>
      <c r="AB70" t="n">
        <v>5.9</v>
      </c>
      <c r="AC70" t="inlineStr">
        <is>
          <t>kmph</t>
        </is>
      </c>
    </row>
    <row r="71">
      <c r="A71" t="inlineStr">
        <is>
          <t>2026-07-15 01:00:49</t>
        </is>
      </c>
      <c r="B71" t="n">
        <v>999</v>
      </c>
      <c r="C71" t="n">
        <v>100</v>
      </c>
      <c r="D71" t="inlineStr">
        <is>
          <t>klux</t>
        </is>
      </c>
      <c r="E71" t="n">
        <v>9.1</v>
      </c>
      <c r="F71" t="n">
        <v>9.4</v>
      </c>
      <c r="G71" t="n">
        <v>9.9</v>
      </c>
      <c r="H71" t="n">
        <v>95</v>
      </c>
      <c r="I71" t="n">
        <v>0</v>
      </c>
      <c r="J71" t="n">
        <v>0</v>
      </c>
      <c r="K71" t="n">
        <v>0</v>
      </c>
      <c r="L71" t="n">
        <v>87</v>
      </c>
      <c r="M71" t="n">
        <v>999</v>
      </c>
      <c r="N71" t="inlineStr">
        <is>
          <t>hpa</t>
        </is>
      </c>
      <c r="O71" t="n">
        <v>0</v>
      </c>
      <c r="P71" t="n">
        <v>0</v>
      </c>
      <c r="Q71" t="n">
        <v>0</v>
      </c>
      <c r="R71" t="inlineStr">
        <is>
          <t>mm</t>
        </is>
      </c>
      <c r="S71" t="n">
        <v>10.4</v>
      </c>
      <c r="T71" t="n">
        <v>9.9</v>
      </c>
      <c r="U71" t="n">
        <v>-60</v>
      </c>
      <c r="V71" t="n">
        <v>-60</v>
      </c>
      <c r="W71" t="n">
        <v>-60</v>
      </c>
      <c r="X71" t="inlineStr">
        <is>
          <t>c</t>
        </is>
      </c>
      <c r="Y71" t="n">
        <v>0</v>
      </c>
      <c r="Z71" t="n">
        <v>9.699999999999999</v>
      </c>
      <c r="AA71" t="n">
        <v>4.4</v>
      </c>
      <c r="AB71" t="n">
        <v>4.6</v>
      </c>
      <c r="AC71" t="inlineStr">
        <is>
          <t>kmph</t>
        </is>
      </c>
    </row>
    <row r="72">
      <c r="A72" t="inlineStr">
        <is>
          <t>2026-07-15 02:00:51</t>
        </is>
      </c>
      <c r="B72" t="n">
        <v>999</v>
      </c>
      <c r="C72" t="n">
        <v>100</v>
      </c>
      <c r="D72" t="inlineStr">
        <is>
          <t>klux</t>
        </is>
      </c>
      <c r="E72" t="n">
        <v>9</v>
      </c>
      <c r="F72" t="n">
        <v>9.199999999999999</v>
      </c>
      <c r="G72" t="n">
        <v>9.699999999999999</v>
      </c>
      <c r="H72" t="n">
        <v>96</v>
      </c>
      <c r="I72" t="n">
        <v>0</v>
      </c>
      <c r="J72" t="n">
        <v>0</v>
      </c>
      <c r="K72" t="n">
        <v>0</v>
      </c>
      <c r="L72" t="n">
        <v>88</v>
      </c>
      <c r="M72" t="n">
        <v>999</v>
      </c>
      <c r="N72" t="inlineStr">
        <is>
          <t>hpa</t>
        </is>
      </c>
      <c r="O72" t="n">
        <v>0</v>
      </c>
      <c r="P72" t="n">
        <v>0</v>
      </c>
      <c r="Q72" t="n">
        <v>0</v>
      </c>
      <c r="R72" t="inlineStr">
        <is>
          <t>mm</t>
        </is>
      </c>
      <c r="S72" t="n">
        <v>10.2</v>
      </c>
      <c r="T72" t="n">
        <v>9.699999999999999</v>
      </c>
      <c r="U72" t="n">
        <v>-60</v>
      </c>
      <c r="V72" t="n">
        <v>-60</v>
      </c>
      <c r="W72" t="n">
        <v>-60</v>
      </c>
      <c r="X72" t="inlineStr">
        <is>
          <t>c</t>
        </is>
      </c>
      <c r="Y72" t="n">
        <v>0</v>
      </c>
      <c r="Z72" t="n">
        <v>9.1</v>
      </c>
      <c r="AA72" t="n">
        <v>4.4</v>
      </c>
      <c r="AB72" t="n">
        <v>5.9</v>
      </c>
      <c r="AC72" t="inlineStr">
        <is>
          <t>kmph</t>
        </is>
      </c>
    </row>
    <row r="73">
      <c r="A73" t="inlineStr">
        <is>
          <t>2026-07-15 03:00:52</t>
        </is>
      </c>
      <c r="B73" t="n">
        <v>999</v>
      </c>
      <c r="C73" t="n">
        <v>100</v>
      </c>
      <c r="D73" t="inlineStr">
        <is>
          <t>klux</t>
        </is>
      </c>
      <c r="E73" t="n">
        <v>8.800000000000001</v>
      </c>
      <c r="F73" t="n">
        <v>8.800000000000001</v>
      </c>
      <c r="G73" t="n">
        <v>9.300000000000001</v>
      </c>
      <c r="H73" t="n">
        <v>97</v>
      </c>
      <c r="I73" t="n">
        <v>0</v>
      </c>
      <c r="J73" t="n">
        <v>0</v>
      </c>
      <c r="K73" t="n">
        <v>0</v>
      </c>
      <c r="L73" t="n">
        <v>89</v>
      </c>
      <c r="M73" t="n">
        <v>999</v>
      </c>
      <c r="N73" t="inlineStr">
        <is>
          <t>hpa</t>
        </is>
      </c>
      <c r="O73" t="n">
        <v>0</v>
      </c>
      <c r="P73" t="n">
        <v>0</v>
      </c>
      <c r="Q73" t="n">
        <v>0</v>
      </c>
      <c r="R73" t="inlineStr">
        <is>
          <t>mm</t>
        </is>
      </c>
      <c r="S73" t="n">
        <v>9.800000000000001</v>
      </c>
      <c r="T73" t="n">
        <v>9.300000000000001</v>
      </c>
      <c r="U73" t="n">
        <v>-60</v>
      </c>
      <c r="V73" t="n">
        <v>-60</v>
      </c>
      <c r="W73" t="n">
        <v>-60</v>
      </c>
      <c r="X73" t="inlineStr">
        <is>
          <t>c</t>
        </is>
      </c>
      <c r="Y73" t="n">
        <v>0</v>
      </c>
      <c r="Z73" t="n">
        <v>8.5</v>
      </c>
      <c r="AA73" t="n">
        <v>5.7</v>
      </c>
      <c r="AB73" t="n">
        <v>5.9</v>
      </c>
      <c r="AC73" t="inlineStr">
        <is>
          <t>kmph</t>
        </is>
      </c>
    </row>
    <row r="74">
      <c r="A74" t="inlineStr">
        <is>
          <t>2026-07-15 03:02:59</t>
        </is>
      </c>
      <c r="B74" t="n">
        <v>999</v>
      </c>
      <c r="C74" t="n">
        <v>100</v>
      </c>
      <c r="D74" t="inlineStr">
        <is>
          <t>klux</t>
        </is>
      </c>
      <c r="E74" t="n">
        <v>8.699999999999999</v>
      </c>
      <c r="F74" t="n">
        <v>8.5</v>
      </c>
      <c r="G74" t="n">
        <v>9.199999999999999</v>
      </c>
      <c r="H74" t="n">
        <v>97</v>
      </c>
      <c r="I74" t="n">
        <v>0</v>
      </c>
      <c r="J74" t="n">
        <v>0</v>
      </c>
      <c r="K74" t="n">
        <v>0</v>
      </c>
      <c r="L74" t="n">
        <v>89</v>
      </c>
      <c r="M74" t="n">
        <v>999</v>
      </c>
      <c r="N74" t="inlineStr">
        <is>
          <t>hpa</t>
        </is>
      </c>
      <c r="O74" t="n">
        <v>0</v>
      </c>
      <c r="P74" t="n">
        <v>0</v>
      </c>
      <c r="Q74" t="n">
        <v>0</v>
      </c>
      <c r="R74" t="inlineStr">
        <is>
          <t>mm</t>
        </is>
      </c>
      <c r="S74" t="n">
        <v>9.699999999999999</v>
      </c>
      <c r="T74" t="n">
        <v>9.199999999999999</v>
      </c>
      <c r="U74" t="n">
        <v>-60</v>
      </c>
      <c r="V74" t="n">
        <v>-60</v>
      </c>
      <c r="W74" t="n">
        <v>-60</v>
      </c>
      <c r="X74" t="inlineStr">
        <is>
          <t>c</t>
        </is>
      </c>
      <c r="Y74" t="n">
        <v>0</v>
      </c>
      <c r="Z74" t="n">
        <v>8.800000000000001</v>
      </c>
      <c r="AA74" t="n">
        <v>5.7</v>
      </c>
      <c r="AB74" t="n">
        <v>5.3</v>
      </c>
      <c r="AC74" t="inlineStr">
        <is>
          <t>kmph</t>
        </is>
      </c>
    </row>
    <row r="75">
      <c r="A75" t="inlineStr">
        <is>
          <t>2026-07-15 04:00:50</t>
        </is>
      </c>
      <c r="B75" t="n">
        <v>999</v>
      </c>
      <c r="C75" t="n">
        <v>100</v>
      </c>
      <c r="D75" t="inlineStr">
        <is>
          <t>klux</t>
        </is>
      </c>
      <c r="E75" t="n">
        <v>8.800000000000001</v>
      </c>
      <c r="F75" t="n">
        <v>8</v>
      </c>
      <c r="G75" t="n">
        <v>9.300000000000001</v>
      </c>
      <c r="H75" t="n">
        <v>97</v>
      </c>
      <c r="I75" t="n">
        <v>0</v>
      </c>
      <c r="J75" t="n">
        <v>0</v>
      </c>
      <c r="K75" t="n">
        <v>0</v>
      </c>
      <c r="L75" t="n">
        <v>90</v>
      </c>
      <c r="M75" t="n">
        <v>999</v>
      </c>
      <c r="N75" t="inlineStr">
        <is>
          <t>hpa</t>
        </is>
      </c>
      <c r="O75" t="n">
        <v>0</v>
      </c>
      <c r="P75" t="n">
        <v>0</v>
      </c>
      <c r="Q75" t="n">
        <v>0</v>
      </c>
      <c r="R75" t="inlineStr">
        <is>
          <t>mm</t>
        </is>
      </c>
      <c r="S75" t="n">
        <v>9.6</v>
      </c>
      <c r="T75" t="n">
        <v>9.300000000000001</v>
      </c>
      <c r="U75" t="n">
        <v>-60</v>
      </c>
      <c r="V75" t="n">
        <v>-60</v>
      </c>
      <c r="W75" t="n">
        <v>-60</v>
      </c>
      <c r="X75" t="inlineStr">
        <is>
          <t>c</t>
        </is>
      </c>
      <c r="Y75" t="n">
        <v>0</v>
      </c>
      <c r="Z75" t="n">
        <v>7.7</v>
      </c>
      <c r="AA75" t="n">
        <v>6.2</v>
      </c>
      <c r="AB75" t="n">
        <v>8.6</v>
      </c>
      <c r="AC75" t="inlineStr">
        <is>
          <t>kmph</t>
        </is>
      </c>
    </row>
    <row r="76">
      <c r="A76" t="inlineStr">
        <is>
          <t>2026-07-15 05:00:51</t>
        </is>
      </c>
      <c r="B76" t="n">
        <v>999</v>
      </c>
      <c r="C76" t="n">
        <v>100</v>
      </c>
      <c r="D76" t="inlineStr">
        <is>
          <t>klux</t>
        </is>
      </c>
      <c r="E76" t="n">
        <v>8.699999999999999</v>
      </c>
      <c r="F76" t="n">
        <v>7.9</v>
      </c>
      <c r="G76" t="n">
        <v>9.199999999999999</v>
      </c>
      <c r="H76" t="n">
        <v>97</v>
      </c>
      <c r="I76" t="n">
        <v>0</v>
      </c>
      <c r="J76" t="n">
        <v>0</v>
      </c>
      <c r="K76" t="n">
        <v>0</v>
      </c>
      <c r="L76" t="n">
        <v>90</v>
      </c>
      <c r="M76" t="n">
        <v>999</v>
      </c>
      <c r="N76" t="inlineStr">
        <is>
          <t>hpa</t>
        </is>
      </c>
      <c r="O76" t="n">
        <v>0</v>
      </c>
      <c r="P76" t="n">
        <v>0</v>
      </c>
      <c r="Q76" t="n">
        <v>0</v>
      </c>
      <c r="R76" t="inlineStr">
        <is>
          <t>mm</t>
        </is>
      </c>
      <c r="S76" t="n">
        <v>9.4</v>
      </c>
      <c r="T76" t="n">
        <v>9.199999999999999</v>
      </c>
      <c r="U76" t="n">
        <v>-60</v>
      </c>
      <c r="V76" t="n">
        <v>-60</v>
      </c>
      <c r="W76" t="n">
        <v>-60</v>
      </c>
      <c r="X76" t="inlineStr">
        <is>
          <t>c</t>
        </is>
      </c>
      <c r="Y76" t="n">
        <v>0</v>
      </c>
      <c r="Z76" t="n">
        <v>7.7</v>
      </c>
      <c r="AA76" t="n">
        <v>7.2</v>
      </c>
      <c r="AB76" t="n">
        <v>8.6</v>
      </c>
      <c r="AC76" t="inlineStr">
        <is>
          <t>kmph</t>
        </is>
      </c>
    </row>
    <row r="77">
      <c r="A77" t="inlineStr">
        <is>
          <t>2026-07-15 06:00:49</t>
        </is>
      </c>
      <c r="B77" t="n">
        <v>999</v>
      </c>
      <c r="C77" t="n">
        <v>100</v>
      </c>
      <c r="D77" t="inlineStr">
        <is>
          <t>klux</t>
        </is>
      </c>
      <c r="E77" t="n">
        <v>8.4</v>
      </c>
      <c r="F77" t="n">
        <v>8</v>
      </c>
      <c r="G77" t="n">
        <v>8.9</v>
      </c>
      <c r="H77" t="n">
        <v>97</v>
      </c>
      <c r="I77" t="n">
        <v>0</v>
      </c>
      <c r="J77" t="n">
        <v>0</v>
      </c>
      <c r="K77" t="n">
        <v>0</v>
      </c>
      <c r="L77" t="n">
        <v>89</v>
      </c>
      <c r="M77" t="n">
        <v>999</v>
      </c>
      <c r="N77" t="inlineStr">
        <is>
          <t>hpa</t>
        </is>
      </c>
      <c r="O77" t="n">
        <v>0</v>
      </c>
      <c r="P77" t="n">
        <v>0</v>
      </c>
      <c r="Q77" t="n">
        <v>0</v>
      </c>
      <c r="R77" t="inlineStr">
        <is>
          <t>mm</t>
        </is>
      </c>
      <c r="S77" t="n">
        <v>9.4</v>
      </c>
      <c r="T77" t="n">
        <v>8.9</v>
      </c>
      <c r="U77" t="n">
        <v>-60</v>
      </c>
      <c r="V77" t="n">
        <v>-60</v>
      </c>
      <c r="W77" t="n">
        <v>-60</v>
      </c>
      <c r="X77" t="inlineStr">
        <is>
          <t>c</t>
        </is>
      </c>
      <c r="Y77" t="n">
        <v>0</v>
      </c>
      <c r="Z77" t="n">
        <v>8.5</v>
      </c>
      <c r="AA77" t="n">
        <v>5.7</v>
      </c>
      <c r="AB77" t="n">
        <v>5.3</v>
      </c>
      <c r="AC77" t="inlineStr">
        <is>
          <t>kmph</t>
        </is>
      </c>
    </row>
    <row r="78">
      <c r="A78" t="inlineStr">
        <is>
          <t>2026-07-15 07:00:51</t>
        </is>
      </c>
      <c r="B78" t="n">
        <v>1000</v>
      </c>
      <c r="C78" t="n">
        <v>100</v>
      </c>
      <c r="D78" t="inlineStr">
        <is>
          <t>klux</t>
        </is>
      </c>
      <c r="E78" t="n">
        <v>8.699999999999999</v>
      </c>
      <c r="F78" t="n">
        <v>8.1</v>
      </c>
      <c r="G78" t="n">
        <v>9.199999999999999</v>
      </c>
      <c r="H78" t="n">
        <v>97</v>
      </c>
      <c r="I78" t="n">
        <v>0</v>
      </c>
      <c r="J78" t="n">
        <v>0</v>
      </c>
      <c r="K78" t="n">
        <v>0</v>
      </c>
      <c r="L78" t="n">
        <v>90</v>
      </c>
      <c r="M78" t="n">
        <v>1000</v>
      </c>
      <c r="N78" t="inlineStr">
        <is>
          <t>hpa</t>
        </is>
      </c>
      <c r="O78" t="n">
        <v>0</v>
      </c>
      <c r="P78" t="n">
        <v>0</v>
      </c>
      <c r="Q78" t="n">
        <v>0</v>
      </c>
      <c r="R78" t="inlineStr">
        <is>
          <t>mm</t>
        </is>
      </c>
      <c r="S78" t="n">
        <v>9.199999999999999</v>
      </c>
      <c r="T78" t="n">
        <v>9.199999999999999</v>
      </c>
      <c r="U78" t="n">
        <v>-60</v>
      </c>
      <c r="V78" t="n">
        <v>-60</v>
      </c>
      <c r="W78" t="n">
        <v>-60</v>
      </c>
      <c r="X78" t="inlineStr">
        <is>
          <t>c</t>
        </is>
      </c>
      <c r="Y78" t="n">
        <v>0</v>
      </c>
      <c r="Z78" t="n">
        <v>7.9</v>
      </c>
      <c r="AA78" t="n">
        <v>6.3</v>
      </c>
      <c r="AB78" t="n">
        <v>10.6</v>
      </c>
      <c r="AC78" t="inlineStr">
        <is>
          <t>kmph</t>
        </is>
      </c>
    </row>
    <row r="79">
      <c r="A79" t="inlineStr">
        <is>
          <t>2026-07-15 08:00:51</t>
        </is>
      </c>
      <c r="B79" t="n">
        <v>1000</v>
      </c>
      <c r="C79" t="n">
        <v>100</v>
      </c>
      <c r="D79" t="inlineStr">
        <is>
          <t>klux</t>
        </is>
      </c>
      <c r="E79" t="n">
        <v>8.6</v>
      </c>
      <c r="F79" t="n">
        <v>8.4</v>
      </c>
      <c r="G79" t="n">
        <v>9.300000000000001</v>
      </c>
      <c r="H79" t="n">
        <v>96</v>
      </c>
      <c r="I79" t="n">
        <v>0</v>
      </c>
      <c r="J79" t="n">
        <v>0</v>
      </c>
      <c r="K79" t="n">
        <v>0</v>
      </c>
      <c r="L79" t="n">
        <v>89</v>
      </c>
      <c r="M79" t="n">
        <v>1000</v>
      </c>
      <c r="N79" t="inlineStr">
        <is>
          <t>hpa</t>
        </is>
      </c>
      <c r="O79" t="n">
        <v>0</v>
      </c>
      <c r="P79" t="n">
        <v>0</v>
      </c>
      <c r="Q79" t="n">
        <v>0</v>
      </c>
      <c r="R79" t="inlineStr">
        <is>
          <t>mm</t>
        </is>
      </c>
      <c r="S79" t="n">
        <v>9.4</v>
      </c>
      <c r="T79" t="n">
        <v>9.300000000000001</v>
      </c>
      <c r="U79" t="n">
        <v>-60</v>
      </c>
      <c r="V79" t="n">
        <v>-60</v>
      </c>
      <c r="W79" t="n">
        <v>-60</v>
      </c>
      <c r="X79" t="inlineStr">
        <is>
          <t>c</t>
        </is>
      </c>
      <c r="Y79" t="n">
        <v>0</v>
      </c>
      <c r="Z79" t="n">
        <v>8.199999999999999</v>
      </c>
      <c r="AA79" t="n">
        <v>4.6</v>
      </c>
      <c r="AB79" t="n">
        <v>5.9</v>
      </c>
      <c r="AC79" t="inlineStr">
        <is>
          <t>kmph</t>
        </is>
      </c>
    </row>
    <row r="80">
      <c r="A80" t="inlineStr">
        <is>
          <t>2026-07-15 09:00:58</t>
        </is>
      </c>
      <c r="B80" t="n">
        <v>1000</v>
      </c>
      <c r="C80" t="n">
        <v>100</v>
      </c>
      <c r="D80" t="inlineStr">
        <is>
          <t>klux</t>
        </is>
      </c>
      <c r="E80" t="n">
        <v>9.9</v>
      </c>
      <c r="F80" t="n">
        <v>10.3</v>
      </c>
      <c r="G80" t="n">
        <v>11.5</v>
      </c>
      <c r="H80" t="n">
        <v>90</v>
      </c>
      <c r="I80" t="n">
        <v>0</v>
      </c>
      <c r="J80" t="n">
        <v>0</v>
      </c>
      <c r="K80" t="n">
        <v>0</v>
      </c>
      <c r="L80" t="n">
        <v>86</v>
      </c>
      <c r="M80" t="n">
        <v>1000</v>
      </c>
      <c r="N80" t="inlineStr">
        <is>
          <t>hpa</t>
        </is>
      </c>
      <c r="O80" t="n">
        <v>0</v>
      </c>
      <c r="P80" t="n">
        <v>0</v>
      </c>
      <c r="Q80" t="n">
        <v>0</v>
      </c>
      <c r="R80" t="inlineStr">
        <is>
          <t>mm</t>
        </is>
      </c>
      <c r="S80" t="n">
        <v>11.5</v>
      </c>
      <c r="T80" t="n">
        <v>11.5</v>
      </c>
      <c r="U80" t="n">
        <v>-60</v>
      </c>
      <c r="V80" t="n">
        <v>-60</v>
      </c>
      <c r="W80" t="n">
        <v>-60</v>
      </c>
      <c r="X80" t="inlineStr">
        <is>
          <t>c</t>
        </is>
      </c>
      <c r="Y80" t="n">
        <v>0</v>
      </c>
      <c r="Z80" t="n">
        <v>9.699999999999999</v>
      </c>
      <c r="AA80" t="n">
        <v>7.1</v>
      </c>
      <c r="AB80" t="n">
        <v>8.6</v>
      </c>
      <c r="AC80" t="inlineStr">
        <is>
          <t>kmph</t>
        </is>
      </c>
    </row>
    <row r="81">
      <c r="A81" t="inlineStr">
        <is>
          <t>2026-07-15 09:05:17</t>
        </is>
      </c>
      <c r="B81" t="n">
        <v>1000</v>
      </c>
      <c r="C81" t="n">
        <v>100</v>
      </c>
      <c r="D81" t="inlineStr">
        <is>
          <t>klux</t>
        </is>
      </c>
      <c r="E81" t="n">
        <v>10</v>
      </c>
      <c r="F81" t="n">
        <v>10.6</v>
      </c>
      <c r="G81" t="n">
        <v>11.6</v>
      </c>
      <c r="H81" t="n">
        <v>90</v>
      </c>
      <c r="I81" t="n">
        <v>0</v>
      </c>
      <c r="J81" t="n">
        <v>0</v>
      </c>
      <c r="K81" t="n">
        <v>0</v>
      </c>
      <c r="L81" t="n">
        <v>85</v>
      </c>
      <c r="M81" t="n">
        <v>1000</v>
      </c>
      <c r="N81" t="inlineStr">
        <is>
          <t>hpa</t>
        </is>
      </c>
      <c r="O81" t="n">
        <v>0</v>
      </c>
      <c r="P81" t="n">
        <v>0</v>
      </c>
      <c r="Q81" t="n">
        <v>0</v>
      </c>
      <c r="R81" t="inlineStr">
        <is>
          <t>mm</t>
        </is>
      </c>
      <c r="S81" t="n">
        <v>11.6</v>
      </c>
      <c r="T81" t="n">
        <v>11.6</v>
      </c>
      <c r="U81" t="n">
        <v>-60</v>
      </c>
      <c r="V81" t="n">
        <v>-60</v>
      </c>
      <c r="W81" t="n">
        <v>-60</v>
      </c>
      <c r="X81" t="inlineStr">
        <is>
          <t>c</t>
        </is>
      </c>
      <c r="Y81" t="n">
        <v>0</v>
      </c>
      <c r="Z81" t="n">
        <v>9.699999999999999</v>
      </c>
      <c r="AA81" t="n">
        <v>7.8</v>
      </c>
      <c r="AB81" t="n">
        <v>8.6</v>
      </c>
      <c r="AC81" t="inlineStr">
        <is>
          <t>kmph</t>
        </is>
      </c>
    </row>
    <row r="82">
      <c r="A82" t="inlineStr">
        <is>
          <t>2026-07-15 10:00:56</t>
        </is>
      </c>
      <c r="B82" t="n">
        <v>1000</v>
      </c>
      <c r="C82" t="n">
        <v>100</v>
      </c>
      <c r="D82" t="inlineStr">
        <is>
          <t>klux</t>
        </is>
      </c>
      <c r="E82" t="n">
        <v>11.4</v>
      </c>
      <c r="F82" t="n">
        <v>14.9</v>
      </c>
      <c r="G82" t="n">
        <v>14.3</v>
      </c>
      <c r="H82" t="n">
        <v>83</v>
      </c>
      <c r="I82" t="n">
        <v>0</v>
      </c>
      <c r="J82" t="n">
        <v>0</v>
      </c>
      <c r="K82" t="n">
        <v>0</v>
      </c>
      <c r="L82" t="n">
        <v>77</v>
      </c>
      <c r="M82" t="n">
        <v>1000</v>
      </c>
      <c r="N82" t="inlineStr">
        <is>
          <t>hpa</t>
        </is>
      </c>
      <c r="O82" t="n">
        <v>0</v>
      </c>
      <c r="P82" t="n">
        <v>0</v>
      </c>
      <c r="Q82" t="n">
        <v>0</v>
      </c>
      <c r="R82" t="inlineStr">
        <is>
          <t>mm</t>
        </is>
      </c>
      <c r="S82" t="n">
        <v>15.3</v>
      </c>
      <c r="T82" t="n">
        <v>14.3</v>
      </c>
      <c r="U82" t="n">
        <v>-60</v>
      </c>
      <c r="V82" t="n">
        <v>-60</v>
      </c>
      <c r="W82" t="n">
        <v>-60</v>
      </c>
      <c r="X82" t="inlineStr">
        <is>
          <t>c</t>
        </is>
      </c>
      <c r="Y82" t="n">
        <v>0</v>
      </c>
      <c r="Z82" t="n">
        <v>9.699999999999999</v>
      </c>
      <c r="AA82" t="n">
        <v>3.7</v>
      </c>
      <c r="AB82" t="n">
        <v>5.3</v>
      </c>
      <c r="AC82" t="inlineStr">
        <is>
          <t>kmph</t>
        </is>
      </c>
    </row>
    <row r="83">
      <c r="A83" t="inlineStr">
        <is>
          <t>2026-07-15 11:00:58</t>
        </is>
      </c>
      <c r="B83" t="n">
        <v>1000</v>
      </c>
      <c r="C83" t="n">
        <v>100</v>
      </c>
      <c r="D83" t="inlineStr">
        <is>
          <t>klux</t>
        </is>
      </c>
      <c r="E83" t="n">
        <v>11.8</v>
      </c>
      <c r="F83" t="n">
        <v>15.7</v>
      </c>
      <c r="G83" t="n">
        <v>15.7</v>
      </c>
      <c r="H83" t="n">
        <v>78</v>
      </c>
      <c r="I83" t="n">
        <v>0</v>
      </c>
      <c r="J83" t="n">
        <v>0</v>
      </c>
      <c r="K83" t="n">
        <v>0</v>
      </c>
      <c r="L83" t="n">
        <v>67</v>
      </c>
      <c r="M83" t="n">
        <v>1000</v>
      </c>
      <c r="N83" t="inlineStr">
        <is>
          <t>hpa</t>
        </is>
      </c>
      <c r="O83" t="n">
        <v>0</v>
      </c>
      <c r="P83" t="n">
        <v>0</v>
      </c>
      <c r="Q83" t="n">
        <v>0</v>
      </c>
      <c r="R83" t="inlineStr">
        <is>
          <t>mm</t>
        </is>
      </c>
      <c r="S83" t="n">
        <v>18.1</v>
      </c>
      <c r="T83" t="n">
        <v>15.7</v>
      </c>
      <c r="U83" t="n">
        <v>-60</v>
      </c>
      <c r="V83" t="n">
        <v>-60</v>
      </c>
      <c r="W83" t="n">
        <v>-60</v>
      </c>
      <c r="X83" t="inlineStr">
        <is>
          <t>c</t>
        </is>
      </c>
      <c r="Y83" t="n">
        <v>1</v>
      </c>
      <c r="Z83" t="n">
        <v>9.699999999999999</v>
      </c>
      <c r="AA83" t="n">
        <v>6.6</v>
      </c>
      <c r="AB83" t="n">
        <v>7.9</v>
      </c>
      <c r="AC83" t="inlineStr">
        <is>
          <t>kmph</t>
        </is>
      </c>
    </row>
    <row r="84">
      <c r="A84" t="inlineStr">
        <is>
          <t>2026-07-15 12:00:59</t>
        </is>
      </c>
      <c r="B84" t="n">
        <v>999</v>
      </c>
      <c r="C84" t="n">
        <v>100</v>
      </c>
      <c r="D84" t="inlineStr">
        <is>
          <t>klux</t>
        </is>
      </c>
      <c r="E84" t="n">
        <v>11.5</v>
      </c>
      <c r="F84" t="n">
        <v>18.3</v>
      </c>
      <c r="G84" t="n">
        <v>18.3</v>
      </c>
      <c r="H84" t="n">
        <v>65</v>
      </c>
      <c r="I84" t="n">
        <v>0</v>
      </c>
      <c r="J84" t="n">
        <v>0</v>
      </c>
      <c r="K84" t="n">
        <v>0</v>
      </c>
      <c r="L84" t="n">
        <v>54</v>
      </c>
      <c r="M84" t="n">
        <v>999</v>
      </c>
      <c r="N84" t="inlineStr">
        <is>
          <t>hpa</t>
        </is>
      </c>
      <c r="O84" t="n">
        <v>0</v>
      </c>
      <c r="P84" t="n">
        <v>0</v>
      </c>
      <c r="Q84" t="n">
        <v>0</v>
      </c>
      <c r="R84" t="inlineStr">
        <is>
          <t>mm</t>
        </is>
      </c>
      <c r="S84" t="n">
        <v>21.8</v>
      </c>
      <c r="T84" t="n">
        <v>18.2</v>
      </c>
      <c r="U84" t="n">
        <v>-60</v>
      </c>
      <c r="V84" t="n">
        <v>-60</v>
      </c>
      <c r="W84" t="n">
        <v>-60</v>
      </c>
      <c r="X84" t="inlineStr">
        <is>
          <t>c</t>
        </is>
      </c>
      <c r="Y84" t="n">
        <v>0</v>
      </c>
      <c r="Z84" t="n">
        <v>9.699999999999999</v>
      </c>
      <c r="AA84" t="n">
        <v>5.4</v>
      </c>
      <c r="AB84" t="n">
        <v>9.300000000000001</v>
      </c>
      <c r="AC84" t="inlineStr">
        <is>
          <t>kmph</t>
        </is>
      </c>
    </row>
    <row r="85">
      <c r="A85" t="inlineStr">
        <is>
          <t>2026-07-15 13:00:52</t>
        </is>
      </c>
      <c r="B85" t="n">
        <v>999</v>
      </c>
      <c r="C85" t="n">
        <v>100</v>
      </c>
      <c r="D85" t="inlineStr">
        <is>
          <t>klux</t>
        </is>
      </c>
      <c r="E85" t="n">
        <v>12.4</v>
      </c>
      <c r="F85" t="n">
        <v>21</v>
      </c>
      <c r="G85" t="n">
        <v>19.5</v>
      </c>
      <c r="H85" t="n">
        <v>64</v>
      </c>
      <c r="I85" t="n">
        <v>0</v>
      </c>
      <c r="J85" t="n">
        <v>0</v>
      </c>
      <c r="K85" t="n">
        <v>0</v>
      </c>
      <c r="L85" t="n">
        <v>50</v>
      </c>
      <c r="M85" t="n">
        <v>999</v>
      </c>
      <c r="N85" t="inlineStr">
        <is>
          <t>hpa</t>
        </is>
      </c>
      <c r="O85" t="n">
        <v>0</v>
      </c>
      <c r="P85" t="n">
        <v>0</v>
      </c>
      <c r="Q85" t="n">
        <v>0</v>
      </c>
      <c r="R85" t="inlineStr">
        <is>
          <t>mm</t>
        </is>
      </c>
      <c r="S85" t="n">
        <v>23.1</v>
      </c>
      <c r="T85" t="n">
        <v>19.5</v>
      </c>
      <c r="U85" t="n">
        <v>-60</v>
      </c>
      <c r="V85" t="n">
        <v>-60</v>
      </c>
      <c r="W85" t="n">
        <v>-60</v>
      </c>
      <c r="X85" t="inlineStr">
        <is>
          <t>c</t>
        </is>
      </c>
      <c r="Y85" t="n">
        <v>1</v>
      </c>
      <c r="Z85" t="n">
        <v>9.699999999999999</v>
      </c>
      <c r="AA85" t="n">
        <v>6.1</v>
      </c>
      <c r="AB85" t="n">
        <v>15.9</v>
      </c>
      <c r="AC85" t="inlineStr">
        <is>
          <t>kmph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10"/>
    <col width="10.5703125" bestFit="1" customWidth="1" min="11" max="11"/>
    <col width="10" customWidth="1" min="12" max="13"/>
    <col width="10.7109375" bestFit="1" customWidth="1" min="14" max="14"/>
    <col width="10" customWidth="1" min="15" max="29"/>
  </cols>
  <sheetData>
    <row r="2" ht="23.25" customHeight="1">
      <c r="B2" s="2" t="inlineStr">
        <is>
          <t>Valores Diários</t>
        </is>
      </c>
    </row>
    <row r="3">
      <c r="B3" s="3">
        <f>"Dia de referência: "&amp;RIGHT("0"&amp;DAY(Cálculos!$B$1),2)&amp;"/"&amp;RIGHT("0"&amp;MONTH(Cálculos!$B$1),2)&amp;"/"&amp;YEAR(Cálculos!$B$1)&amp;" · média por hora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Semanais</t>
        </is>
      </c>
    </row>
    <row r="3">
      <c r="B3" s="3">
        <f>"Últimos 7 dias até "&amp;RIGHT("0"&amp;DAY(Cálculos!$B$1),2)&amp;"/"&amp;RIGHT("0"&amp;MONTH(Cálculos!$B$1),2)&amp;"/"&amp;YEAR(Cálculos!$B$1)&amp;"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Mensais</t>
        </is>
      </c>
    </row>
    <row r="3">
      <c r="B3" s="3">
        <f>"Mês de referência: 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Anuais</t>
        </is>
      </c>
    </row>
    <row r="3">
      <c r="B3" s="3">
        <f>"Ano de referência: "&amp;YEAR(Cálculos!$B$1)&amp;" · média por mês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Totais</t>
        </is>
      </c>
    </row>
    <row r="3">
      <c r="B3" s="3">
        <f>"Desde "&amp;RIGHT("0"&amp;DAY(Cálculos!$C$1),2)&amp;"/"&amp;RIGHT("0"&amp;MONTH(Cálculos!$C$1),2)&amp;"/"&amp;YEAR(Cálculos!$C$1)&amp;" · média mensal (chuvas: acumulado corrente)"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T126"/>
  <sheetViews>
    <sheetView zoomScaleNormal="100" workbookViewId="0">
      <selection activeCell="A1" sqref="A1"/>
    </sheetView>
  </sheetViews>
  <sheetFormatPr baseColWidth="8" defaultColWidth="8.7109375" defaultRowHeight="15"/>
  <sheetData>
    <row r="1">
      <c r="A1" s="12">
        <f>LOOKUP(2,1/(Estação!$A$2:$A$50000&lt;&gt;""),Estação!$A$2:$A$50000)</f>
        <v/>
      </c>
      <c r="B1" s="13">
        <f>DATE(VALUE(LEFT($A$1,4)),VALUE(MID($A$1,6,2)),VALUE(MID($A$1,9,2)))</f>
        <v/>
      </c>
      <c r="C1" s="13">
        <f>DATE(VALUE(LEFT(Estação!$A$2,4)),VALUE(MID(Estação!$A$2,6,2)),VALUE(MID(Estação!$A$2,9,2)))</f>
        <v/>
      </c>
    </row>
    <row r="2">
      <c r="A2" s="12" t="inlineStr">
        <is>
          <t>A1=último ts | B1=última data | C1=primeira data | Médias ignoram leituras &lt;= -50 (sensor desconectado)</t>
        </is>
      </c>
    </row>
    <row r="4">
      <c r="A4" s="12" t="inlineStr">
        <is>
          <t>rótulo</t>
        </is>
      </c>
      <c r="B4" s="12" t="inlineStr">
        <is>
          <t>critério</t>
        </is>
      </c>
      <c r="C4" s="12" t="inlineStr">
        <is>
          <t>data</t>
        </is>
      </c>
      <c r="D4" s="12" t="inlineStr">
        <is>
          <t>temp_current</t>
        </is>
      </c>
      <c r="E4" s="12" t="inlineStr">
        <is>
          <t>temp_current_external</t>
        </is>
      </c>
      <c r="F4" s="12" t="inlineStr">
        <is>
          <t>feellike_temp</t>
        </is>
      </c>
      <c r="G4" s="12" t="inlineStr">
        <is>
          <t>heat_index</t>
        </is>
      </c>
      <c r="H4" s="12" t="inlineStr">
        <is>
          <t>windchill_index</t>
        </is>
      </c>
      <c r="I4" s="12" t="inlineStr">
        <is>
          <t>dew_point_temp</t>
        </is>
      </c>
      <c r="J4" s="12" t="inlineStr">
        <is>
          <t>humidity_outdoor</t>
        </is>
      </c>
      <c r="K4" s="12" t="inlineStr">
        <is>
          <t>humidity_value</t>
        </is>
      </c>
      <c r="L4" s="12" t="inlineStr">
        <is>
          <t>atmospheric_pressture</t>
        </is>
      </c>
      <c r="M4" s="12" t="inlineStr">
        <is>
          <t>pressure_drop</t>
        </is>
      </c>
      <c r="N4" s="12" t="inlineStr">
        <is>
          <t>rain_1h</t>
        </is>
      </c>
      <c r="O4" s="12" t="inlineStr">
        <is>
          <t>rain_24h</t>
        </is>
      </c>
      <c r="P4" s="12" t="inlineStr">
        <is>
          <t>rain_rate</t>
        </is>
      </c>
      <c r="Q4" s="12" t="inlineStr">
        <is>
          <t>windspeed_avg</t>
        </is>
      </c>
      <c r="R4" s="12" t="inlineStr">
        <is>
          <t>windspeed_gust</t>
        </is>
      </c>
      <c r="S4" s="12" t="inlineStr">
        <is>
          <t>uv_index</t>
        </is>
      </c>
      <c r="T4" s="12" t="inlineStr">
        <is>
          <t>battery_percentage</t>
        </is>
      </c>
    </row>
    <row r="5">
      <c r="A5" s="12" t="inlineStr">
        <is>
          <t>00h</t>
        </is>
      </c>
      <c r="B5" s="12">
        <f>""&amp;YEAR($B$1)&amp;"-"&amp;RIGHT("0"&amp;MONTH($B$1),2)&amp;"-"&amp;RIGHT("0"&amp;DAY($B$1),2)&amp;" 00*"</f>
        <v/>
      </c>
      <c r="D5" s="12">
        <f>IFERROR(AVERAGEIFS(Estação!$S$2:$S$50000,Estação!$A$2:$A$50000,$B5,Estação!$S$2:$S$50000,"&gt;-50"),"")</f>
        <v/>
      </c>
      <c r="E5" s="12">
        <f>IFERROR(AVERAGEIFS(Estação!$T$2:$T$50000,Estação!$A$2:$A$50000,$B5,Estação!$T$2:$T$50000,"&gt;-50"),"")</f>
        <v/>
      </c>
      <c r="F5" s="12">
        <f>IFERROR(AVERAGEIFS(Estação!$F$2:$F$50000,Estação!$A$2:$A$50000,$B5,Estação!$F$2:$F$50000,"&gt;-50"),"")</f>
        <v/>
      </c>
      <c r="G5" s="12">
        <f>IFERROR(AVERAGEIFS(Estação!$G$2:$G$50000,Estação!$A$2:$A$50000,$B5,Estação!$G$2:$G$50000,"&gt;-50"),"")</f>
        <v/>
      </c>
      <c r="H5" s="12">
        <f>IFERROR(AVERAGEIFS(Estação!$Z$2:$Z$50000,Estação!$A$2:$A$50000,$B5,Estação!$Z$2:$Z$50000,"&gt;-50"),"")</f>
        <v/>
      </c>
      <c r="I5" s="12">
        <f>IFERROR(AVERAGEIFS(Estação!$E$2:$E$50000,Estação!$A$2:$A$50000,$B5,Estação!$E$2:$E$50000,"&gt;-50"),"")</f>
        <v/>
      </c>
      <c r="J5" s="12">
        <f>IFERROR(AVERAGEIFS(Estação!$H$2:$H$50000,Estação!$A$2:$A$50000,$B5,Estação!$H$2:$H$50000,"&gt;-50"),"")</f>
        <v/>
      </c>
      <c r="K5" s="12">
        <f>IFERROR(AVERAGEIFS(Estação!$L$2:$L$50000,Estação!$A$2:$A$50000,$B5,Estação!$L$2:$L$50000,"&gt;-50"),"")</f>
        <v/>
      </c>
      <c r="L5" s="12">
        <f>IFERROR(AVERAGEIFS(Estação!$B$2:$B$50000,Estação!$A$2:$A$50000,$B5,Estação!$B$2:$B$50000,"&gt;-50"),"")</f>
        <v/>
      </c>
      <c r="M5" s="12">
        <f>IFERROR(AVERAGEIFS(Estação!$M$2:$M$50000,Estação!$A$2:$A$50000,$B5,Estação!$M$2:$M$50000,"&gt;-50"),"")</f>
        <v/>
      </c>
      <c r="N5" s="12">
        <f>IF($B5="§","",SUMIFS(Estação!$O$2:$O$50000,Estação!$A$2:$A$50000,$B5))</f>
        <v/>
      </c>
      <c r="O5" s="12">
        <f>IF($B5="§","",SUMIFS(Estação!$P$2:$P$50000,Estação!$A$2:$A$50000,$B5))</f>
        <v/>
      </c>
      <c r="P5" s="12">
        <f>IF($B5="§","",SUMIFS(Estação!$Q$2:$Q$50000,Estação!$A$2:$A$50000,$B5))</f>
        <v/>
      </c>
      <c r="Q5" s="12">
        <f>IFERROR(AVERAGEIFS(Estação!$AA$2:$AA$50000,Estação!$A$2:$A$50000,$B5,Estação!$AA$2:$AA$50000,"&gt;-50"),"")</f>
        <v/>
      </c>
      <c r="R5" s="12">
        <f>IFERROR(AVERAGEIFS(Estação!$AB$2:$AB$50000,Estação!$A$2:$A$50000,$B5,Estação!$AB$2:$AB$50000,"&gt;-50"),"")</f>
        <v/>
      </c>
      <c r="S5" s="12">
        <f>IFERROR(AVERAGEIFS(Estação!$Y$2:$Y$50000,Estação!$A$2:$A$50000,$B5,Estação!$Y$2:$Y$50000,"&gt;-50"),"")</f>
        <v/>
      </c>
      <c r="T5" s="12">
        <f>IFERROR(AVERAGEIFS(Estação!$C$2:$C$50000,Estação!$A$2:$A$50000,$B5,Estação!$C$2:$C$50000,"&gt;-50"),"")</f>
        <v/>
      </c>
    </row>
    <row r="6">
      <c r="A6" s="12" t="inlineStr">
        <is>
          <t>01h</t>
        </is>
      </c>
      <c r="B6" s="12">
        <f>""&amp;YEAR($B$1)&amp;"-"&amp;RIGHT("0"&amp;MONTH($B$1),2)&amp;"-"&amp;RIGHT("0"&amp;DAY($B$1),2)&amp;" 01*"</f>
        <v/>
      </c>
      <c r="D6" s="12">
        <f>IFERROR(AVERAGEIFS(Estação!$S$2:$S$50000,Estação!$A$2:$A$50000,$B6,Estação!$S$2:$S$50000,"&gt;-50"),"")</f>
        <v/>
      </c>
      <c r="E6" s="12">
        <f>IFERROR(AVERAGEIFS(Estação!$T$2:$T$50000,Estação!$A$2:$A$50000,$B6,Estação!$T$2:$T$50000,"&gt;-50"),"")</f>
        <v/>
      </c>
      <c r="F6" s="12">
        <f>IFERROR(AVERAGEIFS(Estação!$F$2:$F$50000,Estação!$A$2:$A$50000,$B6,Estação!$F$2:$F$50000,"&gt;-50"),"")</f>
        <v/>
      </c>
      <c r="G6" s="12">
        <f>IFERROR(AVERAGEIFS(Estação!$G$2:$G$50000,Estação!$A$2:$A$50000,$B6,Estação!$G$2:$G$50000,"&gt;-50"),"")</f>
        <v/>
      </c>
      <c r="H6" s="12">
        <f>IFERROR(AVERAGEIFS(Estação!$Z$2:$Z$50000,Estação!$A$2:$A$50000,$B6,Estação!$Z$2:$Z$50000,"&gt;-50"),"")</f>
        <v/>
      </c>
      <c r="I6" s="12">
        <f>IFERROR(AVERAGEIFS(Estação!$E$2:$E$50000,Estação!$A$2:$A$50000,$B6,Estação!$E$2:$E$50000,"&gt;-50"),"")</f>
        <v/>
      </c>
      <c r="J6" s="12">
        <f>IFERROR(AVERAGEIFS(Estação!$H$2:$H$50000,Estação!$A$2:$A$50000,$B6,Estação!$H$2:$H$50000,"&gt;-50"),"")</f>
        <v/>
      </c>
      <c r="K6" s="12">
        <f>IFERROR(AVERAGEIFS(Estação!$L$2:$L$50000,Estação!$A$2:$A$50000,$B6,Estação!$L$2:$L$50000,"&gt;-50"),"")</f>
        <v/>
      </c>
      <c r="L6" s="12">
        <f>IFERROR(AVERAGEIFS(Estação!$B$2:$B$50000,Estação!$A$2:$A$50000,$B6,Estação!$B$2:$B$50000,"&gt;-50"),"")</f>
        <v/>
      </c>
      <c r="M6" s="12">
        <f>IFERROR(AVERAGEIFS(Estação!$M$2:$M$50000,Estação!$A$2:$A$50000,$B6,Estação!$M$2:$M$50000,"&gt;-50"),"")</f>
        <v/>
      </c>
      <c r="N6" s="12">
        <f>IF($B6="§","",SUMIFS(Estação!$O$2:$O$50000,Estação!$A$2:$A$50000,$B6))</f>
        <v/>
      </c>
      <c r="O6" s="12">
        <f>IF($B6="§","",SUMIFS(Estação!$P$2:$P$50000,Estação!$A$2:$A$50000,$B6))</f>
        <v/>
      </c>
      <c r="P6" s="12">
        <f>IF($B6="§","",SUMIFS(Estação!$Q$2:$Q$50000,Estação!$A$2:$A$50000,$B6))</f>
        <v/>
      </c>
      <c r="Q6" s="12">
        <f>IFERROR(AVERAGEIFS(Estação!$AA$2:$AA$50000,Estação!$A$2:$A$50000,$B6,Estação!$AA$2:$AA$50000,"&gt;-50"),"")</f>
        <v/>
      </c>
      <c r="R6" s="12">
        <f>IFERROR(AVERAGEIFS(Estação!$AB$2:$AB$50000,Estação!$A$2:$A$50000,$B6,Estação!$AB$2:$AB$50000,"&gt;-50"),"")</f>
        <v/>
      </c>
      <c r="S6" s="12">
        <f>IFERROR(AVERAGEIFS(Estação!$Y$2:$Y$50000,Estação!$A$2:$A$50000,$B6,Estação!$Y$2:$Y$50000,"&gt;-50"),"")</f>
        <v/>
      </c>
      <c r="T6" s="12">
        <f>IFERROR(AVERAGEIFS(Estação!$C$2:$C$50000,Estação!$A$2:$A$50000,$B6,Estação!$C$2:$C$50000,"&gt;-50"),"")</f>
        <v/>
      </c>
    </row>
    <row r="7">
      <c r="A7" s="12" t="inlineStr">
        <is>
          <t>02h</t>
        </is>
      </c>
      <c r="B7" s="12">
        <f>""&amp;YEAR($B$1)&amp;"-"&amp;RIGHT("0"&amp;MONTH($B$1),2)&amp;"-"&amp;RIGHT("0"&amp;DAY($B$1),2)&amp;" 02*"</f>
        <v/>
      </c>
      <c r="D7" s="12">
        <f>IFERROR(AVERAGEIFS(Estação!$S$2:$S$50000,Estação!$A$2:$A$50000,$B7,Estação!$S$2:$S$50000,"&gt;-50"),"")</f>
        <v/>
      </c>
      <c r="E7" s="12">
        <f>IFERROR(AVERAGEIFS(Estação!$T$2:$T$50000,Estação!$A$2:$A$50000,$B7,Estação!$T$2:$T$50000,"&gt;-50"),"")</f>
        <v/>
      </c>
      <c r="F7" s="12">
        <f>IFERROR(AVERAGEIFS(Estação!$F$2:$F$50000,Estação!$A$2:$A$50000,$B7,Estação!$F$2:$F$50000,"&gt;-50"),"")</f>
        <v/>
      </c>
      <c r="G7" s="12">
        <f>IFERROR(AVERAGEIFS(Estação!$G$2:$G$50000,Estação!$A$2:$A$50000,$B7,Estação!$G$2:$G$50000,"&gt;-50"),"")</f>
        <v/>
      </c>
      <c r="H7" s="12">
        <f>IFERROR(AVERAGEIFS(Estação!$Z$2:$Z$50000,Estação!$A$2:$A$50000,$B7,Estação!$Z$2:$Z$50000,"&gt;-50"),"")</f>
        <v/>
      </c>
      <c r="I7" s="12">
        <f>IFERROR(AVERAGEIFS(Estação!$E$2:$E$50000,Estação!$A$2:$A$50000,$B7,Estação!$E$2:$E$50000,"&gt;-50"),"")</f>
        <v/>
      </c>
      <c r="J7" s="12">
        <f>IFERROR(AVERAGEIFS(Estação!$H$2:$H$50000,Estação!$A$2:$A$50000,$B7,Estação!$H$2:$H$50000,"&gt;-50"),"")</f>
        <v/>
      </c>
      <c r="K7" s="12">
        <f>IFERROR(AVERAGEIFS(Estação!$L$2:$L$50000,Estação!$A$2:$A$50000,$B7,Estação!$L$2:$L$50000,"&gt;-50"),"")</f>
        <v/>
      </c>
      <c r="L7" s="12">
        <f>IFERROR(AVERAGEIFS(Estação!$B$2:$B$50000,Estação!$A$2:$A$50000,$B7,Estação!$B$2:$B$50000,"&gt;-50"),"")</f>
        <v/>
      </c>
      <c r="M7" s="12">
        <f>IFERROR(AVERAGEIFS(Estação!$M$2:$M$50000,Estação!$A$2:$A$50000,$B7,Estação!$M$2:$M$50000,"&gt;-50"),"")</f>
        <v/>
      </c>
      <c r="N7" s="12">
        <f>IF($B7="§","",SUMIFS(Estação!$O$2:$O$50000,Estação!$A$2:$A$50000,$B7))</f>
        <v/>
      </c>
      <c r="O7" s="12">
        <f>IF($B7="§","",SUMIFS(Estação!$P$2:$P$50000,Estação!$A$2:$A$50000,$B7))</f>
        <v/>
      </c>
      <c r="P7" s="12">
        <f>IF($B7="§","",SUMIFS(Estação!$Q$2:$Q$50000,Estação!$A$2:$A$50000,$B7))</f>
        <v/>
      </c>
      <c r="Q7" s="12">
        <f>IFERROR(AVERAGEIFS(Estação!$AA$2:$AA$50000,Estação!$A$2:$A$50000,$B7,Estação!$AA$2:$AA$50000,"&gt;-50"),"")</f>
        <v/>
      </c>
      <c r="R7" s="12">
        <f>IFERROR(AVERAGEIFS(Estação!$AB$2:$AB$50000,Estação!$A$2:$A$50000,$B7,Estação!$AB$2:$AB$50000,"&gt;-50"),"")</f>
        <v/>
      </c>
      <c r="S7" s="12">
        <f>IFERROR(AVERAGEIFS(Estação!$Y$2:$Y$50000,Estação!$A$2:$A$50000,$B7,Estação!$Y$2:$Y$50000,"&gt;-50"),"")</f>
        <v/>
      </c>
      <c r="T7" s="12">
        <f>IFERROR(AVERAGEIFS(Estação!$C$2:$C$50000,Estação!$A$2:$A$50000,$B7,Estação!$C$2:$C$50000,"&gt;-50"),"")</f>
        <v/>
      </c>
    </row>
    <row r="8">
      <c r="A8" s="12" t="inlineStr">
        <is>
          <t>03h</t>
        </is>
      </c>
      <c r="B8" s="12">
        <f>""&amp;YEAR($B$1)&amp;"-"&amp;RIGHT("0"&amp;MONTH($B$1),2)&amp;"-"&amp;RIGHT("0"&amp;DAY($B$1),2)&amp;" 03*"</f>
        <v/>
      </c>
      <c r="D8" s="12">
        <f>IFERROR(AVERAGEIFS(Estação!$S$2:$S$50000,Estação!$A$2:$A$50000,$B8,Estação!$S$2:$S$50000,"&gt;-50"),"")</f>
        <v/>
      </c>
      <c r="E8" s="12">
        <f>IFERROR(AVERAGEIFS(Estação!$T$2:$T$50000,Estação!$A$2:$A$50000,$B8,Estação!$T$2:$T$50000,"&gt;-50"),"")</f>
        <v/>
      </c>
      <c r="F8" s="12">
        <f>IFERROR(AVERAGEIFS(Estação!$F$2:$F$50000,Estação!$A$2:$A$50000,$B8,Estação!$F$2:$F$50000,"&gt;-50"),"")</f>
        <v/>
      </c>
      <c r="G8" s="12">
        <f>IFERROR(AVERAGEIFS(Estação!$G$2:$G$50000,Estação!$A$2:$A$50000,$B8,Estação!$G$2:$G$50000,"&gt;-50"),"")</f>
        <v/>
      </c>
      <c r="H8" s="12">
        <f>IFERROR(AVERAGEIFS(Estação!$Z$2:$Z$50000,Estação!$A$2:$A$50000,$B8,Estação!$Z$2:$Z$50000,"&gt;-50"),"")</f>
        <v/>
      </c>
      <c r="I8" s="12">
        <f>IFERROR(AVERAGEIFS(Estação!$E$2:$E$50000,Estação!$A$2:$A$50000,$B8,Estação!$E$2:$E$50000,"&gt;-50"),"")</f>
        <v/>
      </c>
      <c r="J8" s="12">
        <f>IFERROR(AVERAGEIFS(Estação!$H$2:$H$50000,Estação!$A$2:$A$50000,$B8,Estação!$H$2:$H$50000,"&gt;-50"),"")</f>
        <v/>
      </c>
      <c r="K8" s="12">
        <f>IFERROR(AVERAGEIFS(Estação!$L$2:$L$50000,Estação!$A$2:$A$50000,$B8,Estação!$L$2:$L$50000,"&gt;-50"),"")</f>
        <v/>
      </c>
      <c r="L8" s="12">
        <f>IFERROR(AVERAGEIFS(Estação!$B$2:$B$50000,Estação!$A$2:$A$50000,$B8,Estação!$B$2:$B$50000,"&gt;-50"),"")</f>
        <v/>
      </c>
      <c r="M8" s="12">
        <f>IFERROR(AVERAGEIFS(Estação!$M$2:$M$50000,Estação!$A$2:$A$50000,$B8,Estação!$M$2:$M$50000,"&gt;-50"),"")</f>
        <v/>
      </c>
      <c r="N8" s="12">
        <f>IF($B8="§","",SUMIFS(Estação!$O$2:$O$50000,Estação!$A$2:$A$50000,$B8))</f>
        <v/>
      </c>
      <c r="O8" s="12">
        <f>IF($B8="§","",SUMIFS(Estação!$P$2:$P$50000,Estação!$A$2:$A$50000,$B8))</f>
        <v/>
      </c>
      <c r="P8" s="12">
        <f>IF($B8="§","",SUMIFS(Estação!$Q$2:$Q$50000,Estação!$A$2:$A$50000,$B8))</f>
        <v/>
      </c>
      <c r="Q8" s="12">
        <f>IFERROR(AVERAGEIFS(Estação!$AA$2:$AA$50000,Estação!$A$2:$A$50000,$B8,Estação!$AA$2:$AA$50000,"&gt;-50"),"")</f>
        <v/>
      </c>
      <c r="R8" s="12">
        <f>IFERROR(AVERAGEIFS(Estação!$AB$2:$AB$50000,Estação!$A$2:$A$50000,$B8,Estação!$AB$2:$AB$50000,"&gt;-50"),"")</f>
        <v/>
      </c>
      <c r="S8" s="12">
        <f>IFERROR(AVERAGEIFS(Estação!$Y$2:$Y$50000,Estação!$A$2:$A$50000,$B8,Estação!$Y$2:$Y$50000,"&gt;-50"),"")</f>
        <v/>
      </c>
      <c r="T8" s="12">
        <f>IFERROR(AVERAGEIFS(Estação!$C$2:$C$50000,Estação!$A$2:$A$50000,$B8,Estação!$C$2:$C$50000,"&gt;-50"),"")</f>
        <v/>
      </c>
    </row>
    <row r="9">
      <c r="A9" s="12" t="inlineStr">
        <is>
          <t>04h</t>
        </is>
      </c>
      <c r="B9" s="12">
        <f>""&amp;YEAR($B$1)&amp;"-"&amp;RIGHT("0"&amp;MONTH($B$1),2)&amp;"-"&amp;RIGHT("0"&amp;DAY($B$1),2)&amp;" 04*"</f>
        <v/>
      </c>
      <c r="D9" s="12">
        <f>IFERROR(AVERAGEIFS(Estação!$S$2:$S$50000,Estação!$A$2:$A$50000,$B9,Estação!$S$2:$S$50000,"&gt;-50"),"")</f>
        <v/>
      </c>
      <c r="E9" s="12">
        <f>IFERROR(AVERAGEIFS(Estação!$T$2:$T$50000,Estação!$A$2:$A$50000,$B9,Estação!$T$2:$T$50000,"&gt;-50"),"")</f>
        <v/>
      </c>
      <c r="F9" s="12">
        <f>IFERROR(AVERAGEIFS(Estação!$F$2:$F$50000,Estação!$A$2:$A$50000,$B9,Estação!$F$2:$F$50000,"&gt;-50"),"")</f>
        <v/>
      </c>
      <c r="G9" s="12">
        <f>IFERROR(AVERAGEIFS(Estação!$G$2:$G$50000,Estação!$A$2:$A$50000,$B9,Estação!$G$2:$G$50000,"&gt;-50"),"")</f>
        <v/>
      </c>
      <c r="H9" s="12">
        <f>IFERROR(AVERAGEIFS(Estação!$Z$2:$Z$50000,Estação!$A$2:$A$50000,$B9,Estação!$Z$2:$Z$50000,"&gt;-50"),"")</f>
        <v/>
      </c>
      <c r="I9" s="12">
        <f>IFERROR(AVERAGEIFS(Estação!$E$2:$E$50000,Estação!$A$2:$A$50000,$B9,Estação!$E$2:$E$50000,"&gt;-50"),"")</f>
        <v/>
      </c>
      <c r="J9" s="12">
        <f>IFERROR(AVERAGEIFS(Estação!$H$2:$H$50000,Estação!$A$2:$A$50000,$B9,Estação!$H$2:$H$50000,"&gt;-50"),"")</f>
        <v/>
      </c>
      <c r="K9" s="12">
        <f>IFERROR(AVERAGEIFS(Estação!$L$2:$L$50000,Estação!$A$2:$A$50000,$B9,Estação!$L$2:$L$50000,"&gt;-50"),"")</f>
        <v/>
      </c>
      <c r="L9" s="12">
        <f>IFERROR(AVERAGEIFS(Estação!$B$2:$B$50000,Estação!$A$2:$A$50000,$B9,Estação!$B$2:$B$50000,"&gt;-50"),"")</f>
        <v/>
      </c>
      <c r="M9" s="12">
        <f>IFERROR(AVERAGEIFS(Estação!$M$2:$M$50000,Estação!$A$2:$A$50000,$B9,Estação!$M$2:$M$50000,"&gt;-50"),"")</f>
        <v/>
      </c>
      <c r="N9" s="12">
        <f>IF($B9="§","",SUMIFS(Estação!$O$2:$O$50000,Estação!$A$2:$A$50000,$B9))</f>
        <v/>
      </c>
      <c r="O9" s="12">
        <f>IF($B9="§","",SUMIFS(Estação!$P$2:$P$50000,Estação!$A$2:$A$50000,$B9))</f>
        <v/>
      </c>
      <c r="P9" s="12">
        <f>IF($B9="§","",SUMIFS(Estação!$Q$2:$Q$50000,Estação!$A$2:$A$50000,$B9))</f>
        <v/>
      </c>
      <c r="Q9" s="12">
        <f>IFERROR(AVERAGEIFS(Estação!$AA$2:$AA$50000,Estação!$A$2:$A$50000,$B9,Estação!$AA$2:$AA$50000,"&gt;-50"),"")</f>
        <v/>
      </c>
      <c r="R9" s="12">
        <f>IFERROR(AVERAGEIFS(Estação!$AB$2:$AB$50000,Estação!$A$2:$A$50000,$B9,Estação!$AB$2:$AB$50000,"&gt;-50"),"")</f>
        <v/>
      </c>
      <c r="S9" s="12">
        <f>IFERROR(AVERAGEIFS(Estação!$Y$2:$Y$50000,Estação!$A$2:$A$50000,$B9,Estação!$Y$2:$Y$50000,"&gt;-50"),"")</f>
        <v/>
      </c>
      <c r="T9" s="12">
        <f>IFERROR(AVERAGEIFS(Estação!$C$2:$C$50000,Estação!$A$2:$A$50000,$B9,Estação!$C$2:$C$50000,"&gt;-50"),"")</f>
        <v/>
      </c>
    </row>
    <row r="10">
      <c r="A10" s="12" t="inlineStr">
        <is>
          <t>05h</t>
        </is>
      </c>
      <c r="B10" s="12">
        <f>""&amp;YEAR($B$1)&amp;"-"&amp;RIGHT("0"&amp;MONTH($B$1),2)&amp;"-"&amp;RIGHT("0"&amp;DAY($B$1),2)&amp;" 05*"</f>
        <v/>
      </c>
      <c r="D10" s="12">
        <f>IFERROR(AVERAGEIFS(Estação!$S$2:$S$50000,Estação!$A$2:$A$50000,$B10,Estação!$S$2:$S$50000,"&gt;-50"),"")</f>
        <v/>
      </c>
      <c r="E10" s="12">
        <f>IFERROR(AVERAGEIFS(Estação!$T$2:$T$50000,Estação!$A$2:$A$50000,$B10,Estação!$T$2:$T$50000,"&gt;-50"),"")</f>
        <v/>
      </c>
      <c r="F10" s="12">
        <f>IFERROR(AVERAGEIFS(Estação!$F$2:$F$50000,Estação!$A$2:$A$50000,$B10,Estação!$F$2:$F$50000,"&gt;-50"),"")</f>
        <v/>
      </c>
      <c r="G10" s="12">
        <f>IFERROR(AVERAGEIFS(Estação!$G$2:$G$50000,Estação!$A$2:$A$50000,$B10,Estação!$G$2:$G$50000,"&gt;-50"),"")</f>
        <v/>
      </c>
      <c r="H10" s="12">
        <f>IFERROR(AVERAGEIFS(Estação!$Z$2:$Z$50000,Estação!$A$2:$A$50000,$B10,Estação!$Z$2:$Z$50000,"&gt;-50"),"")</f>
        <v/>
      </c>
      <c r="I10" s="12">
        <f>IFERROR(AVERAGEIFS(Estação!$E$2:$E$50000,Estação!$A$2:$A$50000,$B10,Estação!$E$2:$E$50000,"&gt;-50"),"")</f>
        <v/>
      </c>
      <c r="J10" s="12">
        <f>IFERROR(AVERAGEIFS(Estação!$H$2:$H$50000,Estação!$A$2:$A$50000,$B10,Estação!$H$2:$H$50000,"&gt;-50"),"")</f>
        <v/>
      </c>
      <c r="K10" s="12">
        <f>IFERROR(AVERAGEIFS(Estação!$L$2:$L$50000,Estação!$A$2:$A$50000,$B10,Estação!$L$2:$L$50000,"&gt;-50"),"")</f>
        <v/>
      </c>
      <c r="L10" s="12">
        <f>IFERROR(AVERAGEIFS(Estação!$B$2:$B$50000,Estação!$A$2:$A$50000,$B10,Estação!$B$2:$B$50000,"&gt;-50"),"")</f>
        <v/>
      </c>
      <c r="M10" s="12">
        <f>IFERROR(AVERAGEIFS(Estação!$M$2:$M$50000,Estação!$A$2:$A$50000,$B10,Estação!$M$2:$M$50000,"&gt;-50"),"")</f>
        <v/>
      </c>
      <c r="N10" s="12">
        <f>IF($B10="§","",SUMIFS(Estação!$O$2:$O$50000,Estação!$A$2:$A$50000,$B10))</f>
        <v/>
      </c>
      <c r="O10" s="12">
        <f>IF($B10="§","",SUMIFS(Estação!$P$2:$P$50000,Estação!$A$2:$A$50000,$B10))</f>
        <v/>
      </c>
      <c r="P10" s="12">
        <f>IF($B10="§","",SUMIFS(Estação!$Q$2:$Q$50000,Estação!$A$2:$A$50000,$B10))</f>
        <v/>
      </c>
      <c r="Q10" s="12">
        <f>IFERROR(AVERAGEIFS(Estação!$AA$2:$AA$50000,Estação!$A$2:$A$50000,$B10,Estação!$AA$2:$AA$50000,"&gt;-50"),"")</f>
        <v/>
      </c>
      <c r="R10" s="12">
        <f>IFERROR(AVERAGEIFS(Estação!$AB$2:$AB$50000,Estação!$A$2:$A$50000,$B10,Estação!$AB$2:$AB$50000,"&gt;-50"),"")</f>
        <v/>
      </c>
      <c r="S10" s="12">
        <f>IFERROR(AVERAGEIFS(Estação!$Y$2:$Y$50000,Estação!$A$2:$A$50000,$B10,Estação!$Y$2:$Y$50000,"&gt;-50"),"")</f>
        <v/>
      </c>
      <c r="T10" s="12">
        <f>IFERROR(AVERAGEIFS(Estação!$C$2:$C$50000,Estação!$A$2:$A$50000,$B10,Estação!$C$2:$C$50000,"&gt;-50"),"")</f>
        <v/>
      </c>
    </row>
    <row r="11">
      <c r="A11" s="12" t="inlineStr">
        <is>
          <t>06h</t>
        </is>
      </c>
      <c r="B11" s="12">
        <f>""&amp;YEAR($B$1)&amp;"-"&amp;RIGHT("0"&amp;MONTH($B$1),2)&amp;"-"&amp;RIGHT("0"&amp;DAY($B$1),2)&amp;" 06*"</f>
        <v/>
      </c>
      <c r="D11" s="12">
        <f>IFERROR(AVERAGEIFS(Estação!$S$2:$S$50000,Estação!$A$2:$A$50000,$B11,Estação!$S$2:$S$50000,"&gt;-50"),"")</f>
        <v/>
      </c>
      <c r="E11" s="12">
        <f>IFERROR(AVERAGEIFS(Estação!$T$2:$T$50000,Estação!$A$2:$A$50000,$B11,Estação!$T$2:$T$50000,"&gt;-50"),"")</f>
        <v/>
      </c>
      <c r="F11" s="12">
        <f>IFERROR(AVERAGEIFS(Estação!$F$2:$F$50000,Estação!$A$2:$A$50000,$B11,Estação!$F$2:$F$50000,"&gt;-50"),"")</f>
        <v/>
      </c>
      <c r="G11" s="12">
        <f>IFERROR(AVERAGEIFS(Estação!$G$2:$G$50000,Estação!$A$2:$A$50000,$B11,Estação!$G$2:$G$50000,"&gt;-50"),"")</f>
        <v/>
      </c>
      <c r="H11" s="12">
        <f>IFERROR(AVERAGEIFS(Estação!$Z$2:$Z$50000,Estação!$A$2:$A$50000,$B11,Estação!$Z$2:$Z$50000,"&gt;-50"),"")</f>
        <v/>
      </c>
      <c r="I11" s="12">
        <f>IFERROR(AVERAGEIFS(Estação!$E$2:$E$50000,Estação!$A$2:$A$50000,$B11,Estação!$E$2:$E$50000,"&gt;-50"),"")</f>
        <v/>
      </c>
      <c r="J11" s="12">
        <f>IFERROR(AVERAGEIFS(Estação!$H$2:$H$50000,Estação!$A$2:$A$50000,$B11,Estação!$H$2:$H$50000,"&gt;-50"),"")</f>
        <v/>
      </c>
      <c r="K11" s="12">
        <f>IFERROR(AVERAGEIFS(Estação!$L$2:$L$50000,Estação!$A$2:$A$50000,$B11,Estação!$L$2:$L$50000,"&gt;-50"),"")</f>
        <v/>
      </c>
      <c r="L11" s="12">
        <f>IFERROR(AVERAGEIFS(Estação!$B$2:$B$50000,Estação!$A$2:$A$50000,$B11,Estação!$B$2:$B$50000,"&gt;-50"),"")</f>
        <v/>
      </c>
      <c r="M11" s="12">
        <f>IFERROR(AVERAGEIFS(Estação!$M$2:$M$50000,Estação!$A$2:$A$50000,$B11,Estação!$M$2:$M$50000,"&gt;-50"),"")</f>
        <v/>
      </c>
      <c r="N11" s="12">
        <f>IF($B11="§","",SUMIFS(Estação!$O$2:$O$50000,Estação!$A$2:$A$50000,$B11))</f>
        <v/>
      </c>
      <c r="O11" s="12">
        <f>IF($B11="§","",SUMIFS(Estação!$P$2:$P$50000,Estação!$A$2:$A$50000,$B11))</f>
        <v/>
      </c>
      <c r="P11" s="12">
        <f>IF($B11="§","",SUMIFS(Estação!$Q$2:$Q$50000,Estação!$A$2:$A$50000,$B11))</f>
        <v/>
      </c>
      <c r="Q11" s="12">
        <f>IFERROR(AVERAGEIFS(Estação!$AA$2:$AA$50000,Estação!$A$2:$A$50000,$B11,Estação!$AA$2:$AA$50000,"&gt;-50"),"")</f>
        <v/>
      </c>
      <c r="R11" s="12">
        <f>IFERROR(AVERAGEIFS(Estação!$AB$2:$AB$50000,Estação!$A$2:$A$50000,$B11,Estação!$AB$2:$AB$50000,"&gt;-50"),"")</f>
        <v/>
      </c>
      <c r="S11" s="12">
        <f>IFERROR(AVERAGEIFS(Estação!$Y$2:$Y$50000,Estação!$A$2:$A$50000,$B11,Estação!$Y$2:$Y$50000,"&gt;-50"),"")</f>
        <v/>
      </c>
      <c r="T11" s="12">
        <f>IFERROR(AVERAGEIFS(Estação!$C$2:$C$50000,Estação!$A$2:$A$50000,$B11,Estação!$C$2:$C$50000,"&gt;-50"),"")</f>
        <v/>
      </c>
    </row>
    <row r="12">
      <c r="A12" s="12" t="inlineStr">
        <is>
          <t>07h</t>
        </is>
      </c>
      <c r="B12" s="12">
        <f>""&amp;YEAR($B$1)&amp;"-"&amp;RIGHT("0"&amp;MONTH($B$1),2)&amp;"-"&amp;RIGHT("0"&amp;DAY($B$1),2)&amp;" 07*"</f>
        <v/>
      </c>
      <c r="D12" s="12">
        <f>IFERROR(AVERAGEIFS(Estação!$S$2:$S$50000,Estação!$A$2:$A$50000,$B12,Estação!$S$2:$S$50000,"&gt;-50"),"")</f>
        <v/>
      </c>
      <c r="E12" s="12">
        <f>IFERROR(AVERAGEIFS(Estação!$T$2:$T$50000,Estação!$A$2:$A$50000,$B12,Estação!$T$2:$T$50000,"&gt;-50"),"")</f>
        <v/>
      </c>
      <c r="F12" s="12">
        <f>IFERROR(AVERAGEIFS(Estação!$F$2:$F$50000,Estação!$A$2:$A$50000,$B12,Estação!$F$2:$F$50000,"&gt;-50"),"")</f>
        <v/>
      </c>
      <c r="G12" s="12">
        <f>IFERROR(AVERAGEIFS(Estação!$G$2:$G$50000,Estação!$A$2:$A$50000,$B12,Estação!$G$2:$G$50000,"&gt;-50"),"")</f>
        <v/>
      </c>
      <c r="H12" s="12">
        <f>IFERROR(AVERAGEIFS(Estação!$Z$2:$Z$50000,Estação!$A$2:$A$50000,$B12,Estação!$Z$2:$Z$50000,"&gt;-50"),"")</f>
        <v/>
      </c>
      <c r="I12" s="12">
        <f>IFERROR(AVERAGEIFS(Estação!$E$2:$E$50000,Estação!$A$2:$A$50000,$B12,Estação!$E$2:$E$50000,"&gt;-50"),"")</f>
        <v/>
      </c>
      <c r="J12" s="12">
        <f>IFERROR(AVERAGEIFS(Estação!$H$2:$H$50000,Estação!$A$2:$A$50000,$B12,Estação!$H$2:$H$50000,"&gt;-50"),"")</f>
        <v/>
      </c>
      <c r="K12" s="12">
        <f>IFERROR(AVERAGEIFS(Estação!$L$2:$L$50000,Estação!$A$2:$A$50000,$B12,Estação!$L$2:$L$50000,"&gt;-50"),"")</f>
        <v/>
      </c>
      <c r="L12" s="12">
        <f>IFERROR(AVERAGEIFS(Estação!$B$2:$B$50000,Estação!$A$2:$A$50000,$B12,Estação!$B$2:$B$50000,"&gt;-50"),"")</f>
        <v/>
      </c>
      <c r="M12" s="12">
        <f>IFERROR(AVERAGEIFS(Estação!$M$2:$M$50000,Estação!$A$2:$A$50000,$B12,Estação!$M$2:$M$50000,"&gt;-50"),"")</f>
        <v/>
      </c>
      <c r="N12" s="12">
        <f>IF($B12="§","",SUMIFS(Estação!$O$2:$O$50000,Estação!$A$2:$A$50000,$B12))</f>
        <v/>
      </c>
      <c r="O12" s="12">
        <f>IF($B12="§","",SUMIFS(Estação!$P$2:$P$50000,Estação!$A$2:$A$50000,$B12))</f>
        <v/>
      </c>
      <c r="P12" s="12">
        <f>IF($B12="§","",SUMIFS(Estação!$Q$2:$Q$50000,Estação!$A$2:$A$50000,$B12))</f>
        <v/>
      </c>
      <c r="Q12" s="12">
        <f>IFERROR(AVERAGEIFS(Estação!$AA$2:$AA$50000,Estação!$A$2:$A$50000,$B12,Estação!$AA$2:$AA$50000,"&gt;-50"),"")</f>
        <v/>
      </c>
      <c r="R12" s="12">
        <f>IFERROR(AVERAGEIFS(Estação!$AB$2:$AB$50000,Estação!$A$2:$A$50000,$B12,Estação!$AB$2:$AB$50000,"&gt;-50"),"")</f>
        <v/>
      </c>
      <c r="S12" s="12">
        <f>IFERROR(AVERAGEIFS(Estação!$Y$2:$Y$50000,Estação!$A$2:$A$50000,$B12,Estação!$Y$2:$Y$50000,"&gt;-50"),"")</f>
        <v/>
      </c>
      <c r="T12" s="12">
        <f>IFERROR(AVERAGEIFS(Estação!$C$2:$C$50000,Estação!$A$2:$A$50000,$B12,Estação!$C$2:$C$50000,"&gt;-50"),"")</f>
        <v/>
      </c>
    </row>
    <row r="13">
      <c r="A13" s="12" t="inlineStr">
        <is>
          <t>08h</t>
        </is>
      </c>
      <c r="B13" s="12">
        <f>""&amp;YEAR($B$1)&amp;"-"&amp;RIGHT("0"&amp;MONTH($B$1),2)&amp;"-"&amp;RIGHT("0"&amp;DAY($B$1),2)&amp;" 08*"</f>
        <v/>
      </c>
      <c r="D13" s="12">
        <f>IFERROR(AVERAGEIFS(Estação!$S$2:$S$50000,Estação!$A$2:$A$50000,$B13,Estação!$S$2:$S$50000,"&gt;-50"),"")</f>
        <v/>
      </c>
      <c r="E13" s="12">
        <f>IFERROR(AVERAGEIFS(Estação!$T$2:$T$50000,Estação!$A$2:$A$50000,$B13,Estação!$T$2:$T$50000,"&gt;-50"),"")</f>
        <v/>
      </c>
      <c r="F13" s="12">
        <f>IFERROR(AVERAGEIFS(Estação!$F$2:$F$50000,Estação!$A$2:$A$50000,$B13,Estação!$F$2:$F$50000,"&gt;-50"),"")</f>
        <v/>
      </c>
      <c r="G13" s="12">
        <f>IFERROR(AVERAGEIFS(Estação!$G$2:$G$50000,Estação!$A$2:$A$50000,$B13,Estação!$G$2:$G$50000,"&gt;-50"),"")</f>
        <v/>
      </c>
      <c r="H13" s="12">
        <f>IFERROR(AVERAGEIFS(Estação!$Z$2:$Z$50000,Estação!$A$2:$A$50000,$B13,Estação!$Z$2:$Z$50000,"&gt;-50"),"")</f>
        <v/>
      </c>
      <c r="I13" s="12">
        <f>IFERROR(AVERAGEIFS(Estação!$E$2:$E$50000,Estação!$A$2:$A$50000,$B13,Estação!$E$2:$E$50000,"&gt;-50"),"")</f>
        <v/>
      </c>
      <c r="J13" s="12">
        <f>IFERROR(AVERAGEIFS(Estação!$H$2:$H$50000,Estação!$A$2:$A$50000,$B13,Estação!$H$2:$H$50000,"&gt;-50"),"")</f>
        <v/>
      </c>
      <c r="K13" s="12">
        <f>IFERROR(AVERAGEIFS(Estação!$L$2:$L$50000,Estação!$A$2:$A$50000,$B13,Estação!$L$2:$L$50000,"&gt;-50"),"")</f>
        <v/>
      </c>
      <c r="L13" s="12">
        <f>IFERROR(AVERAGEIFS(Estação!$B$2:$B$50000,Estação!$A$2:$A$50000,$B13,Estação!$B$2:$B$50000,"&gt;-50"),"")</f>
        <v/>
      </c>
      <c r="M13" s="12">
        <f>IFERROR(AVERAGEIFS(Estação!$M$2:$M$50000,Estação!$A$2:$A$50000,$B13,Estação!$M$2:$M$50000,"&gt;-50"),"")</f>
        <v/>
      </c>
      <c r="N13" s="12">
        <f>IF($B13="§","",SUMIFS(Estação!$O$2:$O$50000,Estação!$A$2:$A$50000,$B13))</f>
        <v/>
      </c>
      <c r="O13" s="12">
        <f>IF($B13="§","",SUMIFS(Estação!$P$2:$P$50000,Estação!$A$2:$A$50000,$B13))</f>
        <v/>
      </c>
      <c r="P13" s="12">
        <f>IF($B13="§","",SUMIFS(Estação!$Q$2:$Q$50000,Estação!$A$2:$A$50000,$B13))</f>
        <v/>
      </c>
      <c r="Q13" s="12">
        <f>IFERROR(AVERAGEIFS(Estação!$AA$2:$AA$50000,Estação!$A$2:$A$50000,$B13,Estação!$AA$2:$AA$50000,"&gt;-50"),"")</f>
        <v/>
      </c>
      <c r="R13" s="12">
        <f>IFERROR(AVERAGEIFS(Estação!$AB$2:$AB$50000,Estação!$A$2:$A$50000,$B13,Estação!$AB$2:$AB$50000,"&gt;-50"),"")</f>
        <v/>
      </c>
      <c r="S13" s="12">
        <f>IFERROR(AVERAGEIFS(Estação!$Y$2:$Y$50000,Estação!$A$2:$A$50000,$B13,Estação!$Y$2:$Y$50000,"&gt;-50"),"")</f>
        <v/>
      </c>
      <c r="T13" s="12">
        <f>IFERROR(AVERAGEIFS(Estação!$C$2:$C$50000,Estação!$A$2:$A$50000,$B13,Estação!$C$2:$C$50000,"&gt;-50"),"")</f>
        <v/>
      </c>
    </row>
    <row r="14">
      <c r="A14" s="12" t="inlineStr">
        <is>
          <t>09h</t>
        </is>
      </c>
      <c r="B14" s="12">
        <f>""&amp;YEAR($B$1)&amp;"-"&amp;RIGHT("0"&amp;MONTH($B$1),2)&amp;"-"&amp;RIGHT("0"&amp;DAY($B$1),2)&amp;" 09*"</f>
        <v/>
      </c>
      <c r="D14" s="12">
        <f>IFERROR(AVERAGEIFS(Estação!$S$2:$S$50000,Estação!$A$2:$A$50000,$B14,Estação!$S$2:$S$50000,"&gt;-50"),"")</f>
        <v/>
      </c>
      <c r="E14" s="12">
        <f>IFERROR(AVERAGEIFS(Estação!$T$2:$T$50000,Estação!$A$2:$A$50000,$B14,Estação!$T$2:$T$50000,"&gt;-50"),"")</f>
        <v/>
      </c>
      <c r="F14" s="12">
        <f>IFERROR(AVERAGEIFS(Estação!$F$2:$F$50000,Estação!$A$2:$A$50000,$B14,Estação!$F$2:$F$50000,"&gt;-50"),"")</f>
        <v/>
      </c>
      <c r="G14" s="12">
        <f>IFERROR(AVERAGEIFS(Estação!$G$2:$G$50000,Estação!$A$2:$A$50000,$B14,Estação!$G$2:$G$50000,"&gt;-50"),"")</f>
        <v/>
      </c>
      <c r="H14" s="12">
        <f>IFERROR(AVERAGEIFS(Estação!$Z$2:$Z$50000,Estação!$A$2:$A$50000,$B14,Estação!$Z$2:$Z$50000,"&gt;-50"),"")</f>
        <v/>
      </c>
      <c r="I14" s="12">
        <f>IFERROR(AVERAGEIFS(Estação!$E$2:$E$50000,Estação!$A$2:$A$50000,$B14,Estação!$E$2:$E$50000,"&gt;-50"),"")</f>
        <v/>
      </c>
      <c r="J14" s="12">
        <f>IFERROR(AVERAGEIFS(Estação!$H$2:$H$50000,Estação!$A$2:$A$50000,$B14,Estação!$H$2:$H$50000,"&gt;-50"),"")</f>
        <v/>
      </c>
      <c r="K14" s="12">
        <f>IFERROR(AVERAGEIFS(Estação!$L$2:$L$50000,Estação!$A$2:$A$50000,$B14,Estação!$L$2:$L$50000,"&gt;-50"),"")</f>
        <v/>
      </c>
      <c r="L14" s="12">
        <f>IFERROR(AVERAGEIFS(Estação!$B$2:$B$50000,Estação!$A$2:$A$50000,$B14,Estação!$B$2:$B$50000,"&gt;-50"),"")</f>
        <v/>
      </c>
      <c r="M14" s="12">
        <f>IFERROR(AVERAGEIFS(Estação!$M$2:$M$50000,Estação!$A$2:$A$50000,$B14,Estação!$M$2:$M$50000,"&gt;-50"),"")</f>
        <v/>
      </c>
      <c r="N14" s="12">
        <f>IF($B14="§","",SUMIFS(Estação!$O$2:$O$50000,Estação!$A$2:$A$50000,$B14))</f>
        <v/>
      </c>
      <c r="O14" s="12">
        <f>IF($B14="§","",SUMIFS(Estação!$P$2:$P$50000,Estação!$A$2:$A$50000,$B14))</f>
        <v/>
      </c>
      <c r="P14" s="12">
        <f>IF($B14="§","",SUMIFS(Estação!$Q$2:$Q$50000,Estação!$A$2:$A$50000,$B14))</f>
        <v/>
      </c>
      <c r="Q14" s="12">
        <f>IFERROR(AVERAGEIFS(Estação!$AA$2:$AA$50000,Estação!$A$2:$A$50000,$B14,Estação!$AA$2:$AA$50000,"&gt;-50"),"")</f>
        <v/>
      </c>
      <c r="R14" s="12">
        <f>IFERROR(AVERAGEIFS(Estação!$AB$2:$AB$50000,Estação!$A$2:$A$50000,$B14,Estação!$AB$2:$AB$50000,"&gt;-50"),"")</f>
        <v/>
      </c>
      <c r="S14" s="12">
        <f>IFERROR(AVERAGEIFS(Estação!$Y$2:$Y$50000,Estação!$A$2:$A$50000,$B14,Estação!$Y$2:$Y$50000,"&gt;-50"),"")</f>
        <v/>
      </c>
      <c r="T14" s="12">
        <f>IFERROR(AVERAGEIFS(Estação!$C$2:$C$50000,Estação!$A$2:$A$50000,$B14,Estação!$C$2:$C$50000,"&gt;-50"),"")</f>
        <v/>
      </c>
    </row>
    <row r="15">
      <c r="A15" s="12" t="inlineStr">
        <is>
          <t>10h</t>
        </is>
      </c>
      <c r="B15" s="12">
        <f>""&amp;YEAR($B$1)&amp;"-"&amp;RIGHT("0"&amp;MONTH($B$1),2)&amp;"-"&amp;RIGHT("0"&amp;DAY($B$1),2)&amp;" 10*"</f>
        <v/>
      </c>
      <c r="D15" s="12">
        <f>IFERROR(AVERAGEIFS(Estação!$S$2:$S$50000,Estação!$A$2:$A$50000,$B15,Estação!$S$2:$S$50000,"&gt;-50"),"")</f>
        <v/>
      </c>
      <c r="E15" s="12">
        <f>IFERROR(AVERAGEIFS(Estação!$T$2:$T$50000,Estação!$A$2:$A$50000,$B15,Estação!$T$2:$T$50000,"&gt;-50"),"")</f>
        <v/>
      </c>
      <c r="F15" s="12">
        <f>IFERROR(AVERAGEIFS(Estação!$F$2:$F$50000,Estação!$A$2:$A$50000,$B15,Estação!$F$2:$F$50000,"&gt;-50"),"")</f>
        <v/>
      </c>
      <c r="G15" s="12">
        <f>IFERROR(AVERAGEIFS(Estação!$G$2:$G$50000,Estação!$A$2:$A$50000,$B15,Estação!$G$2:$G$50000,"&gt;-50"),"")</f>
        <v/>
      </c>
      <c r="H15" s="12">
        <f>IFERROR(AVERAGEIFS(Estação!$Z$2:$Z$50000,Estação!$A$2:$A$50000,$B15,Estação!$Z$2:$Z$50000,"&gt;-50"),"")</f>
        <v/>
      </c>
      <c r="I15" s="12">
        <f>IFERROR(AVERAGEIFS(Estação!$E$2:$E$50000,Estação!$A$2:$A$50000,$B15,Estação!$E$2:$E$50000,"&gt;-50"),"")</f>
        <v/>
      </c>
      <c r="J15" s="12">
        <f>IFERROR(AVERAGEIFS(Estação!$H$2:$H$50000,Estação!$A$2:$A$50000,$B15,Estação!$H$2:$H$50000,"&gt;-50"),"")</f>
        <v/>
      </c>
      <c r="K15" s="12">
        <f>IFERROR(AVERAGEIFS(Estação!$L$2:$L$50000,Estação!$A$2:$A$50000,$B15,Estação!$L$2:$L$50000,"&gt;-50"),"")</f>
        <v/>
      </c>
      <c r="L15" s="12">
        <f>IFERROR(AVERAGEIFS(Estação!$B$2:$B$50000,Estação!$A$2:$A$50000,$B15,Estação!$B$2:$B$50000,"&gt;-50"),"")</f>
        <v/>
      </c>
      <c r="M15" s="12">
        <f>IFERROR(AVERAGEIFS(Estação!$M$2:$M$50000,Estação!$A$2:$A$50000,$B15,Estação!$M$2:$M$50000,"&gt;-50"),"")</f>
        <v/>
      </c>
      <c r="N15" s="12">
        <f>IF($B15="§","",SUMIFS(Estação!$O$2:$O$50000,Estação!$A$2:$A$50000,$B15))</f>
        <v/>
      </c>
      <c r="O15" s="12">
        <f>IF($B15="§","",SUMIFS(Estação!$P$2:$P$50000,Estação!$A$2:$A$50000,$B15))</f>
        <v/>
      </c>
      <c r="P15" s="12">
        <f>IF($B15="§","",SUMIFS(Estação!$Q$2:$Q$50000,Estação!$A$2:$A$50000,$B15))</f>
        <v/>
      </c>
      <c r="Q15" s="12">
        <f>IFERROR(AVERAGEIFS(Estação!$AA$2:$AA$50000,Estação!$A$2:$A$50000,$B15,Estação!$AA$2:$AA$50000,"&gt;-50"),"")</f>
        <v/>
      </c>
      <c r="R15" s="12">
        <f>IFERROR(AVERAGEIFS(Estação!$AB$2:$AB$50000,Estação!$A$2:$A$50000,$B15,Estação!$AB$2:$AB$50000,"&gt;-50"),"")</f>
        <v/>
      </c>
      <c r="S15" s="12">
        <f>IFERROR(AVERAGEIFS(Estação!$Y$2:$Y$50000,Estação!$A$2:$A$50000,$B15,Estação!$Y$2:$Y$50000,"&gt;-50"),"")</f>
        <v/>
      </c>
      <c r="T15" s="12">
        <f>IFERROR(AVERAGEIFS(Estação!$C$2:$C$50000,Estação!$A$2:$A$50000,$B15,Estação!$C$2:$C$50000,"&gt;-50"),"")</f>
        <v/>
      </c>
    </row>
    <row r="16">
      <c r="A16" s="12" t="inlineStr">
        <is>
          <t>11h</t>
        </is>
      </c>
      <c r="B16" s="12">
        <f>""&amp;YEAR($B$1)&amp;"-"&amp;RIGHT("0"&amp;MONTH($B$1),2)&amp;"-"&amp;RIGHT("0"&amp;DAY($B$1),2)&amp;" 11*"</f>
        <v/>
      </c>
      <c r="D16" s="12">
        <f>IFERROR(AVERAGEIFS(Estação!$S$2:$S$50000,Estação!$A$2:$A$50000,$B16,Estação!$S$2:$S$50000,"&gt;-50"),"")</f>
        <v/>
      </c>
      <c r="E16" s="12">
        <f>IFERROR(AVERAGEIFS(Estação!$T$2:$T$50000,Estação!$A$2:$A$50000,$B16,Estação!$T$2:$T$50000,"&gt;-50"),"")</f>
        <v/>
      </c>
      <c r="F16" s="12">
        <f>IFERROR(AVERAGEIFS(Estação!$F$2:$F$50000,Estação!$A$2:$A$50000,$B16,Estação!$F$2:$F$50000,"&gt;-50"),"")</f>
        <v/>
      </c>
      <c r="G16" s="12">
        <f>IFERROR(AVERAGEIFS(Estação!$G$2:$G$50000,Estação!$A$2:$A$50000,$B16,Estação!$G$2:$G$50000,"&gt;-50"),"")</f>
        <v/>
      </c>
      <c r="H16" s="12">
        <f>IFERROR(AVERAGEIFS(Estação!$Z$2:$Z$50000,Estação!$A$2:$A$50000,$B16,Estação!$Z$2:$Z$50000,"&gt;-50"),"")</f>
        <v/>
      </c>
      <c r="I16" s="12">
        <f>IFERROR(AVERAGEIFS(Estação!$E$2:$E$50000,Estação!$A$2:$A$50000,$B16,Estação!$E$2:$E$50000,"&gt;-50"),"")</f>
        <v/>
      </c>
      <c r="J16" s="12">
        <f>IFERROR(AVERAGEIFS(Estação!$H$2:$H$50000,Estação!$A$2:$A$50000,$B16,Estação!$H$2:$H$50000,"&gt;-50"),"")</f>
        <v/>
      </c>
      <c r="K16" s="12">
        <f>IFERROR(AVERAGEIFS(Estação!$L$2:$L$50000,Estação!$A$2:$A$50000,$B16,Estação!$L$2:$L$50000,"&gt;-50"),"")</f>
        <v/>
      </c>
      <c r="L16" s="12">
        <f>IFERROR(AVERAGEIFS(Estação!$B$2:$B$50000,Estação!$A$2:$A$50000,$B16,Estação!$B$2:$B$50000,"&gt;-50"),"")</f>
        <v/>
      </c>
      <c r="M16" s="12">
        <f>IFERROR(AVERAGEIFS(Estação!$M$2:$M$50000,Estação!$A$2:$A$50000,$B16,Estação!$M$2:$M$50000,"&gt;-50"),"")</f>
        <v/>
      </c>
      <c r="N16" s="12">
        <f>IF($B16="§","",SUMIFS(Estação!$O$2:$O$50000,Estação!$A$2:$A$50000,$B16))</f>
        <v/>
      </c>
      <c r="O16" s="12">
        <f>IF($B16="§","",SUMIFS(Estação!$P$2:$P$50000,Estação!$A$2:$A$50000,$B16))</f>
        <v/>
      </c>
      <c r="P16" s="12">
        <f>IF($B16="§","",SUMIFS(Estação!$Q$2:$Q$50000,Estação!$A$2:$A$50000,$B16))</f>
        <v/>
      </c>
      <c r="Q16" s="12">
        <f>IFERROR(AVERAGEIFS(Estação!$AA$2:$AA$50000,Estação!$A$2:$A$50000,$B16,Estação!$AA$2:$AA$50000,"&gt;-50"),"")</f>
        <v/>
      </c>
      <c r="R16" s="12">
        <f>IFERROR(AVERAGEIFS(Estação!$AB$2:$AB$50000,Estação!$A$2:$A$50000,$B16,Estação!$AB$2:$AB$50000,"&gt;-50"),"")</f>
        <v/>
      </c>
      <c r="S16" s="12">
        <f>IFERROR(AVERAGEIFS(Estação!$Y$2:$Y$50000,Estação!$A$2:$A$50000,$B16,Estação!$Y$2:$Y$50000,"&gt;-50"),"")</f>
        <v/>
      </c>
      <c r="T16" s="12">
        <f>IFERROR(AVERAGEIFS(Estação!$C$2:$C$50000,Estação!$A$2:$A$50000,$B16,Estação!$C$2:$C$50000,"&gt;-50"),"")</f>
        <v/>
      </c>
    </row>
    <row r="17">
      <c r="A17" s="12" t="inlineStr">
        <is>
          <t>12h</t>
        </is>
      </c>
      <c r="B17" s="12">
        <f>""&amp;YEAR($B$1)&amp;"-"&amp;RIGHT("0"&amp;MONTH($B$1),2)&amp;"-"&amp;RIGHT("0"&amp;DAY($B$1),2)&amp;" 12*"</f>
        <v/>
      </c>
      <c r="D17" s="12">
        <f>IFERROR(AVERAGEIFS(Estação!$S$2:$S$50000,Estação!$A$2:$A$50000,$B17,Estação!$S$2:$S$50000,"&gt;-50"),"")</f>
        <v/>
      </c>
      <c r="E17" s="12">
        <f>IFERROR(AVERAGEIFS(Estação!$T$2:$T$50000,Estação!$A$2:$A$50000,$B17,Estação!$T$2:$T$50000,"&gt;-50"),"")</f>
        <v/>
      </c>
      <c r="F17" s="12">
        <f>IFERROR(AVERAGEIFS(Estação!$F$2:$F$50000,Estação!$A$2:$A$50000,$B17,Estação!$F$2:$F$50000,"&gt;-50"),"")</f>
        <v/>
      </c>
      <c r="G17" s="12">
        <f>IFERROR(AVERAGEIFS(Estação!$G$2:$G$50000,Estação!$A$2:$A$50000,$B17,Estação!$G$2:$G$50000,"&gt;-50"),"")</f>
        <v/>
      </c>
      <c r="H17" s="12">
        <f>IFERROR(AVERAGEIFS(Estação!$Z$2:$Z$50000,Estação!$A$2:$A$50000,$B17,Estação!$Z$2:$Z$50000,"&gt;-50"),"")</f>
        <v/>
      </c>
      <c r="I17" s="12">
        <f>IFERROR(AVERAGEIFS(Estação!$E$2:$E$50000,Estação!$A$2:$A$50000,$B17,Estação!$E$2:$E$50000,"&gt;-50"),"")</f>
        <v/>
      </c>
      <c r="J17" s="12">
        <f>IFERROR(AVERAGEIFS(Estação!$H$2:$H$50000,Estação!$A$2:$A$50000,$B17,Estação!$H$2:$H$50000,"&gt;-50"),"")</f>
        <v/>
      </c>
      <c r="K17" s="12">
        <f>IFERROR(AVERAGEIFS(Estação!$L$2:$L$50000,Estação!$A$2:$A$50000,$B17,Estação!$L$2:$L$50000,"&gt;-50"),"")</f>
        <v/>
      </c>
      <c r="L17" s="12">
        <f>IFERROR(AVERAGEIFS(Estação!$B$2:$B$50000,Estação!$A$2:$A$50000,$B17,Estação!$B$2:$B$50000,"&gt;-50"),"")</f>
        <v/>
      </c>
      <c r="M17" s="12">
        <f>IFERROR(AVERAGEIFS(Estação!$M$2:$M$50000,Estação!$A$2:$A$50000,$B17,Estação!$M$2:$M$50000,"&gt;-50"),"")</f>
        <v/>
      </c>
      <c r="N17" s="12">
        <f>IF($B17="§","",SUMIFS(Estação!$O$2:$O$50000,Estação!$A$2:$A$50000,$B17))</f>
        <v/>
      </c>
      <c r="O17" s="12">
        <f>IF($B17="§","",SUMIFS(Estação!$P$2:$P$50000,Estação!$A$2:$A$50000,$B17))</f>
        <v/>
      </c>
      <c r="P17" s="12">
        <f>IF($B17="§","",SUMIFS(Estação!$Q$2:$Q$50000,Estação!$A$2:$A$50000,$B17))</f>
        <v/>
      </c>
      <c r="Q17" s="12">
        <f>IFERROR(AVERAGEIFS(Estação!$AA$2:$AA$50000,Estação!$A$2:$A$50000,$B17,Estação!$AA$2:$AA$50000,"&gt;-50"),"")</f>
        <v/>
      </c>
      <c r="R17" s="12">
        <f>IFERROR(AVERAGEIFS(Estação!$AB$2:$AB$50000,Estação!$A$2:$A$50000,$B17,Estação!$AB$2:$AB$50000,"&gt;-50"),"")</f>
        <v/>
      </c>
      <c r="S17" s="12">
        <f>IFERROR(AVERAGEIFS(Estação!$Y$2:$Y$50000,Estação!$A$2:$A$50000,$B17,Estação!$Y$2:$Y$50000,"&gt;-50"),"")</f>
        <v/>
      </c>
      <c r="T17" s="12">
        <f>IFERROR(AVERAGEIFS(Estação!$C$2:$C$50000,Estação!$A$2:$A$50000,$B17,Estação!$C$2:$C$50000,"&gt;-50"),"")</f>
        <v/>
      </c>
    </row>
    <row r="18">
      <c r="A18" s="12" t="inlineStr">
        <is>
          <t>13h</t>
        </is>
      </c>
      <c r="B18" s="12">
        <f>""&amp;YEAR($B$1)&amp;"-"&amp;RIGHT("0"&amp;MONTH($B$1),2)&amp;"-"&amp;RIGHT("0"&amp;DAY($B$1),2)&amp;" 13*"</f>
        <v/>
      </c>
      <c r="D18" s="12">
        <f>IFERROR(AVERAGEIFS(Estação!$S$2:$S$50000,Estação!$A$2:$A$50000,$B18,Estação!$S$2:$S$50000,"&gt;-50"),"")</f>
        <v/>
      </c>
      <c r="E18" s="12">
        <f>IFERROR(AVERAGEIFS(Estação!$T$2:$T$50000,Estação!$A$2:$A$50000,$B18,Estação!$T$2:$T$50000,"&gt;-50"),"")</f>
        <v/>
      </c>
      <c r="F18" s="12">
        <f>IFERROR(AVERAGEIFS(Estação!$F$2:$F$50000,Estação!$A$2:$A$50000,$B18,Estação!$F$2:$F$50000,"&gt;-50"),"")</f>
        <v/>
      </c>
      <c r="G18" s="12">
        <f>IFERROR(AVERAGEIFS(Estação!$G$2:$G$50000,Estação!$A$2:$A$50000,$B18,Estação!$G$2:$G$50000,"&gt;-50"),"")</f>
        <v/>
      </c>
      <c r="H18" s="12">
        <f>IFERROR(AVERAGEIFS(Estação!$Z$2:$Z$50000,Estação!$A$2:$A$50000,$B18,Estação!$Z$2:$Z$50000,"&gt;-50"),"")</f>
        <v/>
      </c>
      <c r="I18" s="12">
        <f>IFERROR(AVERAGEIFS(Estação!$E$2:$E$50000,Estação!$A$2:$A$50000,$B18,Estação!$E$2:$E$50000,"&gt;-50"),"")</f>
        <v/>
      </c>
      <c r="J18" s="12">
        <f>IFERROR(AVERAGEIFS(Estação!$H$2:$H$50000,Estação!$A$2:$A$50000,$B18,Estação!$H$2:$H$50000,"&gt;-50"),"")</f>
        <v/>
      </c>
      <c r="K18" s="12">
        <f>IFERROR(AVERAGEIFS(Estação!$L$2:$L$50000,Estação!$A$2:$A$50000,$B18,Estação!$L$2:$L$50000,"&gt;-50"),"")</f>
        <v/>
      </c>
      <c r="L18" s="12">
        <f>IFERROR(AVERAGEIFS(Estação!$B$2:$B$50000,Estação!$A$2:$A$50000,$B18,Estação!$B$2:$B$50000,"&gt;-50"),"")</f>
        <v/>
      </c>
      <c r="M18" s="12">
        <f>IFERROR(AVERAGEIFS(Estação!$M$2:$M$50000,Estação!$A$2:$A$50000,$B18,Estação!$M$2:$M$50000,"&gt;-50"),"")</f>
        <v/>
      </c>
      <c r="N18" s="12">
        <f>IF($B18="§","",SUMIFS(Estação!$O$2:$O$50000,Estação!$A$2:$A$50000,$B18))</f>
        <v/>
      </c>
      <c r="O18" s="12">
        <f>IF($B18="§","",SUMIFS(Estação!$P$2:$P$50000,Estação!$A$2:$A$50000,$B18))</f>
        <v/>
      </c>
      <c r="P18" s="12">
        <f>IF($B18="§","",SUMIFS(Estação!$Q$2:$Q$50000,Estação!$A$2:$A$50000,$B18))</f>
        <v/>
      </c>
      <c r="Q18" s="12">
        <f>IFERROR(AVERAGEIFS(Estação!$AA$2:$AA$50000,Estação!$A$2:$A$50000,$B18,Estação!$AA$2:$AA$50000,"&gt;-50"),"")</f>
        <v/>
      </c>
      <c r="R18" s="12">
        <f>IFERROR(AVERAGEIFS(Estação!$AB$2:$AB$50000,Estação!$A$2:$A$50000,$B18,Estação!$AB$2:$AB$50000,"&gt;-50"),"")</f>
        <v/>
      </c>
      <c r="S18" s="12">
        <f>IFERROR(AVERAGEIFS(Estação!$Y$2:$Y$50000,Estação!$A$2:$A$50000,$B18,Estação!$Y$2:$Y$50000,"&gt;-50"),"")</f>
        <v/>
      </c>
      <c r="T18" s="12">
        <f>IFERROR(AVERAGEIFS(Estação!$C$2:$C$50000,Estação!$A$2:$A$50000,$B18,Estação!$C$2:$C$50000,"&gt;-50"),"")</f>
        <v/>
      </c>
    </row>
    <row r="19">
      <c r="A19" s="12" t="inlineStr">
        <is>
          <t>14h</t>
        </is>
      </c>
      <c r="B19" s="12">
        <f>""&amp;YEAR($B$1)&amp;"-"&amp;RIGHT("0"&amp;MONTH($B$1),2)&amp;"-"&amp;RIGHT("0"&amp;DAY($B$1),2)&amp;" 14*"</f>
        <v/>
      </c>
      <c r="D19" s="12">
        <f>IFERROR(AVERAGEIFS(Estação!$S$2:$S$50000,Estação!$A$2:$A$50000,$B19,Estação!$S$2:$S$50000,"&gt;-50"),"")</f>
        <v/>
      </c>
      <c r="E19" s="12">
        <f>IFERROR(AVERAGEIFS(Estação!$T$2:$T$50000,Estação!$A$2:$A$50000,$B19,Estação!$T$2:$T$50000,"&gt;-50"),"")</f>
        <v/>
      </c>
      <c r="F19" s="12">
        <f>IFERROR(AVERAGEIFS(Estação!$F$2:$F$50000,Estação!$A$2:$A$50000,$B19,Estação!$F$2:$F$50000,"&gt;-50"),"")</f>
        <v/>
      </c>
      <c r="G19" s="12">
        <f>IFERROR(AVERAGEIFS(Estação!$G$2:$G$50000,Estação!$A$2:$A$50000,$B19,Estação!$G$2:$G$50000,"&gt;-50"),"")</f>
        <v/>
      </c>
      <c r="H19" s="12">
        <f>IFERROR(AVERAGEIFS(Estação!$Z$2:$Z$50000,Estação!$A$2:$A$50000,$B19,Estação!$Z$2:$Z$50000,"&gt;-50"),"")</f>
        <v/>
      </c>
      <c r="I19" s="12">
        <f>IFERROR(AVERAGEIFS(Estação!$E$2:$E$50000,Estação!$A$2:$A$50000,$B19,Estação!$E$2:$E$50000,"&gt;-50"),"")</f>
        <v/>
      </c>
      <c r="J19" s="12">
        <f>IFERROR(AVERAGEIFS(Estação!$H$2:$H$50000,Estação!$A$2:$A$50000,$B19,Estação!$H$2:$H$50000,"&gt;-50"),"")</f>
        <v/>
      </c>
      <c r="K19" s="12">
        <f>IFERROR(AVERAGEIFS(Estação!$L$2:$L$50000,Estação!$A$2:$A$50000,$B19,Estação!$L$2:$L$50000,"&gt;-50"),"")</f>
        <v/>
      </c>
      <c r="L19" s="12">
        <f>IFERROR(AVERAGEIFS(Estação!$B$2:$B$50000,Estação!$A$2:$A$50000,$B19,Estação!$B$2:$B$50000,"&gt;-50"),"")</f>
        <v/>
      </c>
      <c r="M19" s="12">
        <f>IFERROR(AVERAGEIFS(Estação!$M$2:$M$50000,Estação!$A$2:$A$50000,$B19,Estação!$M$2:$M$50000,"&gt;-50"),"")</f>
        <v/>
      </c>
      <c r="N19" s="12">
        <f>IF($B19="§","",SUMIFS(Estação!$O$2:$O$50000,Estação!$A$2:$A$50000,$B19))</f>
        <v/>
      </c>
      <c r="O19" s="12">
        <f>IF($B19="§","",SUMIFS(Estação!$P$2:$P$50000,Estação!$A$2:$A$50000,$B19))</f>
        <v/>
      </c>
      <c r="P19" s="12">
        <f>IF($B19="§","",SUMIFS(Estação!$Q$2:$Q$50000,Estação!$A$2:$A$50000,$B19))</f>
        <v/>
      </c>
      <c r="Q19" s="12">
        <f>IFERROR(AVERAGEIFS(Estação!$AA$2:$AA$50000,Estação!$A$2:$A$50000,$B19,Estação!$AA$2:$AA$50000,"&gt;-50"),"")</f>
        <v/>
      </c>
      <c r="R19" s="12">
        <f>IFERROR(AVERAGEIFS(Estação!$AB$2:$AB$50000,Estação!$A$2:$A$50000,$B19,Estação!$AB$2:$AB$50000,"&gt;-50"),"")</f>
        <v/>
      </c>
      <c r="S19" s="12">
        <f>IFERROR(AVERAGEIFS(Estação!$Y$2:$Y$50000,Estação!$A$2:$A$50000,$B19,Estação!$Y$2:$Y$50000,"&gt;-50"),"")</f>
        <v/>
      </c>
      <c r="T19" s="12">
        <f>IFERROR(AVERAGEIFS(Estação!$C$2:$C$50000,Estação!$A$2:$A$50000,$B19,Estação!$C$2:$C$50000,"&gt;-50"),"")</f>
        <v/>
      </c>
    </row>
    <row r="20">
      <c r="A20" s="12" t="inlineStr">
        <is>
          <t>15h</t>
        </is>
      </c>
      <c r="B20" s="12">
        <f>""&amp;YEAR($B$1)&amp;"-"&amp;RIGHT("0"&amp;MONTH($B$1),2)&amp;"-"&amp;RIGHT("0"&amp;DAY($B$1),2)&amp;" 15*"</f>
        <v/>
      </c>
      <c r="D20" s="12">
        <f>IFERROR(AVERAGEIFS(Estação!$S$2:$S$50000,Estação!$A$2:$A$50000,$B20,Estação!$S$2:$S$50000,"&gt;-50"),"")</f>
        <v/>
      </c>
      <c r="E20" s="12">
        <f>IFERROR(AVERAGEIFS(Estação!$T$2:$T$50000,Estação!$A$2:$A$50000,$B20,Estação!$T$2:$T$50000,"&gt;-50"),"")</f>
        <v/>
      </c>
      <c r="F20" s="12">
        <f>IFERROR(AVERAGEIFS(Estação!$F$2:$F$50000,Estação!$A$2:$A$50000,$B20,Estação!$F$2:$F$50000,"&gt;-50"),"")</f>
        <v/>
      </c>
      <c r="G20" s="12">
        <f>IFERROR(AVERAGEIFS(Estação!$G$2:$G$50000,Estação!$A$2:$A$50000,$B20,Estação!$G$2:$G$50000,"&gt;-50"),"")</f>
        <v/>
      </c>
      <c r="H20" s="12">
        <f>IFERROR(AVERAGEIFS(Estação!$Z$2:$Z$50000,Estação!$A$2:$A$50000,$B20,Estação!$Z$2:$Z$50000,"&gt;-50"),"")</f>
        <v/>
      </c>
      <c r="I20" s="12">
        <f>IFERROR(AVERAGEIFS(Estação!$E$2:$E$50000,Estação!$A$2:$A$50000,$B20,Estação!$E$2:$E$50000,"&gt;-50"),"")</f>
        <v/>
      </c>
      <c r="J20" s="12">
        <f>IFERROR(AVERAGEIFS(Estação!$H$2:$H$50000,Estação!$A$2:$A$50000,$B20,Estação!$H$2:$H$50000,"&gt;-50"),"")</f>
        <v/>
      </c>
      <c r="K20" s="12">
        <f>IFERROR(AVERAGEIFS(Estação!$L$2:$L$50000,Estação!$A$2:$A$50000,$B20,Estação!$L$2:$L$50000,"&gt;-50"),"")</f>
        <v/>
      </c>
      <c r="L20" s="12">
        <f>IFERROR(AVERAGEIFS(Estação!$B$2:$B$50000,Estação!$A$2:$A$50000,$B20,Estação!$B$2:$B$50000,"&gt;-50"),"")</f>
        <v/>
      </c>
      <c r="M20" s="12">
        <f>IFERROR(AVERAGEIFS(Estação!$M$2:$M$50000,Estação!$A$2:$A$50000,$B20,Estação!$M$2:$M$50000,"&gt;-50"),"")</f>
        <v/>
      </c>
      <c r="N20" s="12">
        <f>IF($B20="§","",SUMIFS(Estação!$O$2:$O$50000,Estação!$A$2:$A$50000,$B20))</f>
        <v/>
      </c>
      <c r="O20" s="12">
        <f>IF($B20="§","",SUMIFS(Estação!$P$2:$P$50000,Estação!$A$2:$A$50000,$B20))</f>
        <v/>
      </c>
      <c r="P20" s="12">
        <f>IF($B20="§","",SUMIFS(Estação!$Q$2:$Q$50000,Estação!$A$2:$A$50000,$B20))</f>
        <v/>
      </c>
      <c r="Q20" s="12">
        <f>IFERROR(AVERAGEIFS(Estação!$AA$2:$AA$50000,Estação!$A$2:$A$50000,$B20,Estação!$AA$2:$AA$50000,"&gt;-50"),"")</f>
        <v/>
      </c>
      <c r="R20" s="12">
        <f>IFERROR(AVERAGEIFS(Estação!$AB$2:$AB$50000,Estação!$A$2:$A$50000,$B20,Estação!$AB$2:$AB$50000,"&gt;-50"),"")</f>
        <v/>
      </c>
      <c r="S20" s="12">
        <f>IFERROR(AVERAGEIFS(Estação!$Y$2:$Y$50000,Estação!$A$2:$A$50000,$B20,Estação!$Y$2:$Y$50000,"&gt;-50"),"")</f>
        <v/>
      </c>
      <c r="T20" s="12">
        <f>IFERROR(AVERAGEIFS(Estação!$C$2:$C$50000,Estação!$A$2:$A$50000,$B20,Estação!$C$2:$C$50000,"&gt;-50"),"")</f>
        <v/>
      </c>
    </row>
    <row r="21">
      <c r="A21" s="12" t="inlineStr">
        <is>
          <t>16h</t>
        </is>
      </c>
      <c r="B21" s="12">
        <f>""&amp;YEAR($B$1)&amp;"-"&amp;RIGHT("0"&amp;MONTH($B$1),2)&amp;"-"&amp;RIGHT("0"&amp;DAY($B$1),2)&amp;" 16*"</f>
        <v/>
      </c>
      <c r="D21" s="12">
        <f>IFERROR(AVERAGEIFS(Estação!$S$2:$S$50000,Estação!$A$2:$A$50000,$B21,Estação!$S$2:$S$50000,"&gt;-50"),"")</f>
        <v/>
      </c>
      <c r="E21" s="12">
        <f>IFERROR(AVERAGEIFS(Estação!$T$2:$T$50000,Estação!$A$2:$A$50000,$B21,Estação!$T$2:$T$50000,"&gt;-50"),"")</f>
        <v/>
      </c>
      <c r="F21" s="12">
        <f>IFERROR(AVERAGEIFS(Estação!$F$2:$F$50000,Estação!$A$2:$A$50000,$B21,Estação!$F$2:$F$50000,"&gt;-50"),"")</f>
        <v/>
      </c>
      <c r="G21" s="12">
        <f>IFERROR(AVERAGEIFS(Estação!$G$2:$G$50000,Estação!$A$2:$A$50000,$B21,Estação!$G$2:$G$50000,"&gt;-50"),"")</f>
        <v/>
      </c>
      <c r="H21" s="12">
        <f>IFERROR(AVERAGEIFS(Estação!$Z$2:$Z$50000,Estação!$A$2:$A$50000,$B21,Estação!$Z$2:$Z$50000,"&gt;-50"),"")</f>
        <v/>
      </c>
      <c r="I21" s="12">
        <f>IFERROR(AVERAGEIFS(Estação!$E$2:$E$50000,Estação!$A$2:$A$50000,$B21,Estação!$E$2:$E$50000,"&gt;-50"),"")</f>
        <v/>
      </c>
      <c r="J21" s="12">
        <f>IFERROR(AVERAGEIFS(Estação!$H$2:$H$50000,Estação!$A$2:$A$50000,$B21,Estação!$H$2:$H$50000,"&gt;-50"),"")</f>
        <v/>
      </c>
      <c r="K21" s="12">
        <f>IFERROR(AVERAGEIFS(Estação!$L$2:$L$50000,Estação!$A$2:$A$50000,$B21,Estação!$L$2:$L$50000,"&gt;-50"),"")</f>
        <v/>
      </c>
      <c r="L21" s="12">
        <f>IFERROR(AVERAGEIFS(Estação!$B$2:$B$50000,Estação!$A$2:$A$50000,$B21,Estação!$B$2:$B$50000,"&gt;-50"),"")</f>
        <v/>
      </c>
      <c r="M21" s="12">
        <f>IFERROR(AVERAGEIFS(Estação!$M$2:$M$50000,Estação!$A$2:$A$50000,$B21,Estação!$M$2:$M$50000,"&gt;-50"),"")</f>
        <v/>
      </c>
      <c r="N21" s="12">
        <f>IF($B21="§","",SUMIFS(Estação!$O$2:$O$50000,Estação!$A$2:$A$50000,$B21))</f>
        <v/>
      </c>
      <c r="O21" s="12">
        <f>IF($B21="§","",SUMIFS(Estação!$P$2:$P$50000,Estação!$A$2:$A$50000,$B21))</f>
        <v/>
      </c>
      <c r="P21" s="12">
        <f>IF($B21="§","",SUMIFS(Estação!$Q$2:$Q$50000,Estação!$A$2:$A$50000,$B21))</f>
        <v/>
      </c>
      <c r="Q21" s="12">
        <f>IFERROR(AVERAGEIFS(Estação!$AA$2:$AA$50000,Estação!$A$2:$A$50000,$B21,Estação!$AA$2:$AA$50000,"&gt;-50"),"")</f>
        <v/>
      </c>
      <c r="R21" s="12">
        <f>IFERROR(AVERAGEIFS(Estação!$AB$2:$AB$50000,Estação!$A$2:$A$50000,$B21,Estação!$AB$2:$AB$50000,"&gt;-50"),"")</f>
        <v/>
      </c>
      <c r="S21" s="12">
        <f>IFERROR(AVERAGEIFS(Estação!$Y$2:$Y$50000,Estação!$A$2:$A$50000,$B21,Estação!$Y$2:$Y$50000,"&gt;-50"),"")</f>
        <v/>
      </c>
      <c r="T21" s="12">
        <f>IFERROR(AVERAGEIFS(Estação!$C$2:$C$50000,Estação!$A$2:$A$50000,$B21,Estação!$C$2:$C$50000,"&gt;-50"),"")</f>
        <v/>
      </c>
    </row>
    <row r="22">
      <c r="A22" s="12" t="inlineStr">
        <is>
          <t>17h</t>
        </is>
      </c>
      <c r="B22" s="12">
        <f>""&amp;YEAR($B$1)&amp;"-"&amp;RIGHT("0"&amp;MONTH($B$1),2)&amp;"-"&amp;RIGHT("0"&amp;DAY($B$1),2)&amp;" 17*"</f>
        <v/>
      </c>
      <c r="D22" s="12">
        <f>IFERROR(AVERAGEIFS(Estação!$S$2:$S$50000,Estação!$A$2:$A$50000,$B22,Estação!$S$2:$S$50000,"&gt;-50"),"")</f>
        <v/>
      </c>
      <c r="E22" s="12">
        <f>IFERROR(AVERAGEIFS(Estação!$T$2:$T$50000,Estação!$A$2:$A$50000,$B22,Estação!$T$2:$T$50000,"&gt;-50"),"")</f>
        <v/>
      </c>
      <c r="F22" s="12">
        <f>IFERROR(AVERAGEIFS(Estação!$F$2:$F$50000,Estação!$A$2:$A$50000,$B22,Estação!$F$2:$F$50000,"&gt;-50"),"")</f>
        <v/>
      </c>
      <c r="G22" s="12">
        <f>IFERROR(AVERAGEIFS(Estação!$G$2:$G$50000,Estação!$A$2:$A$50000,$B22,Estação!$G$2:$G$50000,"&gt;-50"),"")</f>
        <v/>
      </c>
      <c r="H22" s="12">
        <f>IFERROR(AVERAGEIFS(Estação!$Z$2:$Z$50000,Estação!$A$2:$A$50000,$B22,Estação!$Z$2:$Z$50000,"&gt;-50"),"")</f>
        <v/>
      </c>
      <c r="I22" s="12">
        <f>IFERROR(AVERAGEIFS(Estação!$E$2:$E$50000,Estação!$A$2:$A$50000,$B22,Estação!$E$2:$E$50000,"&gt;-50"),"")</f>
        <v/>
      </c>
      <c r="J22" s="12">
        <f>IFERROR(AVERAGEIFS(Estação!$H$2:$H$50000,Estação!$A$2:$A$50000,$B22,Estação!$H$2:$H$50000,"&gt;-50"),"")</f>
        <v/>
      </c>
      <c r="K22" s="12">
        <f>IFERROR(AVERAGEIFS(Estação!$L$2:$L$50000,Estação!$A$2:$A$50000,$B22,Estação!$L$2:$L$50000,"&gt;-50"),"")</f>
        <v/>
      </c>
      <c r="L22" s="12">
        <f>IFERROR(AVERAGEIFS(Estação!$B$2:$B$50000,Estação!$A$2:$A$50000,$B22,Estação!$B$2:$B$50000,"&gt;-50"),"")</f>
        <v/>
      </c>
      <c r="M22" s="12">
        <f>IFERROR(AVERAGEIFS(Estação!$M$2:$M$50000,Estação!$A$2:$A$50000,$B22,Estação!$M$2:$M$50000,"&gt;-50"),"")</f>
        <v/>
      </c>
      <c r="N22" s="12">
        <f>IF($B22="§","",SUMIFS(Estação!$O$2:$O$50000,Estação!$A$2:$A$50000,$B22))</f>
        <v/>
      </c>
      <c r="O22" s="12">
        <f>IF($B22="§","",SUMIFS(Estação!$P$2:$P$50000,Estação!$A$2:$A$50000,$B22))</f>
        <v/>
      </c>
      <c r="P22" s="12">
        <f>IF($B22="§","",SUMIFS(Estação!$Q$2:$Q$50000,Estação!$A$2:$A$50000,$B22))</f>
        <v/>
      </c>
      <c r="Q22" s="12">
        <f>IFERROR(AVERAGEIFS(Estação!$AA$2:$AA$50000,Estação!$A$2:$A$50000,$B22,Estação!$AA$2:$AA$50000,"&gt;-50"),"")</f>
        <v/>
      </c>
      <c r="R22" s="12">
        <f>IFERROR(AVERAGEIFS(Estação!$AB$2:$AB$50000,Estação!$A$2:$A$50000,$B22,Estação!$AB$2:$AB$50000,"&gt;-50"),"")</f>
        <v/>
      </c>
      <c r="S22" s="12">
        <f>IFERROR(AVERAGEIFS(Estação!$Y$2:$Y$50000,Estação!$A$2:$A$50000,$B22,Estação!$Y$2:$Y$50000,"&gt;-50"),"")</f>
        <v/>
      </c>
      <c r="T22" s="12">
        <f>IFERROR(AVERAGEIFS(Estação!$C$2:$C$50000,Estação!$A$2:$A$50000,$B22,Estação!$C$2:$C$50000,"&gt;-50"),"")</f>
        <v/>
      </c>
    </row>
    <row r="23">
      <c r="A23" s="12" t="inlineStr">
        <is>
          <t>18h</t>
        </is>
      </c>
      <c r="B23" s="12">
        <f>""&amp;YEAR($B$1)&amp;"-"&amp;RIGHT("0"&amp;MONTH($B$1),2)&amp;"-"&amp;RIGHT("0"&amp;DAY($B$1),2)&amp;" 18*"</f>
        <v/>
      </c>
      <c r="D23" s="12">
        <f>IFERROR(AVERAGEIFS(Estação!$S$2:$S$50000,Estação!$A$2:$A$50000,$B23,Estação!$S$2:$S$50000,"&gt;-50"),"")</f>
        <v/>
      </c>
      <c r="E23" s="12">
        <f>IFERROR(AVERAGEIFS(Estação!$T$2:$T$50000,Estação!$A$2:$A$50000,$B23,Estação!$T$2:$T$50000,"&gt;-50"),"")</f>
        <v/>
      </c>
      <c r="F23" s="12">
        <f>IFERROR(AVERAGEIFS(Estação!$F$2:$F$50000,Estação!$A$2:$A$50000,$B23,Estação!$F$2:$F$50000,"&gt;-50"),"")</f>
        <v/>
      </c>
      <c r="G23" s="12">
        <f>IFERROR(AVERAGEIFS(Estação!$G$2:$G$50000,Estação!$A$2:$A$50000,$B23,Estação!$G$2:$G$50000,"&gt;-50"),"")</f>
        <v/>
      </c>
      <c r="H23" s="12">
        <f>IFERROR(AVERAGEIFS(Estação!$Z$2:$Z$50000,Estação!$A$2:$A$50000,$B23,Estação!$Z$2:$Z$50000,"&gt;-50"),"")</f>
        <v/>
      </c>
      <c r="I23" s="12">
        <f>IFERROR(AVERAGEIFS(Estação!$E$2:$E$50000,Estação!$A$2:$A$50000,$B23,Estação!$E$2:$E$50000,"&gt;-50"),"")</f>
        <v/>
      </c>
      <c r="J23" s="12">
        <f>IFERROR(AVERAGEIFS(Estação!$H$2:$H$50000,Estação!$A$2:$A$50000,$B23,Estação!$H$2:$H$50000,"&gt;-50"),"")</f>
        <v/>
      </c>
      <c r="K23" s="12">
        <f>IFERROR(AVERAGEIFS(Estação!$L$2:$L$50000,Estação!$A$2:$A$50000,$B23,Estação!$L$2:$L$50000,"&gt;-50"),"")</f>
        <v/>
      </c>
      <c r="L23" s="12">
        <f>IFERROR(AVERAGEIFS(Estação!$B$2:$B$50000,Estação!$A$2:$A$50000,$B23,Estação!$B$2:$B$50000,"&gt;-50"),"")</f>
        <v/>
      </c>
      <c r="M23" s="12">
        <f>IFERROR(AVERAGEIFS(Estação!$M$2:$M$50000,Estação!$A$2:$A$50000,$B23,Estação!$M$2:$M$50000,"&gt;-50"),"")</f>
        <v/>
      </c>
      <c r="N23" s="12">
        <f>IF($B23="§","",SUMIFS(Estação!$O$2:$O$50000,Estação!$A$2:$A$50000,$B23))</f>
        <v/>
      </c>
      <c r="O23" s="12">
        <f>IF($B23="§","",SUMIFS(Estação!$P$2:$P$50000,Estação!$A$2:$A$50000,$B23))</f>
        <v/>
      </c>
      <c r="P23" s="12">
        <f>IF($B23="§","",SUMIFS(Estação!$Q$2:$Q$50000,Estação!$A$2:$A$50000,$B23))</f>
        <v/>
      </c>
      <c r="Q23" s="12">
        <f>IFERROR(AVERAGEIFS(Estação!$AA$2:$AA$50000,Estação!$A$2:$A$50000,$B23,Estação!$AA$2:$AA$50000,"&gt;-50"),"")</f>
        <v/>
      </c>
      <c r="R23" s="12">
        <f>IFERROR(AVERAGEIFS(Estação!$AB$2:$AB$50000,Estação!$A$2:$A$50000,$B23,Estação!$AB$2:$AB$50000,"&gt;-50"),"")</f>
        <v/>
      </c>
      <c r="S23" s="12">
        <f>IFERROR(AVERAGEIFS(Estação!$Y$2:$Y$50000,Estação!$A$2:$A$50000,$B23,Estação!$Y$2:$Y$50000,"&gt;-50"),"")</f>
        <v/>
      </c>
      <c r="T23" s="12">
        <f>IFERROR(AVERAGEIFS(Estação!$C$2:$C$50000,Estação!$A$2:$A$50000,$B23,Estação!$C$2:$C$50000,"&gt;-50"),"")</f>
        <v/>
      </c>
    </row>
    <row r="24">
      <c r="A24" s="12" t="inlineStr">
        <is>
          <t>19h</t>
        </is>
      </c>
      <c r="B24" s="12">
        <f>""&amp;YEAR($B$1)&amp;"-"&amp;RIGHT("0"&amp;MONTH($B$1),2)&amp;"-"&amp;RIGHT("0"&amp;DAY($B$1),2)&amp;" 19*"</f>
        <v/>
      </c>
      <c r="D24" s="12">
        <f>IFERROR(AVERAGEIFS(Estação!$S$2:$S$50000,Estação!$A$2:$A$50000,$B24,Estação!$S$2:$S$50000,"&gt;-50"),"")</f>
        <v/>
      </c>
      <c r="E24" s="12">
        <f>IFERROR(AVERAGEIFS(Estação!$T$2:$T$50000,Estação!$A$2:$A$50000,$B24,Estação!$T$2:$T$50000,"&gt;-50"),"")</f>
        <v/>
      </c>
      <c r="F24" s="12">
        <f>IFERROR(AVERAGEIFS(Estação!$F$2:$F$50000,Estação!$A$2:$A$50000,$B24,Estação!$F$2:$F$50000,"&gt;-50"),"")</f>
        <v/>
      </c>
      <c r="G24" s="12">
        <f>IFERROR(AVERAGEIFS(Estação!$G$2:$G$50000,Estação!$A$2:$A$50000,$B24,Estação!$G$2:$G$50000,"&gt;-50"),"")</f>
        <v/>
      </c>
      <c r="H24" s="12">
        <f>IFERROR(AVERAGEIFS(Estação!$Z$2:$Z$50000,Estação!$A$2:$A$50000,$B24,Estação!$Z$2:$Z$50000,"&gt;-50"),"")</f>
        <v/>
      </c>
      <c r="I24" s="12">
        <f>IFERROR(AVERAGEIFS(Estação!$E$2:$E$50000,Estação!$A$2:$A$50000,$B24,Estação!$E$2:$E$50000,"&gt;-50"),"")</f>
        <v/>
      </c>
      <c r="J24" s="12">
        <f>IFERROR(AVERAGEIFS(Estação!$H$2:$H$50000,Estação!$A$2:$A$50000,$B24,Estação!$H$2:$H$50000,"&gt;-50"),"")</f>
        <v/>
      </c>
      <c r="K24" s="12">
        <f>IFERROR(AVERAGEIFS(Estação!$L$2:$L$50000,Estação!$A$2:$A$50000,$B24,Estação!$L$2:$L$50000,"&gt;-50"),"")</f>
        <v/>
      </c>
      <c r="L24" s="12">
        <f>IFERROR(AVERAGEIFS(Estação!$B$2:$B$50000,Estação!$A$2:$A$50000,$B24,Estação!$B$2:$B$50000,"&gt;-50"),"")</f>
        <v/>
      </c>
      <c r="M24" s="12">
        <f>IFERROR(AVERAGEIFS(Estação!$M$2:$M$50000,Estação!$A$2:$A$50000,$B24,Estação!$M$2:$M$50000,"&gt;-50"),"")</f>
        <v/>
      </c>
      <c r="N24" s="12">
        <f>IF($B24="§","",SUMIFS(Estação!$O$2:$O$50000,Estação!$A$2:$A$50000,$B24))</f>
        <v/>
      </c>
      <c r="O24" s="12">
        <f>IF($B24="§","",SUMIFS(Estação!$P$2:$P$50000,Estação!$A$2:$A$50000,$B24))</f>
        <v/>
      </c>
      <c r="P24" s="12">
        <f>IF($B24="§","",SUMIFS(Estação!$Q$2:$Q$50000,Estação!$A$2:$A$50000,$B24))</f>
        <v/>
      </c>
      <c r="Q24" s="12">
        <f>IFERROR(AVERAGEIFS(Estação!$AA$2:$AA$50000,Estação!$A$2:$A$50000,$B24,Estação!$AA$2:$AA$50000,"&gt;-50"),"")</f>
        <v/>
      </c>
      <c r="R24" s="12">
        <f>IFERROR(AVERAGEIFS(Estação!$AB$2:$AB$50000,Estação!$A$2:$A$50000,$B24,Estação!$AB$2:$AB$50000,"&gt;-50"),"")</f>
        <v/>
      </c>
      <c r="S24" s="12">
        <f>IFERROR(AVERAGEIFS(Estação!$Y$2:$Y$50000,Estação!$A$2:$A$50000,$B24,Estação!$Y$2:$Y$50000,"&gt;-50"),"")</f>
        <v/>
      </c>
      <c r="T24" s="12">
        <f>IFERROR(AVERAGEIFS(Estação!$C$2:$C$50000,Estação!$A$2:$A$50000,$B24,Estação!$C$2:$C$50000,"&gt;-50"),"")</f>
        <v/>
      </c>
    </row>
    <row r="25">
      <c r="A25" s="12" t="inlineStr">
        <is>
          <t>20h</t>
        </is>
      </c>
      <c r="B25" s="12">
        <f>""&amp;YEAR($B$1)&amp;"-"&amp;RIGHT("0"&amp;MONTH($B$1),2)&amp;"-"&amp;RIGHT("0"&amp;DAY($B$1),2)&amp;" 20*"</f>
        <v/>
      </c>
      <c r="D25" s="12">
        <f>IFERROR(AVERAGEIFS(Estação!$S$2:$S$50000,Estação!$A$2:$A$50000,$B25,Estação!$S$2:$S$50000,"&gt;-50"),"")</f>
        <v/>
      </c>
      <c r="E25" s="12">
        <f>IFERROR(AVERAGEIFS(Estação!$T$2:$T$50000,Estação!$A$2:$A$50000,$B25,Estação!$T$2:$T$50000,"&gt;-50"),"")</f>
        <v/>
      </c>
      <c r="F25" s="12">
        <f>IFERROR(AVERAGEIFS(Estação!$F$2:$F$50000,Estação!$A$2:$A$50000,$B25,Estação!$F$2:$F$50000,"&gt;-50"),"")</f>
        <v/>
      </c>
      <c r="G25" s="12">
        <f>IFERROR(AVERAGEIFS(Estação!$G$2:$G$50000,Estação!$A$2:$A$50000,$B25,Estação!$G$2:$G$50000,"&gt;-50"),"")</f>
        <v/>
      </c>
      <c r="H25" s="12">
        <f>IFERROR(AVERAGEIFS(Estação!$Z$2:$Z$50000,Estação!$A$2:$A$50000,$B25,Estação!$Z$2:$Z$50000,"&gt;-50"),"")</f>
        <v/>
      </c>
      <c r="I25" s="12">
        <f>IFERROR(AVERAGEIFS(Estação!$E$2:$E$50000,Estação!$A$2:$A$50000,$B25,Estação!$E$2:$E$50000,"&gt;-50"),"")</f>
        <v/>
      </c>
      <c r="J25" s="12">
        <f>IFERROR(AVERAGEIFS(Estação!$H$2:$H$50000,Estação!$A$2:$A$50000,$B25,Estação!$H$2:$H$50000,"&gt;-50"),"")</f>
        <v/>
      </c>
      <c r="K25" s="12">
        <f>IFERROR(AVERAGEIFS(Estação!$L$2:$L$50000,Estação!$A$2:$A$50000,$B25,Estação!$L$2:$L$50000,"&gt;-50"),"")</f>
        <v/>
      </c>
      <c r="L25" s="12">
        <f>IFERROR(AVERAGEIFS(Estação!$B$2:$B$50000,Estação!$A$2:$A$50000,$B25,Estação!$B$2:$B$50000,"&gt;-50"),"")</f>
        <v/>
      </c>
      <c r="M25" s="12">
        <f>IFERROR(AVERAGEIFS(Estação!$M$2:$M$50000,Estação!$A$2:$A$50000,$B25,Estação!$M$2:$M$50000,"&gt;-50"),"")</f>
        <v/>
      </c>
      <c r="N25" s="12">
        <f>IF($B25="§","",SUMIFS(Estação!$O$2:$O$50000,Estação!$A$2:$A$50000,$B25))</f>
        <v/>
      </c>
      <c r="O25" s="12">
        <f>IF($B25="§","",SUMIFS(Estação!$P$2:$P$50000,Estação!$A$2:$A$50000,$B25))</f>
        <v/>
      </c>
      <c r="P25" s="12">
        <f>IF($B25="§","",SUMIFS(Estação!$Q$2:$Q$50000,Estação!$A$2:$A$50000,$B25))</f>
        <v/>
      </c>
      <c r="Q25" s="12">
        <f>IFERROR(AVERAGEIFS(Estação!$AA$2:$AA$50000,Estação!$A$2:$A$50000,$B25,Estação!$AA$2:$AA$50000,"&gt;-50"),"")</f>
        <v/>
      </c>
      <c r="R25" s="12">
        <f>IFERROR(AVERAGEIFS(Estação!$AB$2:$AB$50000,Estação!$A$2:$A$50000,$B25,Estação!$AB$2:$AB$50000,"&gt;-50"),"")</f>
        <v/>
      </c>
      <c r="S25" s="12">
        <f>IFERROR(AVERAGEIFS(Estação!$Y$2:$Y$50000,Estação!$A$2:$A$50000,$B25,Estação!$Y$2:$Y$50000,"&gt;-50"),"")</f>
        <v/>
      </c>
      <c r="T25" s="12">
        <f>IFERROR(AVERAGEIFS(Estação!$C$2:$C$50000,Estação!$A$2:$A$50000,$B25,Estação!$C$2:$C$50000,"&gt;-50"),"")</f>
        <v/>
      </c>
    </row>
    <row r="26">
      <c r="A26" s="12" t="inlineStr">
        <is>
          <t>21h</t>
        </is>
      </c>
      <c r="B26" s="12">
        <f>""&amp;YEAR($B$1)&amp;"-"&amp;RIGHT("0"&amp;MONTH($B$1),2)&amp;"-"&amp;RIGHT("0"&amp;DAY($B$1),2)&amp;" 21*"</f>
        <v/>
      </c>
      <c r="D26" s="12">
        <f>IFERROR(AVERAGEIFS(Estação!$S$2:$S$50000,Estação!$A$2:$A$50000,$B26,Estação!$S$2:$S$50000,"&gt;-50"),"")</f>
        <v/>
      </c>
      <c r="E26" s="12">
        <f>IFERROR(AVERAGEIFS(Estação!$T$2:$T$50000,Estação!$A$2:$A$50000,$B26,Estação!$T$2:$T$50000,"&gt;-50"),"")</f>
        <v/>
      </c>
      <c r="F26" s="12">
        <f>IFERROR(AVERAGEIFS(Estação!$F$2:$F$50000,Estação!$A$2:$A$50000,$B26,Estação!$F$2:$F$50000,"&gt;-50"),"")</f>
        <v/>
      </c>
      <c r="G26" s="12">
        <f>IFERROR(AVERAGEIFS(Estação!$G$2:$G$50000,Estação!$A$2:$A$50000,$B26,Estação!$G$2:$G$50000,"&gt;-50"),"")</f>
        <v/>
      </c>
      <c r="H26" s="12">
        <f>IFERROR(AVERAGEIFS(Estação!$Z$2:$Z$50000,Estação!$A$2:$A$50000,$B26,Estação!$Z$2:$Z$50000,"&gt;-50"),"")</f>
        <v/>
      </c>
      <c r="I26" s="12">
        <f>IFERROR(AVERAGEIFS(Estação!$E$2:$E$50000,Estação!$A$2:$A$50000,$B26,Estação!$E$2:$E$50000,"&gt;-50"),"")</f>
        <v/>
      </c>
      <c r="J26" s="12">
        <f>IFERROR(AVERAGEIFS(Estação!$H$2:$H$50000,Estação!$A$2:$A$50000,$B26,Estação!$H$2:$H$50000,"&gt;-50"),"")</f>
        <v/>
      </c>
      <c r="K26" s="12">
        <f>IFERROR(AVERAGEIFS(Estação!$L$2:$L$50000,Estação!$A$2:$A$50000,$B26,Estação!$L$2:$L$50000,"&gt;-50"),"")</f>
        <v/>
      </c>
      <c r="L26" s="12">
        <f>IFERROR(AVERAGEIFS(Estação!$B$2:$B$50000,Estação!$A$2:$A$50000,$B26,Estação!$B$2:$B$50000,"&gt;-50"),"")</f>
        <v/>
      </c>
      <c r="M26" s="12">
        <f>IFERROR(AVERAGEIFS(Estação!$M$2:$M$50000,Estação!$A$2:$A$50000,$B26,Estação!$M$2:$M$50000,"&gt;-50"),"")</f>
        <v/>
      </c>
      <c r="N26" s="12">
        <f>IF($B26="§","",SUMIFS(Estação!$O$2:$O$50000,Estação!$A$2:$A$50000,$B26))</f>
        <v/>
      </c>
      <c r="O26" s="12">
        <f>IF($B26="§","",SUMIFS(Estação!$P$2:$P$50000,Estação!$A$2:$A$50000,$B26))</f>
        <v/>
      </c>
      <c r="P26" s="12">
        <f>IF($B26="§","",SUMIFS(Estação!$Q$2:$Q$50000,Estação!$A$2:$A$50000,$B26))</f>
        <v/>
      </c>
      <c r="Q26" s="12">
        <f>IFERROR(AVERAGEIFS(Estação!$AA$2:$AA$50000,Estação!$A$2:$A$50000,$B26,Estação!$AA$2:$AA$50000,"&gt;-50"),"")</f>
        <v/>
      </c>
      <c r="R26" s="12">
        <f>IFERROR(AVERAGEIFS(Estação!$AB$2:$AB$50000,Estação!$A$2:$A$50000,$B26,Estação!$AB$2:$AB$50000,"&gt;-50"),"")</f>
        <v/>
      </c>
      <c r="S26" s="12">
        <f>IFERROR(AVERAGEIFS(Estação!$Y$2:$Y$50000,Estação!$A$2:$A$50000,$B26,Estação!$Y$2:$Y$50000,"&gt;-50"),"")</f>
        <v/>
      </c>
      <c r="T26" s="12">
        <f>IFERROR(AVERAGEIFS(Estação!$C$2:$C$50000,Estação!$A$2:$A$50000,$B26,Estação!$C$2:$C$50000,"&gt;-50"),"")</f>
        <v/>
      </c>
    </row>
    <row r="27">
      <c r="A27" s="12" t="inlineStr">
        <is>
          <t>22h</t>
        </is>
      </c>
      <c r="B27" s="12">
        <f>""&amp;YEAR($B$1)&amp;"-"&amp;RIGHT("0"&amp;MONTH($B$1),2)&amp;"-"&amp;RIGHT("0"&amp;DAY($B$1),2)&amp;" 22*"</f>
        <v/>
      </c>
      <c r="D27" s="12">
        <f>IFERROR(AVERAGEIFS(Estação!$S$2:$S$50000,Estação!$A$2:$A$50000,$B27,Estação!$S$2:$S$50000,"&gt;-50"),"")</f>
        <v/>
      </c>
      <c r="E27" s="12">
        <f>IFERROR(AVERAGEIFS(Estação!$T$2:$T$50000,Estação!$A$2:$A$50000,$B27,Estação!$T$2:$T$50000,"&gt;-50"),"")</f>
        <v/>
      </c>
      <c r="F27" s="12">
        <f>IFERROR(AVERAGEIFS(Estação!$F$2:$F$50000,Estação!$A$2:$A$50000,$B27,Estação!$F$2:$F$50000,"&gt;-50"),"")</f>
        <v/>
      </c>
      <c r="G27" s="12">
        <f>IFERROR(AVERAGEIFS(Estação!$G$2:$G$50000,Estação!$A$2:$A$50000,$B27,Estação!$G$2:$G$50000,"&gt;-50"),"")</f>
        <v/>
      </c>
      <c r="H27" s="12">
        <f>IFERROR(AVERAGEIFS(Estação!$Z$2:$Z$50000,Estação!$A$2:$A$50000,$B27,Estação!$Z$2:$Z$50000,"&gt;-50"),"")</f>
        <v/>
      </c>
      <c r="I27" s="12">
        <f>IFERROR(AVERAGEIFS(Estação!$E$2:$E$50000,Estação!$A$2:$A$50000,$B27,Estação!$E$2:$E$50000,"&gt;-50"),"")</f>
        <v/>
      </c>
      <c r="J27" s="12">
        <f>IFERROR(AVERAGEIFS(Estação!$H$2:$H$50000,Estação!$A$2:$A$50000,$B27,Estação!$H$2:$H$50000,"&gt;-50"),"")</f>
        <v/>
      </c>
      <c r="K27" s="12">
        <f>IFERROR(AVERAGEIFS(Estação!$L$2:$L$50000,Estação!$A$2:$A$50000,$B27,Estação!$L$2:$L$50000,"&gt;-50"),"")</f>
        <v/>
      </c>
      <c r="L27" s="12">
        <f>IFERROR(AVERAGEIFS(Estação!$B$2:$B$50000,Estação!$A$2:$A$50000,$B27,Estação!$B$2:$B$50000,"&gt;-50"),"")</f>
        <v/>
      </c>
      <c r="M27" s="12">
        <f>IFERROR(AVERAGEIFS(Estação!$M$2:$M$50000,Estação!$A$2:$A$50000,$B27,Estação!$M$2:$M$50000,"&gt;-50"),"")</f>
        <v/>
      </c>
      <c r="N27" s="12">
        <f>IF($B27="§","",SUMIFS(Estação!$O$2:$O$50000,Estação!$A$2:$A$50000,$B27))</f>
        <v/>
      </c>
      <c r="O27" s="12">
        <f>IF($B27="§","",SUMIFS(Estação!$P$2:$P$50000,Estação!$A$2:$A$50000,$B27))</f>
        <v/>
      </c>
      <c r="P27" s="12">
        <f>IF($B27="§","",SUMIFS(Estação!$Q$2:$Q$50000,Estação!$A$2:$A$50000,$B27))</f>
        <v/>
      </c>
      <c r="Q27" s="12">
        <f>IFERROR(AVERAGEIFS(Estação!$AA$2:$AA$50000,Estação!$A$2:$A$50000,$B27,Estação!$AA$2:$AA$50000,"&gt;-50"),"")</f>
        <v/>
      </c>
      <c r="R27" s="12">
        <f>IFERROR(AVERAGEIFS(Estação!$AB$2:$AB$50000,Estação!$A$2:$A$50000,$B27,Estação!$AB$2:$AB$50000,"&gt;-50"),"")</f>
        <v/>
      </c>
      <c r="S27" s="12">
        <f>IFERROR(AVERAGEIFS(Estação!$Y$2:$Y$50000,Estação!$A$2:$A$50000,$B27,Estação!$Y$2:$Y$50000,"&gt;-50"),"")</f>
        <v/>
      </c>
      <c r="T27" s="12">
        <f>IFERROR(AVERAGEIFS(Estação!$C$2:$C$50000,Estação!$A$2:$A$50000,$B27,Estação!$C$2:$C$50000,"&gt;-50"),"")</f>
        <v/>
      </c>
    </row>
    <row r="28">
      <c r="A28" s="12" t="inlineStr">
        <is>
          <t>23h</t>
        </is>
      </c>
      <c r="B28" s="12">
        <f>""&amp;YEAR($B$1)&amp;"-"&amp;RIGHT("0"&amp;MONTH($B$1),2)&amp;"-"&amp;RIGHT("0"&amp;DAY($B$1),2)&amp;" 23*"</f>
        <v/>
      </c>
      <c r="D28" s="12">
        <f>IFERROR(AVERAGEIFS(Estação!$S$2:$S$50000,Estação!$A$2:$A$50000,$B28,Estação!$S$2:$S$50000,"&gt;-50"),"")</f>
        <v/>
      </c>
      <c r="E28" s="12">
        <f>IFERROR(AVERAGEIFS(Estação!$T$2:$T$50000,Estação!$A$2:$A$50000,$B28,Estação!$T$2:$T$50000,"&gt;-50"),"")</f>
        <v/>
      </c>
      <c r="F28" s="12">
        <f>IFERROR(AVERAGEIFS(Estação!$F$2:$F$50000,Estação!$A$2:$A$50000,$B28,Estação!$F$2:$F$50000,"&gt;-50"),"")</f>
        <v/>
      </c>
      <c r="G28" s="12">
        <f>IFERROR(AVERAGEIFS(Estação!$G$2:$G$50000,Estação!$A$2:$A$50000,$B28,Estação!$G$2:$G$50000,"&gt;-50"),"")</f>
        <v/>
      </c>
      <c r="H28" s="12">
        <f>IFERROR(AVERAGEIFS(Estação!$Z$2:$Z$50000,Estação!$A$2:$A$50000,$B28,Estação!$Z$2:$Z$50000,"&gt;-50"),"")</f>
        <v/>
      </c>
      <c r="I28" s="12">
        <f>IFERROR(AVERAGEIFS(Estação!$E$2:$E$50000,Estação!$A$2:$A$50000,$B28,Estação!$E$2:$E$50000,"&gt;-50"),"")</f>
        <v/>
      </c>
      <c r="J28" s="12">
        <f>IFERROR(AVERAGEIFS(Estação!$H$2:$H$50000,Estação!$A$2:$A$50000,$B28,Estação!$H$2:$H$50000,"&gt;-50"),"")</f>
        <v/>
      </c>
      <c r="K28" s="12">
        <f>IFERROR(AVERAGEIFS(Estação!$L$2:$L$50000,Estação!$A$2:$A$50000,$B28,Estação!$L$2:$L$50000,"&gt;-50"),"")</f>
        <v/>
      </c>
      <c r="L28" s="12">
        <f>IFERROR(AVERAGEIFS(Estação!$B$2:$B$50000,Estação!$A$2:$A$50000,$B28,Estação!$B$2:$B$50000,"&gt;-50"),"")</f>
        <v/>
      </c>
      <c r="M28" s="12">
        <f>IFERROR(AVERAGEIFS(Estação!$M$2:$M$50000,Estação!$A$2:$A$50000,$B28,Estação!$M$2:$M$50000,"&gt;-50"),"")</f>
        <v/>
      </c>
      <c r="N28" s="12">
        <f>IF($B28="§","",SUMIFS(Estação!$O$2:$O$50000,Estação!$A$2:$A$50000,$B28))</f>
        <v/>
      </c>
      <c r="O28" s="12">
        <f>IF($B28="§","",SUMIFS(Estação!$P$2:$P$50000,Estação!$A$2:$A$50000,$B28))</f>
        <v/>
      </c>
      <c r="P28" s="12">
        <f>IF($B28="§","",SUMIFS(Estação!$Q$2:$Q$50000,Estação!$A$2:$A$50000,$B28))</f>
        <v/>
      </c>
      <c r="Q28" s="12">
        <f>IFERROR(AVERAGEIFS(Estação!$AA$2:$AA$50000,Estação!$A$2:$A$50000,$B28,Estação!$AA$2:$AA$50000,"&gt;-50"),"")</f>
        <v/>
      </c>
      <c r="R28" s="12">
        <f>IFERROR(AVERAGEIFS(Estação!$AB$2:$AB$50000,Estação!$A$2:$A$50000,$B28,Estação!$AB$2:$AB$50000,"&gt;-50"),"")</f>
        <v/>
      </c>
      <c r="S28" s="12">
        <f>IFERROR(AVERAGEIFS(Estação!$Y$2:$Y$50000,Estação!$A$2:$A$50000,$B28,Estação!$Y$2:$Y$50000,"&gt;-50"),"")</f>
        <v/>
      </c>
      <c r="T28" s="12">
        <f>IFERROR(AVERAGEIFS(Estação!$C$2:$C$50000,Estação!$A$2:$A$50000,$B28,Estação!$C$2:$C$50000,"&gt;-50"),"")</f>
        <v/>
      </c>
    </row>
    <row r="31">
      <c r="A31" s="12" t="inlineStr">
        <is>
          <t>rótulo</t>
        </is>
      </c>
      <c r="B31" s="12" t="inlineStr">
        <is>
          <t>critério</t>
        </is>
      </c>
      <c r="C31" s="12" t="inlineStr">
        <is>
          <t>data</t>
        </is>
      </c>
      <c r="D31" s="12" t="inlineStr">
        <is>
          <t>temp_current</t>
        </is>
      </c>
      <c r="E31" s="12" t="inlineStr">
        <is>
          <t>temp_current_external</t>
        </is>
      </c>
      <c r="F31" s="12" t="inlineStr">
        <is>
          <t>feellike_temp</t>
        </is>
      </c>
      <c r="G31" s="12" t="inlineStr">
        <is>
          <t>heat_index</t>
        </is>
      </c>
      <c r="H31" s="12" t="inlineStr">
        <is>
          <t>windchill_index</t>
        </is>
      </c>
      <c r="I31" s="12" t="inlineStr">
        <is>
          <t>dew_point_temp</t>
        </is>
      </c>
      <c r="J31" s="12" t="inlineStr">
        <is>
          <t>humidity_outdoor</t>
        </is>
      </c>
      <c r="K31" s="12" t="inlineStr">
        <is>
          <t>humidity_value</t>
        </is>
      </c>
      <c r="L31" s="12" t="inlineStr">
        <is>
          <t>atmospheric_pressture</t>
        </is>
      </c>
      <c r="M31" s="12" t="inlineStr">
        <is>
          <t>pressure_drop</t>
        </is>
      </c>
      <c r="N31" s="12" t="inlineStr">
        <is>
          <t>rain_1h</t>
        </is>
      </c>
      <c r="O31" s="12" t="inlineStr">
        <is>
          <t>rain_24h</t>
        </is>
      </c>
      <c r="P31" s="12" t="inlineStr">
        <is>
          <t>rain_rate</t>
        </is>
      </c>
      <c r="Q31" s="12" t="inlineStr">
        <is>
          <t>windspeed_avg</t>
        </is>
      </c>
      <c r="R31" s="12" t="inlineStr">
        <is>
          <t>windspeed_gust</t>
        </is>
      </c>
      <c r="S31" s="12" t="inlineStr">
        <is>
          <t>uv_index</t>
        </is>
      </c>
      <c r="T31" s="12" t="inlineStr">
        <is>
          <t>battery_percentage</t>
        </is>
      </c>
    </row>
    <row r="32">
      <c r="A32" s="12">
        <f>RIGHT("0"&amp;DAY($C32),2)&amp;"/"&amp;RIGHT("0"&amp;MONTH($C32),2)</f>
        <v/>
      </c>
      <c r="B32" s="12">
        <f>YEAR($C32)&amp;"-"&amp;RIGHT("0"&amp;MONTH($C32),2)&amp;"-"&amp;RIGHT("0"&amp;DAY($C32),2)&amp;"*"</f>
        <v/>
      </c>
      <c r="C32" s="13">
        <f>$B$1-6</f>
        <v/>
      </c>
      <c r="D32" s="12">
        <f>IFERROR(AVERAGEIFS(Estação!$S$2:$S$50000,Estação!$A$2:$A$50000,$B32,Estação!$S$2:$S$50000,"&gt;-50"),"")</f>
        <v/>
      </c>
      <c r="E32" s="12">
        <f>IFERROR(AVERAGEIFS(Estação!$T$2:$T$50000,Estação!$A$2:$A$50000,$B32,Estação!$T$2:$T$50000,"&gt;-50"),"")</f>
        <v/>
      </c>
      <c r="F32" s="12">
        <f>IFERROR(AVERAGEIFS(Estação!$F$2:$F$50000,Estação!$A$2:$A$50000,$B32,Estação!$F$2:$F$50000,"&gt;-50"),"")</f>
        <v/>
      </c>
      <c r="G32" s="12">
        <f>IFERROR(AVERAGEIFS(Estação!$G$2:$G$50000,Estação!$A$2:$A$50000,$B32,Estação!$G$2:$G$50000,"&gt;-50"),"")</f>
        <v/>
      </c>
      <c r="H32" s="12">
        <f>IFERROR(AVERAGEIFS(Estação!$Z$2:$Z$50000,Estação!$A$2:$A$50000,$B32,Estação!$Z$2:$Z$50000,"&gt;-50"),"")</f>
        <v/>
      </c>
      <c r="I32" s="12">
        <f>IFERROR(AVERAGEIFS(Estação!$E$2:$E$50000,Estação!$A$2:$A$50000,$B32,Estação!$E$2:$E$50000,"&gt;-50"),"")</f>
        <v/>
      </c>
      <c r="J32" s="12">
        <f>IFERROR(AVERAGEIFS(Estação!$H$2:$H$50000,Estação!$A$2:$A$50000,$B32,Estação!$H$2:$H$50000,"&gt;-50"),"")</f>
        <v/>
      </c>
      <c r="K32" s="12">
        <f>IFERROR(AVERAGEIFS(Estação!$L$2:$L$50000,Estação!$A$2:$A$50000,$B32,Estação!$L$2:$L$50000,"&gt;-50"),"")</f>
        <v/>
      </c>
      <c r="L32" s="12">
        <f>IFERROR(AVERAGEIFS(Estação!$B$2:$B$50000,Estação!$A$2:$A$50000,$B32,Estação!$B$2:$B$50000,"&gt;-50"),"")</f>
        <v/>
      </c>
      <c r="M32" s="12">
        <f>IFERROR(AVERAGEIFS(Estação!$M$2:$M$50000,Estação!$A$2:$A$50000,$B32,Estação!$M$2:$M$50000,"&gt;-50"),"")</f>
        <v/>
      </c>
      <c r="N32" s="12">
        <f>IF($B32="§","",SUMIFS(Estação!$O$2:$O$50000,Estação!$A$2:$A$50000,$B32))</f>
        <v/>
      </c>
      <c r="O32" s="12">
        <f>IF($B32="§","",SUMIFS(Estação!$P$2:$P$50000,Estação!$A$2:$A$50000,$B32))</f>
        <v/>
      </c>
      <c r="P32" s="12">
        <f>IF($B32="§","",SUMIFS(Estação!$Q$2:$Q$50000,Estação!$A$2:$A$50000,$B32))</f>
        <v/>
      </c>
      <c r="Q32" s="12">
        <f>IFERROR(AVERAGEIFS(Estação!$AA$2:$AA$50000,Estação!$A$2:$A$50000,$B32,Estação!$AA$2:$AA$50000,"&gt;-50"),"")</f>
        <v/>
      </c>
      <c r="R32" s="12">
        <f>IFERROR(AVERAGEIFS(Estação!$AB$2:$AB$50000,Estação!$A$2:$A$50000,$B32,Estação!$AB$2:$AB$50000,"&gt;-50"),"")</f>
        <v/>
      </c>
      <c r="S32" s="12">
        <f>IFERROR(AVERAGEIFS(Estação!$Y$2:$Y$50000,Estação!$A$2:$A$50000,$B32,Estação!$Y$2:$Y$50000,"&gt;-50"),"")</f>
        <v/>
      </c>
      <c r="T32" s="12">
        <f>IFERROR(AVERAGEIFS(Estação!$C$2:$C$50000,Estação!$A$2:$A$50000,$B32,Estação!$C$2:$C$50000,"&gt;-50"),"")</f>
        <v/>
      </c>
    </row>
    <row r="33">
      <c r="A33" s="12">
        <f>RIGHT("0"&amp;DAY($C33),2)&amp;"/"&amp;RIGHT("0"&amp;MONTH($C33),2)</f>
        <v/>
      </c>
      <c r="B33" s="12">
        <f>YEAR($C33)&amp;"-"&amp;RIGHT("0"&amp;MONTH($C33),2)&amp;"-"&amp;RIGHT("0"&amp;DAY($C33),2)&amp;"*"</f>
        <v/>
      </c>
      <c r="C33" s="13">
        <f>$B$1-5</f>
        <v/>
      </c>
      <c r="D33" s="12">
        <f>IFERROR(AVERAGEIFS(Estação!$S$2:$S$50000,Estação!$A$2:$A$50000,$B33,Estação!$S$2:$S$50000,"&gt;-50"),"")</f>
        <v/>
      </c>
      <c r="E33" s="12">
        <f>IFERROR(AVERAGEIFS(Estação!$T$2:$T$50000,Estação!$A$2:$A$50000,$B33,Estação!$T$2:$T$50000,"&gt;-50"),"")</f>
        <v/>
      </c>
      <c r="F33" s="12">
        <f>IFERROR(AVERAGEIFS(Estação!$F$2:$F$50000,Estação!$A$2:$A$50000,$B33,Estação!$F$2:$F$50000,"&gt;-50"),"")</f>
        <v/>
      </c>
      <c r="G33" s="12">
        <f>IFERROR(AVERAGEIFS(Estação!$G$2:$G$50000,Estação!$A$2:$A$50000,$B33,Estação!$G$2:$G$50000,"&gt;-50"),"")</f>
        <v/>
      </c>
      <c r="H33" s="12">
        <f>IFERROR(AVERAGEIFS(Estação!$Z$2:$Z$50000,Estação!$A$2:$A$50000,$B33,Estação!$Z$2:$Z$50000,"&gt;-50"),"")</f>
        <v/>
      </c>
      <c r="I33" s="12">
        <f>IFERROR(AVERAGEIFS(Estação!$E$2:$E$50000,Estação!$A$2:$A$50000,$B33,Estação!$E$2:$E$50000,"&gt;-50"),"")</f>
        <v/>
      </c>
      <c r="J33" s="12">
        <f>IFERROR(AVERAGEIFS(Estação!$H$2:$H$50000,Estação!$A$2:$A$50000,$B33,Estação!$H$2:$H$50000,"&gt;-50"),"")</f>
        <v/>
      </c>
      <c r="K33" s="12">
        <f>IFERROR(AVERAGEIFS(Estação!$L$2:$L$50000,Estação!$A$2:$A$50000,$B33,Estação!$L$2:$L$50000,"&gt;-50"),"")</f>
        <v/>
      </c>
      <c r="L33" s="12">
        <f>IFERROR(AVERAGEIFS(Estação!$B$2:$B$50000,Estação!$A$2:$A$50000,$B33,Estação!$B$2:$B$50000,"&gt;-50"),"")</f>
        <v/>
      </c>
      <c r="M33" s="12">
        <f>IFERROR(AVERAGEIFS(Estação!$M$2:$M$50000,Estação!$A$2:$A$50000,$B33,Estação!$M$2:$M$50000,"&gt;-50"),"")</f>
        <v/>
      </c>
      <c r="N33" s="12">
        <f>IF($B33="§","",SUMIFS(Estação!$O$2:$O$50000,Estação!$A$2:$A$50000,$B33))</f>
        <v/>
      </c>
      <c r="O33" s="12">
        <f>IF($B33="§","",SUMIFS(Estação!$P$2:$P$50000,Estação!$A$2:$A$50000,$B33))</f>
        <v/>
      </c>
      <c r="P33" s="12">
        <f>IF($B33="§","",SUMIFS(Estação!$Q$2:$Q$50000,Estação!$A$2:$A$50000,$B33))</f>
        <v/>
      </c>
      <c r="Q33" s="12">
        <f>IFERROR(AVERAGEIFS(Estação!$AA$2:$AA$50000,Estação!$A$2:$A$50000,$B33,Estação!$AA$2:$AA$50000,"&gt;-50"),"")</f>
        <v/>
      </c>
      <c r="R33" s="12">
        <f>IFERROR(AVERAGEIFS(Estação!$AB$2:$AB$50000,Estação!$A$2:$A$50000,$B33,Estação!$AB$2:$AB$50000,"&gt;-50"),"")</f>
        <v/>
      </c>
      <c r="S33" s="12">
        <f>IFERROR(AVERAGEIFS(Estação!$Y$2:$Y$50000,Estação!$A$2:$A$50000,$B33,Estação!$Y$2:$Y$50000,"&gt;-50"),"")</f>
        <v/>
      </c>
      <c r="T33" s="12">
        <f>IFERROR(AVERAGEIFS(Estação!$C$2:$C$50000,Estação!$A$2:$A$50000,$B33,Estação!$C$2:$C$50000,"&gt;-50"),"")</f>
        <v/>
      </c>
    </row>
    <row r="34">
      <c r="A34" s="12">
        <f>RIGHT("0"&amp;DAY($C34),2)&amp;"/"&amp;RIGHT("0"&amp;MONTH($C34),2)</f>
        <v/>
      </c>
      <c r="B34" s="12">
        <f>YEAR($C34)&amp;"-"&amp;RIGHT("0"&amp;MONTH($C34),2)&amp;"-"&amp;RIGHT("0"&amp;DAY($C34),2)&amp;"*"</f>
        <v/>
      </c>
      <c r="C34" s="13">
        <f>$B$1-4</f>
        <v/>
      </c>
      <c r="D34" s="12">
        <f>IFERROR(AVERAGEIFS(Estação!$S$2:$S$50000,Estação!$A$2:$A$50000,$B34,Estação!$S$2:$S$50000,"&gt;-50"),"")</f>
        <v/>
      </c>
      <c r="E34" s="12">
        <f>IFERROR(AVERAGEIFS(Estação!$T$2:$T$50000,Estação!$A$2:$A$50000,$B34,Estação!$T$2:$T$50000,"&gt;-50"),"")</f>
        <v/>
      </c>
      <c r="F34" s="12">
        <f>IFERROR(AVERAGEIFS(Estação!$F$2:$F$50000,Estação!$A$2:$A$50000,$B34,Estação!$F$2:$F$50000,"&gt;-50"),"")</f>
        <v/>
      </c>
      <c r="G34" s="12">
        <f>IFERROR(AVERAGEIFS(Estação!$G$2:$G$50000,Estação!$A$2:$A$50000,$B34,Estação!$G$2:$G$50000,"&gt;-50"),"")</f>
        <v/>
      </c>
      <c r="H34" s="12">
        <f>IFERROR(AVERAGEIFS(Estação!$Z$2:$Z$50000,Estação!$A$2:$A$50000,$B34,Estação!$Z$2:$Z$50000,"&gt;-50"),"")</f>
        <v/>
      </c>
      <c r="I34" s="12">
        <f>IFERROR(AVERAGEIFS(Estação!$E$2:$E$50000,Estação!$A$2:$A$50000,$B34,Estação!$E$2:$E$50000,"&gt;-50"),"")</f>
        <v/>
      </c>
      <c r="J34" s="12">
        <f>IFERROR(AVERAGEIFS(Estação!$H$2:$H$50000,Estação!$A$2:$A$50000,$B34,Estação!$H$2:$H$50000,"&gt;-50"),"")</f>
        <v/>
      </c>
      <c r="K34" s="12">
        <f>IFERROR(AVERAGEIFS(Estação!$L$2:$L$50000,Estação!$A$2:$A$50000,$B34,Estação!$L$2:$L$50000,"&gt;-50"),"")</f>
        <v/>
      </c>
      <c r="L34" s="12">
        <f>IFERROR(AVERAGEIFS(Estação!$B$2:$B$50000,Estação!$A$2:$A$50000,$B34,Estação!$B$2:$B$50000,"&gt;-50"),"")</f>
        <v/>
      </c>
      <c r="M34" s="12">
        <f>IFERROR(AVERAGEIFS(Estação!$M$2:$M$50000,Estação!$A$2:$A$50000,$B34,Estação!$M$2:$M$50000,"&gt;-50"),"")</f>
        <v/>
      </c>
      <c r="N34" s="12">
        <f>IF($B34="§","",SUMIFS(Estação!$O$2:$O$50000,Estação!$A$2:$A$50000,$B34))</f>
        <v/>
      </c>
      <c r="O34" s="12">
        <f>IF($B34="§","",SUMIFS(Estação!$P$2:$P$50000,Estação!$A$2:$A$50000,$B34))</f>
        <v/>
      </c>
      <c r="P34" s="12">
        <f>IF($B34="§","",SUMIFS(Estação!$Q$2:$Q$50000,Estação!$A$2:$A$50000,$B34))</f>
        <v/>
      </c>
      <c r="Q34" s="12">
        <f>IFERROR(AVERAGEIFS(Estação!$AA$2:$AA$50000,Estação!$A$2:$A$50000,$B34,Estação!$AA$2:$AA$50000,"&gt;-50"),"")</f>
        <v/>
      </c>
      <c r="R34" s="12">
        <f>IFERROR(AVERAGEIFS(Estação!$AB$2:$AB$50000,Estação!$A$2:$A$50000,$B34,Estação!$AB$2:$AB$50000,"&gt;-50"),"")</f>
        <v/>
      </c>
      <c r="S34" s="12">
        <f>IFERROR(AVERAGEIFS(Estação!$Y$2:$Y$50000,Estação!$A$2:$A$50000,$B34,Estação!$Y$2:$Y$50000,"&gt;-50"),"")</f>
        <v/>
      </c>
      <c r="T34" s="12">
        <f>IFERROR(AVERAGEIFS(Estação!$C$2:$C$50000,Estação!$A$2:$A$50000,$B34,Estação!$C$2:$C$50000,"&gt;-50"),"")</f>
        <v/>
      </c>
    </row>
    <row r="35">
      <c r="A35" s="12">
        <f>RIGHT("0"&amp;DAY($C35),2)&amp;"/"&amp;RIGHT("0"&amp;MONTH($C35),2)</f>
        <v/>
      </c>
      <c r="B35" s="12">
        <f>YEAR($C35)&amp;"-"&amp;RIGHT("0"&amp;MONTH($C35),2)&amp;"-"&amp;RIGHT("0"&amp;DAY($C35),2)&amp;"*"</f>
        <v/>
      </c>
      <c r="C35" s="13">
        <f>$B$1-3</f>
        <v/>
      </c>
      <c r="D35" s="12">
        <f>IFERROR(AVERAGEIFS(Estação!$S$2:$S$50000,Estação!$A$2:$A$50000,$B35,Estação!$S$2:$S$50000,"&gt;-50"),"")</f>
        <v/>
      </c>
      <c r="E35" s="12">
        <f>IFERROR(AVERAGEIFS(Estação!$T$2:$T$50000,Estação!$A$2:$A$50000,$B35,Estação!$T$2:$T$50000,"&gt;-50"),"")</f>
        <v/>
      </c>
      <c r="F35" s="12">
        <f>IFERROR(AVERAGEIFS(Estação!$F$2:$F$50000,Estação!$A$2:$A$50000,$B35,Estação!$F$2:$F$50000,"&gt;-50"),"")</f>
        <v/>
      </c>
      <c r="G35" s="12">
        <f>IFERROR(AVERAGEIFS(Estação!$G$2:$G$50000,Estação!$A$2:$A$50000,$B35,Estação!$G$2:$G$50000,"&gt;-50"),"")</f>
        <v/>
      </c>
      <c r="H35" s="12">
        <f>IFERROR(AVERAGEIFS(Estação!$Z$2:$Z$50000,Estação!$A$2:$A$50000,$B35,Estação!$Z$2:$Z$50000,"&gt;-50"),"")</f>
        <v/>
      </c>
      <c r="I35" s="12">
        <f>IFERROR(AVERAGEIFS(Estação!$E$2:$E$50000,Estação!$A$2:$A$50000,$B35,Estação!$E$2:$E$50000,"&gt;-50"),"")</f>
        <v/>
      </c>
      <c r="J35" s="12">
        <f>IFERROR(AVERAGEIFS(Estação!$H$2:$H$50000,Estação!$A$2:$A$50000,$B35,Estação!$H$2:$H$50000,"&gt;-50"),"")</f>
        <v/>
      </c>
      <c r="K35" s="12">
        <f>IFERROR(AVERAGEIFS(Estação!$L$2:$L$50000,Estação!$A$2:$A$50000,$B35,Estação!$L$2:$L$50000,"&gt;-50"),"")</f>
        <v/>
      </c>
      <c r="L35" s="12">
        <f>IFERROR(AVERAGEIFS(Estação!$B$2:$B$50000,Estação!$A$2:$A$50000,$B35,Estação!$B$2:$B$50000,"&gt;-50"),"")</f>
        <v/>
      </c>
      <c r="M35" s="12">
        <f>IFERROR(AVERAGEIFS(Estação!$M$2:$M$50000,Estação!$A$2:$A$50000,$B35,Estação!$M$2:$M$50000,"&gt;-50"),"")</f>
        <v/>
      </c>
      <c r="N35" s="12">
        <f>IF($B35="§","",SUMIFS(Estação!$O$2:$O$50000,Estação!$A$2:$A$50000,$B35))</f>
        <v/>
      </c>
      <c r="O35" s="12">
        <f>IF($B35="§","",SUMIFS(Estação!$P$2:$P$50000,Estação!$A$2:$A$50000,$B35))</f>
        <v/>
      </c>
      <c r="P35" s="12">
        <f>IF($B35="§","",SUMIFS(Estação!$Q$2:$Q$50000,Estação!$A$2:$A$50000,$B35))</f>
        <v/>
      </c>
      <c r="Q35" s="12">
        <f>IFERROR(AVERAGEIFS(Estação!$AA$2:$AA$50000,Estação!$A$2:$A$50000,$B35,Estação!$AA$2:$AA$50000,"&gt;-50"),"")</f>
        <v/>
      </c>
      <c r="R35" s="12">
        <f>IFERROR(AVERAGEIFS(Estação!$AB$2:$AB$50000,Estação!$A$2:$A$50000,$B35,Estação!$AB$2:$AB$50000,"&gt;-50"),"")</f>
        <v/>
      </c>
      <c r="S35" s="12">
        <f>IFERROR(AVERAGEIFS(Estação!$Y$2:$Y$50000,Estação!$A$2:$A$50000,$B35,Estação!$Y$2:$Y$50000,"&gt;-50"),"")</f>
        <v/>
      </c>
      <c r="T35" s="12">
        <f>IFERROR(AVERAGEIFS(Estação!$C$2:$C$50000,Estação!$A$2:$A$50000,$B35,Estação!$C$2:$C$50000,"&gt;-50"),"")</f>
        <v/>
      </c>
    </row>
    <row r="36">
      <c r="A36" s="12">
        <f>RIGHT("0"&amp;DAY($C36),2)&amp;"/"&amp;RIGHT("0"&amp;MONTH($C36),2)</f>
        <v/>
      </c>
      <c r="B36" s="12">
        <f>YEAR($C36)&amp;"-"&amp;RIGHT("0"&amp;MONTH($C36),2)&amp;"-"&amp;RIGHT("0"&amp;DAY($C36),2)&amp;"*"</f>
        <v/>
      </c>
      <c r="C36" s="13">
        <f>$B$1-2</f>
        <v/>
      </c>
      <c r="D36" s="12">
        <f>IFERROR(AVERAGEIFS(Estação!$S$2:$S$50000,Estação!$A$2:$A$50000,$B36,Estação!$S$2:$S$50000,"&gt;-50"),"")</f>
        <v/>
      </c>
      <c r="E36" s="12">
        <f>IFERROR(AVERAGEIFS(Estação!$T$2:$T$50000,Estação!$A$2:$A$50000,$B36,Estação!$T$2:$T$50000,"&gt;-50"),"")</f>
        <v/>
      </c>
      <c r="F36" s="12">
        <f>IFERROR(AVERAGEIFS(Estação!$F$2:$F$50000,Estação!$A$2:$A$50000,$B36,Estação!$F$2:$F$50000,"&gt;-50"),"")</f>
        <v/>
      </c>
      <c r="G36" s="12">
        <f>IFERROR(AVERAGEIFS(Estação!$G$2:$G$50000,Estação!$A$2:$A$50000,$B36,Estação!$G$2:$G$50000,"&gt;-50"),"")</f>
        <v/>
      </c>
      <c r="H36" s="12">
        <f>IFERROR(AVERAGEIFS(Estação!$Z$2:$Z$50000,Estação!$A$2:$A$50000,$B36,Estação!$Z$2:$Z$50000,"&gt;-50"),"")</f>
        <v/>
      </c>
      <c r="I36" s="12">
        <f>IFERROR(AVERAGEIFS(Estação!$E$2:$E$50000,Estação!$A$2:$A$50000,$B36,Estação!$E$2:$E$50000,"&gt;-50"),"")</f>
        <v/>
      </c>
      <c r="J36" s="12">
        <f>IFERROR(AVERAGEIFS(Estação!$H$2:$H$50000,Estação!$A$2:$A$50000,$B36,Estação!$H$2:$H$50000,"&gt;-50"),"")</f>
        <v/>
      </c>
      <c r="K36" s="12">
        <f>IFERROR(AVERAGEIFS(Estação!$L$2:$L$50000,Estação!$A$2:$A$50000,$B36,Estação!$L$2:$L$50000,"&gt;-50"),"")</f>
        <v/>
      </c>
      <c r="L36" s="12">
        <f>IFERROR(AVERAGEIFS(Estação!$B$2:$B$50000,Estação!$A$2:$A$50000,$B36,Estação!$B$2:$B$50000,"&gt;-50"),"")</f>
        <v/>
      </c>
      <c r="M36" s="12">
        <f>IFERROR(AVERAGEIFS(Estação!$M$2:$M$50000,Estação!$A$2:$A$50000,$B36,Estação!$M$2:$M$50000,"&gt;-50"),"")</f>
        <v/>
      </c>
      <c r="N36" s="12">
        <f>IF($B36="§","",SUMIFS(Estação!$O$2:$O$50000,Estação!$A$2:$A$50000,$B36))</f>
        <v/>
      </c>
      <c r="O36" s="12">
        <f>IF($B36="§","",SUMIFS(Estação!$P$2:$P$50000,Estação!$A$2:$A$50000,$B36))</f>
        <v/>
      </c>
      <c r="P36" s="12">
        <f>IF($B36="§","",SUMIFS(Estação!$Q$2:$Q$50000,Estação!$A$2:$A$50000,$B36))</f>
        <v/>
      </c>
      <c r="Q36" s="12">
        <f>IFERROR(AVERAGEIFS(Estação!$AA$2:$AA$50000,Estação!$A$2:$A$50000,$B36,Estação!$AA$2:$AA$50000,"&gt;-50"),"")</f>
        <v/>
      </c>
      <c r="R36" s="12">
        <f>IFERROR(AVERAGEIFS(Estação!$AB$2:$AB$50000,Estação!$A$2:$A$50000,$B36,Estação!$AB$2:$AB$50000,"&gt;-50"),"")</f>
        <v/>
      </c>
      <c r="S36" s="12">
        <f>IFERROR(AVERAGEIFS(Estação!$Y$2:$Y$50000,Estação!$A$2:$A$50000,$B36,Estação!$Y$2:$Y$50000,"&gt;-50"),"")</f>
        <v/>
      </c>
      <c r="T36" s="12">
        <f>IFERROR(AVERAGEIFS(Estação!$C$2:$C$50000,Estação!$A$2:$A$50000,$B36,Estação!$C$2:$C$50000,"&gt;-50"),"")</f>
        <v/>
      </c>
    </row>
    <row r="37">
      <c r="A37" s="12">
        <f>RIGHT("0"&amp;DAY($C37),2)&amp;"/"&amp;RIGHT("0"&amp;MONTH($C37),2)</f>
        <v/>
      </c>
      <c r="B37" s="12">
        <f>YEAR($C37)&amp;"-"&amp;RIGHT("0"&amp;MONTH($C37),2)&amp;"-"&amp;RIGHT("0"&amp;DAY($C37),2)&amp;"*"</f>
        <v/>
      </c>
      <c r="C37" s="13">
        <f>$B$1-1</f>
        <v/>
      </c>
      <c r="D37" s="12">
        <f>IFERROR(AVERAGEIFS(Estação!$S$2:$S$50000,Estação!$A$2:$A$50000,$B37,Estação!$S$2:$S$50000,"&gt;-50"),"")</f>
        <v/>
      </c>
      <c r="E37" s="12">
        <f>IFERROR(AVERAGEIFS(Estação!$T$2:$T$50000,Estação!$A$2:$A$50000,$B37,Estação!$T$2:$T$50000,"&gt;-50"),"")</f>
        <v/>
      </c>
      <c r="F37" s="12">
        <f>IFERROR(AVERAGEIFS(Estação!$F$2:$F$50000,Estação!$A$2:$A$50000,$B37,Estação!$F$2:$F$50000,"&gt;-50"),"")</f>
        <v/>
      </c>
      <c r="G37" s="12">
        <f>IFERROR(AVERAGEIFS(Estação!$G$2:$G$50000,Estação!$A$2:$A$50000,$B37,Estação!$G$2:$G$50000,"&gt;-50"),"")</f>
        <v/>
      </c>
      <c r="H37" s="12">
        <f>IFERROR(AVERAGEIFS(Estação!$Z$2:$Z$50000,Estação!$A$2:$A$50000,$B37,Estação!$Z$2:$Z$50000,"&gt;-50"),"")</f>
        <v/>
      </c>
      <c r="I37" s="12">
        <f>IFERROR(AVERAGEIFS(Estação!$E$2:$E$50000,Estação!$A$2:$A$50000,$B37,Estação!$E$2:$E$50000,"&gt;-50"),"")</f>
        <v/>
      </c>
      <c r="J37" s="12">
        <f>IFERROR(AVERAGEIFS(Estação!$H$2:$H$50000,Estação!$A$2:$A$50000,$B37,Estação!$H$2:$H$50000,"&gt;-50"),"")</f>
        <v/>
      </c>
      <c r="K37" s="12">
        <f>IFERROR(AVERAGEIFS(Estação!$L$2:$L$50000,Estação!$A$2:$A$50000,$B37,Estação!$L$2:$L$50000,"&gt;-50"),"")</f>
        <v/>
      </c>
      <c r="L37" s="12">
        <f>IFERROR(AVERAGEIFS(Estação!$B$2:$B$50000,Estação!$A$2:$A$50000,$B37,Estação!$B$2:$B$50000,"&gt;-50"),"")</f>
        <v/>
      </c>
      <c r="M37" s="12">
        <f>IFERROR(AVERAGEIFS(Estação!$M$2:$M$50000,Estação!$A$2:$A$50000,$B37,Estação!$M$2:$M$50000,"&gt;-50"),"")</f>
        <v/>
      </c>
      <c r="N37" s="12">
        <f>IF($B37="§","",SUMIFS(Estação!$O$2:$O$50000,Estação!$A$2:$A$50000,$B37))</f>
        <v/>
      </c>
      <c r="O37" s="12">
        <f>IF($B37="§","",SUMIFS(Estação!$P$2:$P$50000,Estação!$A$2:$A$50000,$B37))</f>
        <v/>
      </c>
      <c r="P37" s="12">
        <f>IF($B37="§","",SUMIFS(Estação!$Q$2:$Q$50000,Estação!$A$2:$A$50000,$B37))</f>
        <v/>
      </c>
      <c r="Q37" s="12">
        <f>IFERROR(AVERAGEIFS(Estação!$AA$2:$AA$50000,Estação!$A$2:$A$50000,$B37,Estação!$AA$2:$AA$50000,"&gt;-50"),"")</f>
        <v/>
      </c>
      <c r="R37" s="12">
        <f>IFERROR(AVERAGEIFS(Estação!$AB$2:$AB$50000,Estação!$A$2:$A$50000,$B37,Estação!$AB$2:$AB$50000,"&gt;-50"),"")</f>
        <v/>
      </c>
      <c r="S37" s="12">
        <f>IFERROR(AVERAGEIFS(Estação!$Y$2:$Y$50000,Estação!$A$2:$A$50000,$B37,Estação!$Y$2:$Y$50000,"&gt;-50"),"")</f>
        <v/>
      </c>
      <c r="T37" s="12">
        <f>IFERROR(AVERAGEIFS(Estação!$C$2:$C$50000,Estação!$A$2:$A$50000,$B37,Estação!$C$2:$C$50000,"&gt;-50"),"")</f>
        <v/>
      </c>
    </row>
    <row r="38">
      <c r="A38" s="12">
        <f>RIGHT("0"&amp;DAY($C38),2)&amp;"/"&amp;RIGHT("0"&amp;MONTH($C38),2)</f>
        <v/>
      </c>
      <c r="B38" s="12">
        <f>YEAR($C38)&amp;"-"&amp;RIGHT("0"&amp;MONTH($C38),2)&amp;"-"&amp;RIGHT("0"&amp;DAY($C38),2)&amp;"*"</f>
        <v/>
      </c>
      <c r="C38" s="13">
        <f>$B$1-0</f>
        <v/>
      </c>
      <c r="D38" s="12">
        <f>IFERROR(AVERAGEIFS(Estação!$S$2:$S$50000,Estação!$A$2:$A$50000,$B38,Estação!$S$2:$S$50000,"&gt;-50"),"")</f>
        <v/>
      </c>
      <c r="E38" s="12">
        <f>IFERROR(AVERAGEIFS(Estação!$T$2:$T$50000,Estação!$A$2:$A$50000,$B38,Estação!$T$2:$T$50000,"&gt;-50"),"")</f>
        <v/>
      </c>
      <c r="F38" s="12">
        <f>IFERROR(AVERAGEIFS(Estação!$F$2:$F$50000,Estação!$A$2:$A$50000,$B38,Estação!$F$2:$F$50000,"&gt;-50"),"")</f>
        <v/>
      </c>
      <c r="G38" s="12">
        <f>IFERROR(AVERAGEIFS(Estação!$G$2:$G$50000,Estação!$A$2:$A$50000,$B38,Estação!$G$2:$G$50000,"&gt;-50"),"")</f>
        <v/>
      </c>
      <c r="H38" s="12">
        <f>IFERROR(AVERAGEIFS(Estação!$Z$2:$Z$50000,Estação!$A$2:$A$50000,$B38,Estação!$Z$2:$Z$50000,"&gt;-50"),"")</f>
        <v/>
      </c>
      <c r="I38" s="12">
        <f>IFERROR(AVERAGEIFS(Estação!$E$2:$E$50000,Estação!$A$2:$A$50000,$B38,Estação!$E$2:$E$50000,"&gt;-50"),"")</f>
        <v/>
      </c>
      <c r="J38" s="12">
        <f>IFERROR(AVERAGEIFS(Estação!$H$2:$H$50000,Estação!$A$2:$A$50000,$B38,Estação!$H$2:$H$50000,"&gt;-50"),"")</f>
        <v/>
      </c>
      <c r="K38" s="12">
        <f>IFERROR(AVERAGEIFS(Estação!$L$2:$L$50000,Estação!$A$2:$A$50000,$B38,Estação!$L$2:$L$50000,"&gt;-50"),"")</f>
        <v/>
      </c>
      <c r="L38" s="12">
        <f>IFERROR(AVERAGEIFS(Estação!$B$2:$B$50000,Estação!$A$2:$A$50000,$B38,Estação!$B$2:$B$50000,"&gt;-50"),"")</f>
        <v/>
      </c>
      <c r="M38" s="12">
        <f>IFERROR(AVERAGEIFS(Estação!$M$2:$M$50000,Estação!$A$2:$A$50000,$B38,Estação!$M$2:$M$50000,"&gt;-50"),"")</f>
        <v/>
      </c>
      <c r="N38" s="12">
        <f>IF($B38="§","",SUMIFS(Estação!$O$2:$O$50000,Estação!$A$2:$A$50000,$B38))</f>
        <v/>
      </c>
      <c r="O38" s="12">
        <f>IF($B38="§","",SUMIFS(Estação!$P$2:$P$50000,Estação!$A$2:$A$50000,$B38))</f>
        <v/>
      </c>
      <c r="P38" s="12">
        <f>IF($B38="§","",SUMIFS(Estação!$Q$2:$Q$50000,Estação!$A$2:$A$50000,$B38))</f>
        <v/>
      </c>
      <c r="Q38" s="12">
        <f>IFERROR(AVERAGEIFS(Estação!$AA$2:$AA$50000,Estação!$A$2:$A$50000,$B38,Estação!$AA$2:$AA$50000,"&gt;-50"),"")</f>
        <v/>
      </c>
      <c r="R38" s="12">
        <f>IFERROR(AVERAGEIFS(Estação!$AB$2:$AB$50000,Estação!$A$2:$A$50000,$B38,Estação!$AB$2:$AB$50000,"&gt;-50"),"")</f>
        <v/>
      </c>
      <c r="S38" s="12">
        <f>IFERROR(AVERAGEIFS(Estação!$Y$2:$Y$50000,Estação!$A$2:$A$50000,$B38,Estação!$Y$2:$Y$50000,"&gt;-50"),"")</f>
        <v/>
      </c>
      <c r="T38" s="12">
        <f>IFERROR(AVERAGEIFS(Estação!$C$2:$C$50000,Estação!$A$2:$A$50000,$B38,Estação!$C$2:$C$50000,"&gt;-50"),"")</f>
        <v/>
      </c>
    </row>
    <row r="41">
      <c r="A41" s="12" t="inlineStr">
        <is>
          <t>rótulo</t>
        </is>
      </c>
      <c r="B41" s="12" t="inlineStr">
        <is>
          <t>critério</t>
        </is>
      </c>
      <c r="C41" s="12" t="inlineStr">
        <is>
          <t>data</t>
        </is>
      </c>
      <c r="D41" s="12" t="inlineStr">
        <is>
          <t>temp_current</t>
        </is>
      </c>
      <c r="E41" s="12" t="inlineStr">
        <is>
          <t>temp_current_external</t>
        </is>
      </c>
      <c r="F41" s="12" t="inlineStr">
        <is>
          <t>feellike_temp</t>
        </is>
      </c>
      <c r="G41" s="12" t="inlineStr">
        <is>
          <t>heat_index</t>
        </is>
      </c>
      <c r="H41" s="12" t="inlineStr">
        <is>
          <t>windchill_index</t>
        </is>
      </c>
      <c r="I41" s="12" t="inlineStr">
        <is>
          <t>dew_point_temp</t>
        </is>
      </c>
      <c r="J41" s="12" t="inlineStr">
        <is>
          <t>humidity_outdoor</t>
        </is>
      </c>
      <c r="K41" s="12" t="inlineStr">
        <is>
          <t>humidity_value</t>
        </is>
      </c>
      <c r="L41" s="12" t="inlineStr">
        <is>
          <t>atmospheric_pressture</t>
        </is>
      </c>
      <c r="M41" s="12" t="inlineStr">
        <is>
          <t>pressure_drop</t>
        </is>
      </c>
      <c r="N41" s="12" t="inlineStr">
        <is>
          <t>rain_1h</t>
        </is>
      </c>
      <c r="O41" s="12" t="inlineStr">
        <is>
          <t>rain_24h</t>
        </is>
      </c>
      <c r="P41" s="12" t="inlineStr">
        <is>
          <t>rain_rate</t>
        </is>
      </c>
      <c r="Q41" s="12" t="inlineStr">
        <is>
          <t>windspeed_avg</t>
        </is>
      </c>
      <c r="R41" s="12" t="inlineStr">
        <is>
          <t>windspeed_gust</t>
        </is>
      </c>
      <c r="S41" s="12" t="inlineStr">
        <is>
          <t>uv_index</t>
        </is>
      </c>
      <c r="T41" s="12" t="inlineStr">
        <is>
          <t>battery_percentage</t>
        </is>
      </c>
    </row>
    <row r="42">
      <c r="A42" s="12">
        <f>IF($C42="","",RIGHT("0"&amp;1,2)&amp;"/"&amp;RIGHT("0"&amp;MONTH($B$1),2))</f>
        <v/>
      </c>
      <c r="B42" s="12">
        <f>IF($C42="","§",YEAR($C42)&amp;"-"&amp;RIGHT("0"&amp;MONTH($C42),2)&amp;"-"&amp;RIGHT("0"&amp;DAY($C42),2)&amp;"*")</f>
        <v/>
      </c>
      <c r="C42" s="13">
        <f>IF(1&lt;=DAY(EOMONTH($B$1,0)),DATE(YEAR($B$1),MONTH($B$1),1),"")</f>
        <v/>
      </c>
      <c r="D42" s="12">
        <f>IF($B42="§","",IFERROR(AVERAGEIFS(Estação!$S$2:$S$50000,Estação!$A$2:$A$50000,$B42,Estação!$S$2:$S$50000,"&gt;-50"),""))</f>
        <v/>
      </c>
      <c r="E42" s="12">
        <f>IF($B42="§","",IFERROR(AVERAGEIFS(Estação!$T$2:$T$50000,Estação!$A$2:$A$50000,$B42,Estação!$T$2:$T$50000,"&gt;-50"),""))</f>
        <v/>
      </c>
      <c r="F42" s="12">
        <f>IF($B42="§","",IFERROR(AVERAGEIFS(Estação!$F$2:$F$50000,Estação!$A$2:$A$50000,$B42,Estação!$F$2:$F$50000,"&gt;-50"),""))</f>
        <v/>
      </c>
      <c r="G42" s="12">
        <f>IF($B42="§","",IFERROR(AVERAGEIFS(Estação!$G$2:$G$50000,Estação!$A$2:$A$50000,$B42,Estação!$G$2:$G$50000,"&gt;-50"),""))</f>
        <v/>
      </c>
      <c r="H42" s="12">
        <f>IF($B42="§","",IFERROR(AVERAGEIFS(Estação!$Z$2:$Z$50000,Estação!$A$2:$A$50000,$B42,Estação!$Z$2:$Z$50000,"&gt;-50"),""))</f>
        <v/>
      </c>
      <c r="I42" s="12">
        <f>IF($B42="§","",IFERROR(AVERAGEIFS(Estação!$E$2:$E$50000,Estação!$A$2:$A$50000,$B42,Estação!$E$2:$E$50000,"&gt;-50"),""))</f>
        <v/>
      </c>
      <c r="J42" s="12">
        <f>IF($B42="§","",IFERROR(AVERAGEIFS(Estação!$H$2:$H$50000,Estação!$A$2:$A$50000,$B42,Estação!$H$2:$H$50000,"&gt;-50"),""))</f>
        <v/>
      </c>
      <c r="K42" s="12">
        <f>IF($B42="§","",IFERROR(AVERAGEIFS(Estação!$L$2:$L$50000,Estação!$A$2:$A$50000,$B42,Estação!$L$2:$L$50000,"&gt;-50"),""))</f>
        <v/>
      </c>
      <c r="L42" s="12">
        <f>IF($B42="§","",IFERROR(AVERAGEIFS(Estação!$B$2:$B$50000,Estação!$A$2:$A$50000,$B42,Estação!$B$2:$B$50000,"&gt;-50"),""))</f>
        <v/>
      </c>
      <c r="M42" s="12">
        <f>IF($B42="§","",IFERROR(AVERAGEIFS(Estação!$M$2:$M$50000,Estação!$A$2:$A$50000,$B42,Estação!$M$2:$M$50000,"&gt;-50"),""))</f>
        <v/>
      </c>
      <c r="N42" s="12">
        <f>IF($B42="§","",SUMIFS(Estação!$O$2:$O$50000,Estação!$A$2:$A$50000,$B42))</f>
        <v/>
      </c>
      <c r="O42" s="12">
        <f>IF($B42="§","",SUMIFS(Estação!$P$2:$P$50000,Estação!$A$2:$A$50000,$B42))</f>
        <v/>
      </c>
      <c r="P42" s="12">
        <f>IF($B42="§","",SUMIFS(Estação!$Q$2:$Q$50000,Estação!$A$2:$A$50000,$B42))</f>
        <v/>
      </c>
      <c r="Q42" s="12">
        <f>IF($B42="§","",IFERROR(AVERAGEIFS(Estação!$AA$2:$AA$50000,Estação!$A$2:$A$50000,$B42,Estação!$AA$2:$AA$50000,"&gt;-50"),""))</f>
        <v/>
      </c>
      <c r="R42" s="12">
        <f>IF($B42="§","",IFERROR(AVERAGEIFS(Estação!$AB$2:$AB$50000,Estação!$A$2:$A$50000,$B42,Estação!$AB$2:$AB$50000,"&gt;-50"),""))</f>
        <v/>
      </c>
      <c r="S42" s="12">
        <f>IF($B42="§","",IFERROR(AVERAGEIFS(Estação!$Y$2:$Y$50000,Estação!$A$2:$A$50000,$B42,Estação!$Y$2:$Y$50000,"&gt;-50"),""))</f>
        <v/>
      </c>
      <c r="T42" s="12">
        <f>IF($B42="§","",IFERROR(AVERAGEIFS(Estação!$C$2:$C$50000,Estação!$A$2:$A$50000,$B42,Estação!$C$2:$C$50000,"&gt;-50"),""))</f>
        <v/>
      </c>
    </row>
    <row r="43">
      <c r="A43" s="12">
        <f>IF($C43="","",RIGHT("0"&amp;2,2)&amp;"/"&amp;RIGHT("0"&amp;MONTH($B$1),2))</f>
        <v/>
      </c>
      <c r="B43" s="12">
        <f>IF($C43="","§",YEAR($C43)&amp;"-"&amp;RIGHT("0"&amp;MONTH($C43),2)&amp;"-"&amp;RIGHT("0"&amp;DAY($C43),2)&amp;"*")</f>
        <v/>
      </c>
      <c r="C43" s="13">
        <f>IF(2&lt;=DAY(EOMONTH($B$1,0)),DATE(YEAR($B$1),MONTH($B$1),2),"")</f>
        <v/>
      </c>
      <c r="D43" s="12">
        <f>IF($B43="§","",IFERROR(AVERAGEIFS(Estação!$S$2:$S$50000,Estação!$A$2:$A$50000,$B43,Estação!$S$2:$S$50000,"&gt;-50"),""))</f>
        <v/>
      </c>
      <c r="E43" s="12">
        <f>IF($B43="§","",IFERROR(AVERAGEIFS(Estação!$T$2:$T$50000,Estação!$A$2:$A$50000,$B43,Estação!$T$2:$T$50000,"&gt;-50"),""))</f>
        <v/>
      </c>
      <c r="F43" s="12">
        <f>IF($B43="§","",IFERROR(AVERAGEIFS(Estação!$F$2:$F$50000,Estação!$A$2:$A$50000,$B43,Estação!$F$2:$F$50000,"&gt;-50"),""))</f>
        <v/>
      </c>
      <c r="G43" s="12">
        <f>IF($B43="§","",IFERROR(AVERAGEIFS(Estação!$G$2:$G$50000,Estação!$A$2:$A$50000,$B43,Estação!$G$2:$G$50000,"&gt;-50"),""))</f>
        <v/>
      </c>
      <c r="H43" s="12">
        <f>IF($B43="§","",IFERROR(AVERAGEIFS(Estação!$Z$2:$Z$50000,Estação!$A$2:$A$50000,$B43,Estação!$Z$2:$Z$50000,"&gt;-50"),""))</f>
        <v/>
      </c>
      <c r="I43" s="12">
        <f>IF($B43="§","",IFERROR(AVERAGEIFS(Estação!$E$2:$E$50000,Estação!$A$2:$A$50000,$B43,Estação!$E$2:$E$50000,"&gt;-50"),""))</f>
        <v/>
      </c>
      <c r="J43" s="12">
        <f>IF($B43="§","",IFERROR(AVERAGEIFS(Estação!$H$2:$H$50000,Estação!$A$2:$A$50000,$B43,Estação!$H$2:$H$50000,"&gt;-50"),""))</f>
        <v/>
      </c>
      <c r="K43" s="12">
        <f>IF($B43="§","",IFERROR(AVERAGEIFS(Estação!$L$2:$L$50000,Estação!$A$2:$A$50000,$B43,Estação!$L$2:$L$50000,"&gt;-50"),""))</f>
        <v/>
      </c>
      <c r="L43" s="12">
        <f>IF($B43="§","",IFERROR(AVERAGEIFS(Estação!$B$2:$B$50000,Estação!$A$2:$A$50000,$B43,Estação!$B$2:$B$50000,"&gt;-50"),""))</f>
        <v/>
      </c>
      <c r="M43" s="12">
        <f>IF($B43="§","",IFERROR(AVERAGEIFS(Estação!$M$2:$M$50000,Estação!$A$2:$A$50000,$B43,Estação!$M$2:$M$50000,"&gt;-50"),""))</f>
        <v/>
      </c>
      <c r="N43" s="12">
        <f>IF($B43="§","",SUMIFS(Estação!$O$2:$O$50000,Estação!$A$2:$A$50000,$B43))</f>
        <v/>
      </c>
      <c r="O43" s="12">
        <f>IF($B43="§","",SUMIFS(Estação!$P$2:$P$50000,Estação!$A$2:$A$50000,$B43))</f>
        <v/>
      </c>
      <c r="P43" s="12">
        <f>IF($B43="§","",SUMIFS(Estação!$Q$2:$Q$50000,Estação!$A$2:$A$50000,$B43))</f>
        <v/>
      </c>
      <c r="Q43" s="12">
        <f>IF($B43="§","",IFERROR(AVERAGEIFS(Estação!$AA$2:$AA$50000,Estação!$A$2:$A$50000,$B43,Estação!$AA$2:$AA$50000,"&gt;-50"),""))</f>
        <v/>
      </c>
      <c r="R43" s="12">
        <f>IF($B43="§","",IFERROR(AVERAGEIFS(Estação!$AB$2:$AB$50000,Estação!$A$2:$A$50000,$B43,Estação!$AB$2:$AB$50000,"&gt;-50"),""))</f>
        <v/>
      </c>
      <c r="S43" s="12">
        <f>IF($B43="§","",IFERROR(AVERAGEIFS(Estação!$Y$2:$Y$50000,Estação!$A$2:$A$50000,$B43,Estação!$Y$2:$Y$50000,"&gt;-50"),""))</f>
        <v/>
      </c>
      <c r="T43" s="12">
        <f>IF($B43="§","",IFERROR(AVERAGEIFS(Estação!$C$2:$C$50000,Estação!$A$2:$A$50000,$B43,Estação!$C$2:$C$50000,"&gt;-50"),""))</f>
        <v/>
      </c>
    </row>
    <row r="44">
      <c r="A44" s="12">
        <f>IF($C44="","",RIGHT("0"&amp;3,2)&amp;"/"&amp;RIGHT("0"&amp;MONTH($B$1),2))</f>
        <v/>
      </c>
      <c r="B44" s="12">
        <f>IF($C44="","§",YEAR($C44)&amp;"-"&amp;RIGHT("0"&amp;MONTH($C44),2)&amp;"-"&amp;RIGHT("0"&amp;DAY($C44),2)&amp;"*")</f>
        <v/>
      </c>
      <c r="C44" s="13">
        <f>IF(3&lt;=DAY(EOMONTH($B$1,0)),DATE(YEAR($B$1),MONTH($B$1),3),"")</f>
        <v/>
      </c>
      <c r="D44" s="12">
        <f>IF($B44="§","",IFERROR(AVERAGEIFS(Estação!$S$2:$S$50000,Estação!$A$2:$A$50000,$B44,Estação!$S$2:$S$50000,"&gt;-50"),""))</f>
        <v/>
      </c>
      <c r="E44" s="12">
        <f>IF($B44="§","",IFERROR(AVERAGEIFS(Estação!$T$2:$T$50000,Estação!$A$2:$A$50000,$B44,Estação!$T$2:$T$50000,"&gt;-50"),""))</f>
        <v/>
      </c>
      <c r="F44" s="12">
        <f>IF($B44="§","",IFERROR(AVERAGEIFS(Estação!$F$2:$F$50000,Estação!$A$2:$A$50000,$B44,Estação!$F$2:$F$50000,"&gt;-50"),""))</f>
        <v/>
      </c>
      <c r="G44" s="12">
        <f>IF($B44="§","",IFERROR(AVERAGEIFS(Estação!$G$2:$G$50000,Estação!$A$2:$A$50000,$B44,Estação!$G$2:$G$50000,"&gt;-50"),""))</f>
        <v/>
      </c>
      <c r="H44" s="12">
        <f>IF($B44="§","",IFERROR(AVERAGEIFS(Estação!$Z$2:$Z$50000,Estação!$A$2:$A$50000,$B44,Estação!$Z$2:$Z$50000,"&gt;-50"),""))</f>
        <v/>
      </c>
      <c r="I44" s="12">
        <f>IF($B44="§","",IFERROR(AVERAGEIFS(Estação!$E$2:$E$50000,Estação!$A$2:$A$50000,$B44,Estação!$E$2:$E$50000,"&gt;-50"),""))</f>
        <v/>
      </c>
      <c r="J44" s="12">
        <f>IF($B44="§","",IFERROR(AVERAGEIFS(Estação!$H$2:$H$50000,Estação!$A$2:$A$50000,$B44,Estação!$H$2:$H$50000,"&gt;-50"),""))</f>
        <v/>
      </c>
      <c r="K44" s="12">
        <f>IF($B44="§","",IFERROR(AVERAGEIFS(Estação!$L$2:$L$50000,Estação!$A$2:$A$50000,$B44,Estação!$L$2:$L$50000,"&gt;-50"),""))</f>
        <v/>
      </c>
      <c r="L44" s="12">
        <f>IF($B44="§","",IFERROR(AVERAGEIFS(Estação!$B$2:$B$50000,Estação!$A$2:$A$50000,$B44,Estação!$B$2:$B$50000,"&gt;-50"),""))</f>
        <v/>
      </c>
      <c r="M44" s="12">
        <f>IF($B44="§","",IFERROR(AVERAGEIFS(Estação!$M$2:$M$50000,Estação!$A$2:$A$50000,$B44,Estação!$M$2:$M$50000,"&gt;-50"),""))</f>
        <v/>
      </c>
      <c r="N44" s="12">
        <f>IF($B44="§","",SUMIFS(Estação!$O$2:$O$50000,Estação!$A$2:$A$50000,$B44))</f>
        <v/>
      </c>
      <c r="O44" s="12">
        <f>IF($B44="§","",SUMIFS(Estação!$P$2:$P$50000,Estação!$A$2:$A$50000,$B44))</f>
        <v/>
      </c>
      <c r="P44" s="12">
        <f>IF($B44="§","",SUMIFS(Estação!$Q$2:$Q$50000,Estação!$A$2:$A$50000,$B44))</f>
        <v/>
      </c>
      <c r="Q44" s="12">
        <f>IF($B44="§","",IFERROR(AVERAGEIFS(Estação!$AA$2:$AA$50000,Estação!$A$2:$A$50000,$B44,Estação!$AA$2:$AA$50000,"&gt;-50"),""))</f>
        <v/>
      </c>
      <c r="R44" s="12">
        <f>IF($B44="§","",IFERROR(AVERAGEIFS(Estação!$AB$2:$AB$50000,Estação!$A$2:$A$50000,$B44,Estação!$AB$2:$AB$50000,"&gt;-50"),""))</f>
        <v/>
      </c>
      <c r="S44" s="12">
        <f>IF($B44="§","",IFERROR(AVERAGEIFS(Estação!$Y$2:$Y$50000,Estação!$A$2:$A$50000,$B44,Estação!$Y$2:$Y$50000,"&gt;-50"),""))</f>
        <v/>
      </c>
      <c r="T44" s="12">
        <f>IF($B44="§","",IFERROR(AVERAGEIFS(Estação!$C$2:$C$50000,Estação!$A$2:$A$50000,$B44,Estação!$C$2:$C$50000,"&gt;-50"),""))</f>
        <v/>
      </c>
    </row>
    <row r="45">
      <c r="A45" s="12">
        <f>IF($C45="","",RIGHT("0"&amp;4,2)&amp;"/"&amp;RIGHT("0"&amp;MONTH($B$1),2))</f>
        <v/>
      </c>
      <c r="B45" s="12">
        <f>IF($C45="","§",YEAR($C45)&amp;"-"&amp;RIGHT("0"&amp;MONTH($C45),2)&amp;"-"&amp;RIGHT("0"&amp;DAY($C45),2)&amp;"*")</f>
        <v/>
      </c>
      <c r="C45" s="13">
        <f>IF(4&lt;=DAY(EOMONTH($B$1,0)),DATE(YEAR($B$1),MONTH($B$1),4),"")</f>
        <v/>
      </c>
      <c r="D45" s="12">
        <f>IF($B45="§","",IFERROR(AVERAGEIFS(Estação!$S$2:$S$50000,Estação!$A$2:$A$50000,$B45,Estação!$S$2:$S$50000,"&gt;-50"),""))</f>
        <v/>
      </c>
      <c r="E45" s="12">
        <f>IF($B45="§","",IFERROR(AVERAGEIFS(Estação!$T$2:$T$50000,Estação!$A$2:$A$50000,$B45,Estação!$T$2:$T$50000,"&gt;-50"),""))</f>
        <v/>
      </c>
      <c r="F45" s="12">
        <f>IF($B45="§","",IFERROR(AVERAGEIFS(Estação!$F$2:$F$50000,Estação!$A$2:$A$50000,$B45,Estação!$F$2:$F$50000,"&gt;-50"),""))</f>
        <v/>
      </c>
      <c r="G45" s="12">
        <f>IF($B45="§","",IFERROR(AVERAGEIFS(Estação!$G$2:$G$50000,Estação!$A$2:$A$50000,$B45,Estação!$G$2:$G$50000,"&gt;-50"),""))</f>
        <v/>
      </c>
      <c r="H45" s="12">
        <f>IF($B45="§","",IFERROR(AVERAGEIFS(Estação!$Z$2:$Z$50000,Estação!$A$2:$A$50000,$B45,Estação!$Z$2:$Z$50000,"&gt;-50"),""))</f>
        <v/>
      </c>
      <c r="I45" s="12">
        <f>IF($B45="§","",IFERROR(AVERAGEIFS(Estação!$E$2:$E$50000,Estação!$A$2:$A$50000,$B45,Estação!$E$2:$E$50000,"&gt;-50"),""))</f>
        <v/>
      </c>
      <c r="J45" s="12">
        <f>IF($B45="§","",IFERROR(AVERAGEIFS(Estação!$H$2:$H$50000,Estação!$A$2:$A$50000,$B45,Estação!$H$2:$H$50000,"&gt;-50"),""))</f>
        <v/>
      </c>
      <c r="K45" s="12">
        <f>IF($B45="§","",IFERROR(AVERAGEIFS(Estação!$L$2:$L$50000,Estação!$A$2:$A$50000,$B45,Estação!$L$2:$L$50000,"&gt;-50"),""))</f>
        <v/>
      </c>
      <c r="L45" s="12">
        <f>IF($B45="§","",IFERROR(AVERAGEIFS(Estação!$B$2:$B$50000,Estação!$A$2:$A$50000,$B45,Estação!$B$2:$B$50000,"&gt;-50"),""))</f>
        <v/>
      </c>
      <c r="M45" s="12">
        <f>IF($B45="§","",IFERROR(AVERAGEIFS(Estação!$M$2:$M$50000,Estação!$A$2:$A$50000,$B45,Estação!$M$2:$M$50000,"&gt;-50"),""))</f>
        <v/>
      </c>
      <c r="N45" s="12">
        <f>IF($B45="§","",SUMIFS(Estação!$O$2:$O$50000,Estação!$A$2:$A$50000,$B45))</f>
        <v/>
      </c>
      <c r="O45" s="12">
        <f>IF($B45="§","",SUMIFS(Estação!$P$2:$P$50000,Estação!$A$2:$A$50000,$B45))</f>
        <v/>
      </c>
      <c r="P45" s="12">
        <f>IF($B45="§","",SUMIFS(Estação!$Q$2:$Q$50000,Estação!$A$2:$A$50000,$B45))</f>
        <v/>
      </c>
      <c r="Q45" s="12">
        <f>IF($B45="§","",IFERROR(AVERAGEIFS(Estação!$AA$2:$AA$50000,Estação!$A$2:$A$50000,$B45,Estação!$AA$2:$AA$50000,"&gt;-50"),""))</f>
        <v/>
      </c>
      <c r="R45" s="12">
        <f>IF($B45="§","",IFERROR(AVERAGEIFS(Estação!$AB$2:$AB$50000,Estação!$A$2:$A$50000,$B45,Estação!$AB$2:$AB$50000,"&gt;-50"),""))</f>
        <v/>
      </c>
      <c r="S45" s="12">
        <f>IF($B45="§","",IFERROR(AVERAGEIFS(Estação!$Y$2:$Y$50000,Estação!$A$2:$A$50000,$B45,Estação!$Y$2:$Y$50000,"&gt;-50"),""))</f>
        <v/>
      </c>
      <c r="T45" s="12">
        <f>IF($B45="§","",IFERROR(AVERAGEIFS(Estação!$C$2:$C$50000,Estação!$A$2:$A$50000,$B45,Estação!$C$2:$C$50000,"&gt;-50"),""))</f>
        <v/>
      </c>
    </row>
    <row r="46">
      <c r="A46" s="12">
        <f>IF($C46="","",RIGHT("0"&amp;5,2)&amp;"/"&amp;RIGHT("0"&amp;MONTH($B$1),2))</f>
        <v/>
      </c>
      <c r="B46" s="12">
        <f>IF($C46="","§",YEAR($C46)&amp;"-"&amp;RIGHT("0"&amp;MONTH($C46),2)&amp;"-"&amp;RIGHT("0"&amp;DAY($C46),2)&amp;"*")</f>
        <v/>
      </c>
      <c r="C46" s="13">
        <f>IF(5&lt;=DAY(EOMONTH($B$1,0)),DATE(YEAR($B$1),MONTH($B$1),5),"")</f>
        <v/>
      </c>
      <c r="D46" s="12">
        <f>IF($B46="§","",IFERROR(AVERAGEIFS(Estação!$S$2:$S$50000,Estação!$A$2:$A$50000,$B46,Estação!$S$2:$S$50000,"&gt;-50"),""))</f>
        <v/>
      </c>
      <c r="E46" s="12">
        <f>IF($B46="§","",IFERROR(AVERAGEIFS(Estação!$T$2:$T$50000,Estação!$A$2:$A$50000,$B46,Estação!$T$2:$T$50000,"&gt;-50"),""))</f>
        <v/>
      </c>
      <c r="F46" s="12">
        <f>IF($B46="§","",IFERROR(AVERAGEIFS(Estação!$F$2:$F$50000,Estação!$A$2:$A$50000,$B46,Estação!$F$2:$F$50000,"&gt;-50"),""))</f>
        <v/>
      </c>
      <c r="G46" s="12">
        <f>IF($B46="§","",IFERROR(AVERAGEIFS(Estação!$G$2:$G$50000,Estação!$A$2:$A$50000,$B46,Estação!$G$2:$G$50000,"&gt;-50"),""))</f>
        <v/>
      </c>
      <c r="H46" s="12">
        <f>IF($B46="§","",IFERROR(AVERAGEIFS(Estação!$Z$2:$Z$50000,Estação!$A$2:$A$50000,$B46,Estação!$Z$2:$Z$50000,"&gt;-50"),""))</f>
        <v/>
      </c>
      <c r="I46" s="12">
        <f>IF($B46="§","",IFERROR(AVERAGEIFS(Estação!$E$2:$E$50000,Estação!$A$2:$A$50000,$B46,Estação!$E$2:$E$50000,"&gt;-50"),""))</f>
        <v/>
      </c>
      <c r="J46" s="12">
        <f>IF($B46="§","",IFERROR(AVERAGEIFS(Estação!$H$2:$H$50000,Estação!$A$2:$A$50000,$B46,Estação!$H$2:$H$50000,"&gt;-50"),""))</f>
        <v/>
      </c>
      <c r="K46" s="12">
        <f>IF($B46="§","",IFERROR(AVERAGEIFS(Estação!$L$2:$L$50000,Estação!$A$2:$A$50000,$B46,Estação!$L$2:$L$50000,"&gt;-50"),""))</f>
        <v/>
      </c>
      <c r="L46" s="12">
        <f>IF($B46="§","",IFERROR(AVERAGEIFS(Estação!$B$2:$B$50000,Estação!$A$2:$A$50000,$B46,Estação!$B$2:$B$50000,"&gt;-50"),""))</f>
        <v/>
      </c>
      <c r="M46" s="12">
        <f>IF($B46="§","",IFERROR(AVERAGEIFS(Estação!$M$2:$M$50000,Estação!$A$2:$A$50000,$B46,Estação!$M$2:$M$50000,"&gt;-50"),""))</f>
        <v/>
      </c>
      <c r="N46" s="12">
        <f>IF($B46="§","",SUMIFS(Estação!$O$2:$O$50000,Estação!$A$2:$A$50000,$B46))</f>
        <v/>
      </c>
      <c r="O46" s="12">
        <f>IF($B46="§","",SUMIFS(Estação!$P$2:$P$50000,Estação!$A$2:$A$50000,$B46))</f>
        <v/>
      </c>
      <c r="P46" s="12">
        <f>IF($B46="§","",SUMIFS(Estação!$Q$2:$Q$50000,Estação!$A$2:$A$50000,$B46))</f>
        <v/>
      </c>
      <c r="Q46" s="12">
        <f>IF($B46="§","",IFERROR(AVERAGEIFS(Estação!$AA$2:$AA$50000,Estação!$A$2:$A$50000,$B46,Estação!$AA$2:$AA$50000,"&gt;-50"),""))</f>
        <v/>
      </c>
      <c r="R46" s="12">
        <f>IF($B46="§","",IFERROR(AVERAGEIFS(Estação!$AB$2:$AB$50000,Estação!$A$2:$A$50000,$B46,Estação!$AB$2:$AB$50000,"&gt;-50"),""))</f>
        <v/>
      </c>
      <c r="S46" s="12">
        <f>IF($B46="§","",IFERROR(AVERAGEIFS(Estação!$Y$2:$Y$50000,Estação!$A$2:$A$50000,$B46,Estação!$Y$2:$Y$50000,"&gt;-50"),""))</f>
        <v/>
      </c>
      <c r="T46" s="12">
        <f>IF($B46="§","",IFERROR(AVERAGEIFS(Estação!$C$2:$C$50000,Estação!$A$2:$A$50000,$B46,Estação!$C$2:$C$50000,"&gt;-50"),""))</f>
        <v/>
      </c>
    </row>
    <row r="47">
      <c r="A47" s="12">
        <f>IF($C47="","",RIGHT("0"&amp;6,2)&amp;"/"&amp;RIGHT("0"&amp;MONTH($B$1),2))</f>
        <v/>
      </c>
      <c r="B47" s="12">
        <f>IF($C47="","§",YEAR($C47)&amp;"-"&amp;RIGHT("0"&amp;MONTH($C47),2)&amp;"-"&amp;RIGHT("0"&amp;DAY($C47),2)&amp;"*")</f>
        <v/>
      </c>
      <c r="C47" s="13">
        <f>IF(6&lt;=DAY(EOMONTH($B$1,0)),DATE(YEAR($B$1),MONTH($B$1),6),"")</f>
        <v/>
      </c>
      <c r="D47" s="12">
        <f>IF($B47="§","",IFERROR(AVERAGEIFS(Estação!$S$2:$S$50000,Estação!$A$2:$A$50000,$B47,Estação!$S$2:$S$50000,"&gt;-50"),""))</f>
        <v/>
      </c>
      <c r="E47" s="12">
        <f>IF($B47="§","",IFERROR(AVERAGEIFS(Estação!$T$2:$T$50000,Estação!$A$2:$A$50000,$B47,Estação!$T$2:$T$50000,"&gt;-50"),""))</f>
        <v/>
      </c>
      <c r="F47" s="12">
        <f>IF($B47="§","",IFERROR(AVERAGEIFS(Estação!$F$2:$F$50000,Estação!$A$2:$A$50000,$B47,Estação!$F$2:$F$50000,"&gt;-50"),""))</f>
        <v/>
      </c>
      <c r="G47" s="12">
        <f>IF($B47="§","",IFERROR(AVERAGEIFS(Estação!$G$2:$G$50000,Estação!$A$2:$A$50000,$B47,Estação!$G$2:$G$50000,"&gt;-50"),""))</f>
        <v/>
      </c>
      <c r="H47" s="12">
        <f>IF($B47="§","",IFERROR(AVERAGEIFS(Estação!$Z$2:$Z$50000,Estação!$A$2:$A$50000,$B47,Estação!$Z$2:$Z$50000,"&gt;-50"),""))</f>
        <v/>
      </c>
      <c r="I47" s="12">
        <f>IF($B47="§","",IFERROR(AVERAGEIFS(Estação!$E$2:$E$50000,Estação!$A$2:$A$50000,$B47,Estação!$E$2:$E$50000,"&gt;-50"),""))</f>
        <v/>
      </c>
      <c r="J47" s="12">
        <f>IF($B47="§","",IFERROR(AVERAGEIFS(Estação!$H$2:$H$50000,Estação!$A$2:$A$50000,$B47,Estação!$H$2:$H$50000,"&gt;-50"),""))</f>
        <v/>
      </c>
      <c r="K47" s="12">
        <f>IF($B47="§","",IFERROR(AVERAGEIFS(Estação!$L$2:$L$50000,Estação!$A$2:$A$50000,$B47,Estação!$L$2:$L$50000,"&gt;-50"),""))</f>
        <v/>
      </c>
      <c r="L47" s="12">
        <f>IF($B47="§","",IFERROR(AVERAGEIFS(Estação!$B$2:$B$50000,Estação!$A$2:$A$50000,$B47,Estação!$B$2:$B$50000,"&gt;-50"),""))</f>
        <v/>
      </c>
      <c r="M47" s="12">
        <f>IF($B47="§","",IFERROR(AVERAGEIFS(Estação!$M$2:$M$50000,Estação!$A$2:$A$50000,$B47,Estação!$M$2:$M$50000,"&gt;-50"),""))</f>
        <v/>
      </c>
      <c r="N47" s="12">
        <f>IF($B47="§","",SUMIFS(Estação!$O$2:$O$50000,Estação!$A$2:$A$50000,$B47))</f>
        <v/>
      </c>
      <c r="O47" s="12">
        <f>IF($B47="§","",SUMIFS(Estação!$P$2:$P$50000,Estação!$A$2:$A$50000,$B47))</f>
        <v/>
      </c>
      <c r="P47" s="12">
        <f>IF($B47="§","",SUMIFS(Estação!$Q$2:$Q$50000,Estação!$A$2:$A$50000,$B47))</f>
        <v/>
      </c>
      <c r="Q47" s="12">
        <f>IF($B47="§","",IFERROR(AVERAGEIFS(Estação!$AA$2:$AA$50000,Estação!$A$2:$A$50000,$B47,Estação!$AA$2:$AA$50000,"&gt;-50"),""))</f>
        <v/>
      </c>
      <c r="R47" s="12">
        <f>IF($B47="§","",IFERROR(AVERAGEIFS(Estação!$AB$2:$AB$50000,Estação!$A$2:$A$50000,$B47,Estação!$AB$2:$AB$50000,"&gt;-50"),""))</f>
        <v/>
      </c>
      <c r="S47" s="12">
        <f>IF($B47="§","",IFERROR(AVERAGEIFS(Estação!$Y$2:$Y$50000,Estação!$A$2:$A$50000,$B47,Estação!$Y$2:$Y$50000,"&gt;-50"),""))</f>
        <v/>
      </c>
      <c r="T47" s="12">
        <f>IF($B47="§","",IFERROR(AVERAGEIFS(Estação!$C$2:$C$50000,Estação!$A$2:$A$50000,$B47,Estação!$C$2:$C$50000,"&gt;-50"),""))</f>
        <v/>
      </c>
    </row>
    <row r="48">
      <c r="A48" s="12">
        <f>IF($C48="","",RIGHT("0"&amp;7,2)&amp;"/"&amp;RIGHT("0"&amp;MONTH($B$1),2))</f>
        <v/>
      </c>
      <c r="B48" s="12">
        <f>IF($C48="","§",YEAR($C48)&amp;"-"&amp;RIGHT("0"&amp;MONTH($C48),2)&amp;"-"&amp;RIGHT("0"&amp;DAY($C48),2)&amp;"*")</f>
        <v/>
      </c>
      <c r="C48" s="13">
        <f>IF(7&lt;=DAY(EOMONTH($B$1,0)),DATE(YEAR($B$1),MONTH($B$1),7),"")</f>
        <v/>
      </c>
      <c r="D48" s="12">
        <f>IF($B48="§","",IFERROR(AVERAGEIFS(Estação!$S$2:$S$50000,Estação!$A$2:$A$50000,$B48,Estação!$S$2:$S$50000,"&gt;-50"),""))</f>
        <v/>
      </c>
      <c r="E48" s="12">
        <f>IF($B48="§","",IFERROR(AVERAGEIFS(Estação!$T$2:$T$50000,Estação!$A$2:$A$50000,$B48,Estação!$T$2:$T$50000,"&gt;-50"),""))</f>
        <v/>
      </c>
      <c r="F48" s="12">
        <f>IF($B48="§","",IFERROR(AVERAGEIFS(Estação!$F$2:$F$50000,Estação!$A$2:$A$50000,$B48,Estação!$F$2:$F$50000,"&gt;-50"),""))</f>
        <v/>
      </c>
      <c r="G48" s="12">
        <f>IF($B48="§","",IFERROR(AVERAGEIFS(Estação!$G$2:$G$50000,Estação!$A$2:$A$50000,$B48,Estação!$G$2:$G$50000,"&gt;-50"),""))</f>
        <v/>
      </c>
      <c r="H48" s="12">
        <f>IF($B48="§","",IFERROR(AVERAGEIFS(Estação!$Z$2:$Z$50000,Estação!$A$2:$A$50000,$B48,Estação!$Z$2:$Z$50000,"&gt;-50"),""))</f>
        <v/>
      </c>
      <c r="I48" s="12">
        <f>IF($B48="§","",IFERROR(AVERAGEIFS(Estação!$E$2:$E$50000,Estação!$A$2:$A$50000,$B48,Estação!$E$2:$E$50000,"&gt;-50"),""))</f>
        <v/>
      </c>
      <c r="J48" s="12">
        <f>IF($B48="§","",IFERROR(AVERAGEIFS(Estação!$H$2:$H$50000,Estação!$A$2:$A$50000,$B48,Estação!$H$2:$H$50000,"&gt;-50"),""))</f>
        <v/>
      </c>
      <c r="K48" s="12">
        <f>IF($B48="§","",IFERROR(AVERAGEIFS(Estação!$L$2:$L$50000,Estação!$A$2:$A$50000,$B48,Estação!$L$2:$L$50000,"&gt;-50"),""))</f>
        <v/>
      </c>
      <c r="L48" s="12">
        <f>IF($B48="§","",IFERROR(AVERAGEIFS(Estação!$B$2:$B$50000,Estação!$A$2:$A$50000,$B48,Estação!$B$2:$B$50000,"&gt;-50"),""))</f>
        <v/>
      </c>
      <c r="M48" s="12">
        <f>IF($B48="§","",IFERROR(AVERAGEIFS(Estação!$M$2:$M$50000,Estação!$A$2:$A$50000,$B48,Estação!$M$2:$M$50000,"&gt;-50"),""))</f>
        <v/>
      </c>
      <c r="N48" s="12">
        <f>IF($B48="§","",SUMIFS(Estação!$O$2:$O$50000,Estação!$A$2:$A$50000,$B48))</f>
        <v/>
      </c>
      <c r="O48" s="12">
        <f>IF($B48="§","",SUMIFS(Estação!$P$2:$P$50000,Estação!$A$2:$A$50000,$B48))</f>
        <v/>
      </c>
      <c r="P48" s="12">
        <f>IF($B48="§","",SUMIFS(Estação!$Q$2:$Q$50000,Estação!$A$2:$A$50000,$B48))</f>
        <v/>
      </c>
      <c r="Q48" s="12">
        <f>IF($B48="§","",IFERROR(AVERAGEIFS(Estação!$AA$2:$AA$50000,Estação!$A$2:$A$50000,$B48,Estação!$AA$2:$AA$50000,"&gt;-50"),""))</f>
        <v/>
      </c>
      <c r="R48" s="12">
        <f>IF($B48="§","",IFERROR(AVERAGEIFS(Estação!$AB$2:$AB$50000,Estação!$A$2:$A$50000,$B48,Estação!$AB$2:$AB$50000,"&gt;-50"),""))</f>
        <v/>
      </c>
      <c r="S48" s="12">
        <f>IF($B48="§","",IFERROR(AVERAGEIFS(Estação!$Y$2:$Y$50000,Estação!$A$2:$A$50000,$B48,Estação!$Y$2:$Y$50000,"&gt;-50"),""))</f>
        <v/>
      </c>
      <c r="T48" s="12">
        <f>IF($B48="§","",IFERROR(AVERAGEIFS(Estação!$C$2:$C$50000,Estação!$A$2:$A$50000,$B48,Estação!$C$2:$C$50000,"&gt;-50"),""))</f>
        <v/>
      </c>
    </row>
    <row r="49">
      <c r="A49" s="12">
        <f>IF($C49="","",RIGHT("0"&amp;8,2)&amp;"/"&amp;RIGHT("0"&amp;MONTH($B$1),2))</f>
        <v/>
      </c>
      <c r="B49" s="12">
        <f>IF($C49="","§",YEAR($C49)&amp;"-"&amp;RIGHT("0"&amp;MONTH($C49),2)&amp;"-"&amp;RIGHT("0"&amp;DAY($C49),2)&amp;"*")</f>
        <v/>
      </c>
      <c r="C49" s="13">
        <f>IF(8&lt;=DAY(EOMONTH($B$1,0)),DATE(YEAR($B$1),MONTH($B$1),8),"")</f>
        <v/>
      </c>
      <c r="D49" s="12">
        <f>IF($B49="§","",IFERROR(AVERAGEIFS(Estação!$S$2:$S$50000,Estação!$A$2:$A$50000,$B49,Estação!$S$2:$S$50000,"&gt;-50"),""))</f>
        <v/>
      </c>
      <c r="E49" s="12">
        <f>IF($B49="§","",IFERROR(AVERAGEIFS(Estação!$T$2:$T$50000,Estação!$A$2:$A$50000,$B49,Estação!$T$2:$T$50000,"&gt;-50"),""))</f>
        <v/>
      </c>
      <c r="F49" s="12">
        <f>IF($B49="§","",IFERROR(AVERAGEIFS(Estação!$F$2:$F$50000,Estação!$A$2:$A$50000,$B49,Estação!$F$2:$F$50000,"&gt;-50"),""))</f>
        <v/>
      </c>
      <c r="G49" s="12">
        <f>IF($B49="§","",IFERROR(AVERAGEIFS(Estação!$G$2:$G$50000,Estação!$A$2:$A$50000,$B49,Estação!$G$2:$G$50000,"&gt;-50"),""))</f>
        <v/>
      </c>
      <c r="H49" s="12">
        <f>IF($B49="§","",IFERROR(AVERAGEIFS(Estação!$Z$2:$Z$50000,Estação!$A$2:$A$50000,$B49,Estação!$Z$2:$Z$50000,"&gt;-50"),""))</f>
        <v/>
      </c>
      <c r="I49" s="12">
        <f>IF($B49="§","",IFERROR(AVERAGEIFS(Estação!$E$2:$E$50000,Estação!$A$2:$A$50000,$B49,Estação!$E$2:$E$50000,"&gt;-50"),""))</f>
        <v/>
      </c>
      <c r="J49" s="12">
        <f>IF($B49="§","",IFERROR(AVERAGEIFS(Estação!$H$2:$H$50000,Estação!$A$2:$A$50000,$B49,Estação!$H$2:$H$50000,"&gt;-50"),""))</f>
        <v/>
      </c>
      <c r="K49" s="12">
        <f>IF($B49="§","",IFERROR(AVERAGEIFS(Estação!$L$2:$L$50000,Estação!$A$2:$A$50000,$B49,Estação!$L$2:$L$50000,"&gt;-50"),""))</f>
        <v/>
      </c>
      <c r="L49" s="12">
        <f>IF($B49="§","",IFERROR(AVERAGEIFS(Estação!$B$2:$B$50000,Estação!$A$2:$A$50000,$B49,Estação!$B$2:$B$50000,"&gt;-50"),""))</f>
        <v/>
      </c>
      <c r="M49" s="12">
        <f>IF($B49="§","",IFERROR(AVERAGEIFS(Estação!$M$2:$M$50000,Estação!$A$2:$A$50000,$B49,Estação!$M$2:$M$50000,"&gt;-50"),""))</f>
        <v/>
      </c>
      <c r="N49" s="12">
        <f>IF($B49="§","",SUMIFS(Estação!$O$2:$O$50000,Estação!$A$2:$A$50000,$B49))</f>
        <v/>
      </c>
      <c r="O49" s="12">
        <f>IF($B49="§","",SUMIFS(Estação!$P$2:$P$50000,Estação!$A$2:$A$50000,$B49))</f>
        <v/>
      </c>
      <c r="P49" s="12">
        <f>IF($B49="§","",SUMIFS(Estação!$Q$2:$Q$50000,Estação!$A$2:$A$50000,$B49))</f>
        <v/>
      </c>
      <c r="Q49" s="12">
        <f>IF($B49="§","",IFERROR(AVERAGEIFS(Estação!$AA$2:$AA$50000,Estação!$A$2:$A$50000,$B49,Estação!$AA$2:$AA$50000,"&gt;-50"),""))</f>
        <v/>
      </c>
      <c r="R49" s="12">
        <f>IF($B49="§","",IFERROR(AVERAGEIFS(Estação!$AB$2:$AB$50000,Estação!$A$2:$A$50000,$B49,Estação!$AB$2:$AB$50000,"&gt;-50"),""))</f>
        <v/>
      </c>
      <c r="S49" s="12">
        <f>IF($B49="§","",IFERROR(AVERAGEIFS(Estação!$Y$2:$Y$50000,Estação!$A$2:$A$50000,$B49,Estação!$Y$2:$Y$50000,"&gt;-50"),""))</f>
        <v/>
      </c>
      <c r="T49" s="12">
        <f>IF($B49="§","",IFERROR(AVERAGEIFS(Estação!$C$2:$C$50000,Estação!$A$2:$A$50000,$B49,Estação!$C$2:$C$50000,"&gt;-50"),""))</f>
        <v/>
      </c>
    </row>
    <row r="50">
      <c r="A50" s="12">
        <f>IF($C50="","",RIGHT("0"&amp;9,2)&amp;"/"&amp;RIGHT("0"&amp;MONTH($B$1),2))</f>
        <v/>
      </c>
      <c r="B50" s="12">
        <f>IF($C50="","§",YEAR($C50)&amp;"-"&amp;RIGHT("0"&amp;MONTH($C50),2)&amp;"-"&amp;RIGHT("0"&amp;DAY($C50),2)&amp;"*")</f>
        <v/>
      </c>
      <c r="C50" s="13">
        <f>IF(9&lt;=DAY(EOMONTH($B$1,0)),DATE(YEAR($B$1),MONTH($B$1),9),"")</f>
        <v/>
      </c>
      <c r="D50" s="12">
        <f>IF($B50="§","",IFERROR(AVERAGEIFS(Estação!$S$2:$S$50000,Estação!$A$2:$A$50000,$B50,Estação!$S$2:$S$50000,"&gt;-50"),""))</f>
        <v/>
      </c>
      <c r="E50" s="12">
        <f>IF($B50="§","",IFERROR(AVERAGEIFS(Estação!$T$2:$T$50000,Estação!$A$2:$A$50000,$B50,Estação!$T$2:$T$50000,"&gt;-50"),""))</f>
        <v/>
      </c>
      <c r="F50" s="12">
        <f>IF($B50="§","",IFERROR(AVERAGEIFS(Estação!$F$2:$F$50000,Estação!$A$2:$A$50000,$B50,Estação!$F$2:$F$50000,"&gt;-50"),""))</f>
        <v/>
      </c>
      <c r="G50" s="12">
        <f>IF($B50="§","",IFERROR(AVERAGEIFS(Estação!$G$2:$G$50000,Estação!$A$2:$A$50000,$B50,Estação!$G$2:$G$50000,"&gt;-50"),""))</f>
        <v/>
      </c>
      <c r="H50" s="12">
        <f>IF($B50="§","",IFERROR(AVERAGEIFS(Estação!$Z$2:$Z$50000,Estação!$A$2:$A$50000,$B50,Estação!$Z$2:$Z$50000,"&gt;-50"),""))</f>
        <v/>
      </c>
      <c r="I50" s="12">
        <f>IF($B50="§","",IFERROR(AVERAGEIFS(Estação!$E$2:$E$50000,Estação!$A$2:$A$50000,$B50,Estação!$E$2:$E$50000,"&gt;-50"),""))</f>
        <v/>
      </c>
      <c r="J50" s="12">
        <f>IF($B50="§","",IFERROR(AVERAGEIFS(Estação!$H$2:$H$50000,Estação!$A$2:$A$50000,$B50,Estação!$H$2:$H$50000,"&gt;-50"),""))</f>
        <v/>
      </c>
      <c r="K50" s="12">
        <f>IF($B50="§","",IFERROR(AVERAGEIFS(Estação!$L$2:$L$50000,Estação!$A$2:$A$50000,$B50,Estação!$L$2:$L$50000,"&gt;-50"),""))</f>
        <v/>
      </c>
      <c r="L50" s="12">
        <f>IF($B50="§","",IFERROR(AVERAGEIFS(Estação!$B$2:$B$50000,Estação!$A$2:$A$50000,$B50,Estação!$B$2:$B$50000,"&gt;-50"),""))</f>
        <v/>
      </c>
      <c r="M50" s="12">
        <f>IF($B50="§","",IFERROR(AVERAGEIFS(Estação!$M$2:$M$50000,Estação!$A$2:$A$50000,$B50,Estação!$M$2:$M$50000,"&gt;-50"),""))</f>
        <v/>
      </c>
      <c r="N50" s="12">
        <f>IF($B50="§","",SUMIFS(Estação!$O$2:$O$50000,Estação!$A$2:$A$50000,$B50))</f>
        <v/>
      </c>
      <c r="O50" s="12">
        <f>IF($B50="§","",SUMIFS(Estação!$P$2:$P$50000,Estação!$A$2:$A$50000,$B50))</f>
        <v/>
      </c>
      <c r="P50" s="12">
        <f>IF($B50="§","",SUMIFS(Estação!$Q$2:$Q$50000,Estação!$A$2:$A$50000,$B50))</f>
        <v/>
      </c>
      <c r="Q50" s="12">
        <f>IF($B50="§","",IFERROR(AVERAGEIFS(Estação!$AA$2:$AA$50000,Estação!$A$2:$A$50000,$B50,Estação!$AA$2:$AA$50000,"&gt;-50"),""))</f>
        <v/>
      </c>
      <c r="R50" s="12">
        <f>IF($B50="§","",IFERROR(AVERAGEIFS(Estação!$AB$2:$AB$50000,Estação!$A$2:$A$50000,$B50,Estação!$AB$2:$AB$50000,"&gt;-50"),""))</f>
        <v/>
      </c>
      <c r="S50" s="12">
        <f>IF($B50="§","",IFERROR(AVERAGEIFS(Estação!$Y$2:$Y$50000,Estação!$A$2:$A$50000,$B50,Estação!$Y$2:$Y$50000,"&gt;-50"),""))</f>
        <v/>
      </c>
      <c r="T50" s="12">
        <f>IF($B50="§","",IFERROR(AVERAGEIFS(Estação!$C$2:$C$50000,Estação!$A$2:$A$50000,$B50,Estação!$C$2:$C$50000,"&gt;-50"),""))</f>
        <v/>
      </c>
    </row>
    <row r="51">
      <c r="A51" s="12">
        <f>IF($C51="","",RIGHT("0"&amp;10,2)&amp;"/"&amp;RIGHT("0"&amp;MONTH($B$1),2))</f>
        <v/>
      </c>
      <c r="B51" s="12">
        <f>IF($C51="","§",YEAR($C51)&amp;"-"&amp;RIGHT("0"&amp;MONTH($C51),2)&amp;"-"&amp;RIGHT("0"&amp;DAY($C51),2)&amp;"*")</f>
        <v/>
      </c>
      <c r="C51" s="13">
        <f>IF(10&lt;=DAY(EOMONTH($B$1,0)),DATE(YEAR($B$1),MONTH($B$1),10),"")</f>
        <v/>
      </c>
      <c r="D51" s="12">
        <f>IF($B51="§","",IFERROR(AVERAGEIFS(Estação!$S$2:$S$50000,Estação!$A$2:$A$50000,$B51,Estação!$S$2:$S$50000,"&gt;-50"),""))</f>
        <v/>
      </c>
      <c r="E51" s="12">
        <f>IF($B51="§","",IFERROR(AVERAGEIFS(Estação!$T$2:$T$50000,Estação!$A$2:$A$50000,$B51,Estação!$T$2:$T$50000,"&gt;-50"),""))</f>
        <v/>
      </c>
      <c r="F51" s="12">
        <f>IF($B51="§","",IFERROR(AVERAGEIFS(Estação!$F$2:$F$50000,Estação!$A$2:$A$50000,$B51,Estação!$F$2:$F$50000,"&gt;-50"),""))</f>
        <v/>
      </c>
      <c r="G51" s="12">
        <f>IF($B51="§","",IFERROR(AVERAGEIFS(Estação!$G$2:$G$50000,Estação!$A$2:$A$50000,$B51,Estação!$G$2:$G$50000,"&gt;-50"),""))</f>
        <v/>
      </c>
      <c r="H51" s="12">
        <f>IF($B51="§","",IFERROR(AVERAGEIFS(Estação!$Z$2:$Z$50000,Estação!$A$2:$A$50000,$B51,Estação!$Z$2:$Z$50000,"&gt;-50"),""))</f>
        <v/>
      </c>
      <c r="I51" s="12">
        <f>IF($B51="§","",IFERROR(AVERAGEIFS(Estação!$E$2:$E$50000,Estação!$A$2:$A$50000,$B51,Estação!$E$2:$E$50000,"&gt;-50"),""))</f>
        <v/>
      </c>
      <c r="J51" s="12">
        <f>IF($B51="§","",IFERROR(AVERAGEIFS(Estação!$H$2:$H$50000,Estação!$A$2:$A$50000,$B51,Estação!$H$2:$H$50000,"&gt;-50"),""))</f>
        <v/>
      </c>
      <c r="K51" s="12">
        <f>IF($B51="§","",IFERROR(AVERAGEIFS(Estação!$L$2:$L$50000,Estação!$A$2:$A$50000,$B51,Estação!$L$2:$L$50000,"&gt;-50"),""))</f>
        <v/>
      </c>
      <c r="L51" s="12">
        <f>IF($B51="§","",IFERROR(AVERAGEIFS(Estação!$B$2:$B$50000,Estação!$A$2:$A$50000,$B51,Estação!$B$2:$B$50000,"&gt;-50"),""))</f>
        <v/>
      </c>
      <c r="M51" s="12">
        <f>IF($B51="§","",IFERROR(AVERAGEIFS(Estação!$M$2:$M$50000,Estação!$A$2:$A$50000,$B51,Estação!$M$2:$M$50000,"&gt;-50"),""))</f>
        <v/>
      </c>
      <c r="N51" s="12">
        <f>IF($B51="§","",SUMIFS(Estação!$O$2:$O$50000,Estação!$A$2:$A$50000,$B51))</f>
        <v/>
      </c>
      <c r="O51" s="12">
        <f>IF($B51="§","",SUMIFS(Estação!$P$2:$P$50000,Estação!$A$2:$A$50000,$B51))</f>
        <v/>
      </c>
      <c r="P51" s="12">
        <f>IF($B51="§","",SUMIFS(Estação!$Q$2:$Q$50000,Estação!$A$2:$A$50000,$B51))</f>
        <v/>
      </c>
      <c r="Q51" s="12">
        <f>IF($B51="§","",IFERROR(AVERAGEIFS(Estação!$AA$2:$AA$50000,Estação!$A$2:$A$50000,$B51,Estação!$AA$2:$AA$50000,"&gt;-50"),""))</f>
        <v/>
      </c>
      <c r="R51" s="12">
        <f>IF($B51="§","",IFERROR(AVERAGEIFS(Estação!$AB$2:$AB$50000,Estação!$A$2:$A$50000,$B51,Estação!$AB$2:$AB$50000,"&gt;-50"),""))</f>
        <v/>
      </c>
      <c r="S51" s="12">
        <f>IF($B51="§","",IFERROR(AVERAGEIFS(Estação!$Y$2:$Y$50000,Estação!$A$2:$A$50000,$B51,Estação!$Y$2:$Y$50000,"&gt;-50"),""))</f>
        <v/>
      </c>
      <c r="T51" s="12">
        <f>IF($B51="§","",IFERROR(AVERAGEIFS(Estação!$C$2:$C$50000,Estação!$A$2:$A$50000,$B51,Estação!$C$2:$C$50000,"&gt;-50"),""))</f>
        <v/>
      </c>
    </row>
    <row r="52">
      <c r="A52" s="12">
        <f>IF($C52="","",RIGHT("0"&amp;11,2)&amp;"/"&amp;RIGHT("0"&amp;MONTH($B$1),2))</f>
        <v/>
      </c>
      <c r="B52" s="12">
        <f>IF($C52="","§",YEAR($C52)&amp;"-"&amp;RIGHT("0"&amp;MONTH($C52),2)&amp;"-"&amp;RIGHT("0"&amp;DAY($C52),2)&amp;"*")</f>
        <v/>
      </c>
      <c r="C52" s="13">
        <f>IF(11&lt;=DAY(EOMONTH($B$1,0)),DATE(YEAR($B$1),MONTH($B$1),11),"")</f>
        <v/>
      </c>
      <c r="D52" s="12">
        <f>IF($B52="§","",IFERROR(AVERAGEIFS(Estação!$S$2:$S$50000,Estação!$A$2:$A$50000,$B52,Estação!$S$2:$S$50000,"&gt;-50"),""))</f>
        <v/>
      </c>
      <c r="E52" s="12">
        <f>IF($B52="§","",IFERROR(AVERAGEIFS(Estação!$T$2:$T$50000,Estação!$A$2:$A$50000,$B52,Estação!$T$2:$T$50000,"&gt;-50"),""))</f>
        <v/>
      </c>
      <c r="F52" s="12">
        <f>IF($B52="§","",IFERROR(AVERAGEIFS(Estação!$F$2:$F$50000,Estação!$A$2:$A$50000,$B52,Estação!$F$2:$F$50000,"&gt;-50"),""))</f>
        <v/>
      </c>
      <c r="G52" s="12">
        <f>IF($B52="§","",IFERROR(AVERAGEIFS(Estação!$G$2:$G$50000,Estação!$A$2:$A$50000,$B52,Estação!$G$2:$G$50000,"&gt;-50"),""))</f>
        <v/>
      </c>
      <c r="H52" s="12">
        <f>IF($B52="§","",IFERROR(AVERAGEIFS(Estação!$Z$2:$Z$50000,Estação!$A$2:$A$50000,$B52,Estação!$Z$2:$Z$50000,"&gt;-50"),""))</f>
        <v/>
      </c>
      <c r="I52" s="12">
        <f>IF($B52="§","",IFERROR(AVERAGEIFS(Estação!$E$2:$E$50000,Estação!$A$2:$A$50000,$B52,Estação!$E$2:$E$50000,"&gt;-50"),""))</f>
        <v/>
      </c>
      <c r="J52" s="12">
        <f>IF($B52="§","",IFERROR(AVERAGEIFS(Estação!$H$2:$H$50000,Estação!$A$2:$A$50000,$B52,Estação!$H$2:$H$50000,"&gt;-50"),""))</f>
        <v/>
      </c>
      <c r="K52" s="12">
        <f>IF($B52="§","",IFERROR(AVERAGEIFS(Estação!$L$2:$L$50000,Estação!$A$2:$A$50000,$B52,Estação!$L$2:$L$50000,"&gt;-50"),""))</f>
        <v/>
      </c>
      <c r="L52" s="12">
        <f>IF($B52="§","",IFERROR(AVERAGEIFS(Estação!$B$2:$B$50000,Estação!$A$2:$A$50000,$B52,Estação!$B$2:$B$50000,"&gt;-50"),""))</f>
        <v/>
      </c>
      <c r="M52" s="12">
        <f>IF($B52="§","",IFERROR(AVERAGEIFS(Estação!$M$2:$M$50000,Estação!$A$2:$A$50000,$B52,Estação!$M$2:$M$50000,"&gt;-50"),""))</f>
        <v/>
      </c>
      <c r="N52" s="12">
        <f>IF($B52="§","",SUMIFS(Estação!$O$2:$O$50000,Estação!$A$2:$A$50000,$B52))</f>
        <v/>
      </c>
      <c r="O52" s="12">
        <f>IF($B52="§","",SUMIFS(Estação!$P$2:$P$50000,Estação!$A$2:$A$50000,$B52))</f>
        <v/>
      </c>
      <c r="P52" s="12">
        <f>IF($B52="§","",SUMIFS(Estação!$Q$2:$Q$50000,Estação!$A$2:$A$50000,$B52))</f>
        <v/>
      </c>
      <c r="Q52" s="12">
        <f>IF($B52="§","",IFERROR(AVERAGEIFS(Estação!$AA$2:$AA$50000,Estação!$A$2:$A$50000,$B52,Estação!$AA$2:$AA$50000,"&gt;-50"),""))</f>
        <v/>
      </c>
      <c r="R52" s="12">
        <f>IF($B52="§","",IFERROR(AVERAGEIFS(Estação!$AB$2:$AB$50000,Estação!$A$2:$A$50000,$B52,Estação!$AB$2:$AB$50000,"&gt;-50"),""))</f>
        <v/>
      </c>
      <c r="S52" s="12">
        <f>IF($B52="§","",IFERROR(AVERAGEIFS(Estação!$Y$2:$Y$50000,Estação!$A$2:$A$50000,$B52,Estação!$Y$2:$Y$50000,"&gt;-50"),""))</f>
        <v/>
      </c>
      <c r="T52" s="12">
        <f>IF($B52="§","",IFERROR(AVERAGEIFS(Estação!$C$2:$C$50000,Estação!$A$2:$A$50000,$B52,Estação!$C$2:$C$50000,"&gt;-50"),""))</f>
        <v/>
      </c>
    </row>
    <row r="53">
      <c r="A53" s="12">
        <f>IF($C53="","",RIGHT("0"&amp;12,2)&amp;"/"&amp;RIGHT("0"&amp;MONTH($B$1),2))</f>
        <v/>
      </c>
      <c r="B53" s="12">
        <f>IF($C53="","§",YEAR($C53)&amp;"-"&amp;RIGHT("0"&amp;MONTH($C53),2)&amp;"-"&amp;RIGHT("0"&amp;DAY($C53),2)&amp;"*")</f>
        <v/>
      </c>
      <c r="C53" s="13">
        <f>IF(12&lt;=DAY(EOMONTH($B$1,0)),DATE(YEAR($B$1),MONTH($B$1),12),"")</f>
        <v/>
      </c>
      <c r="D53" s="12">
        <f>IF($B53="§","",IFERROR(AVERAGEIFS(Estação!$S$2:$S$50000,Estação!$A$2:$A$50000,$B53,Estação!$S$2:$S$50000,"&gt;-50"),""))</f>
        <v/>
      </c>
      <c r="E53" s="12">
        <f>IF($B53="§","",IFERROR(AVERAGEIFS(Estação!$T$2:$T$50000,Estação!$A$2:$A$50000,$B53,Estação!$T$2:$T$50000,"&gt;-50"),""))</f>
        <v/>
      </c>
      <c r="F53" s="12">
        <f>IF($B53="§","",IFERROR(AVERAGEIFS(Estação!$F$2:$F$50000,Estação!$A$2:$A$50000,$B53,Estação!$F$2:$F$50000,"&gt;-50"),""))</f>
        <v/>
      </c>
      <c r="G53" s="12">
        <f>IF($B53="§","",IFERROR(AVERAGEIFS(Estação!$G$2:$G$50000,Estação!$A$2:$A$50000,$B53,Estação!$G$2:$G$50000,"&gt;-50"),""))</f>
        <v/>
      </c>
      <c r="H53" s="12">
        <f>IF($B53="§","",IFERROR(AVERAGEIFS(Estação!$Z$2:$Z$50000,Estação!$A$2:$A$50000,$B53,Estação!$Z$2:$Z$50000,"&gt;-50"),""))</f>
        <v/>
      </c>
      <c r="I53" s="12">
        <f>IF($B53="§","",IFERROR(AVERAGEIFS(Estação!$E$2:$E$50000,Estação!$A$2:$A$50000,$B53,Estação!$E$2:$E$50000,"&gt;-50"),""))</f>
        <v/>
      </c>
      <c r="J53" s="12">
        <f>IF($B53="§","",IFERROR(AVERAGEIFS(Estação!$H$2:$H$50000,Estação!$A$2:$A$50000,$B53,Estação!$H$2:$H$50000,"&gt;-50"),""))</f>
        <v/>
      </c>
      <c r="K53" s="12">
        <f>IF($B53="§","",IFERROR(AVERAGEIFS(Estação!$L$2:$L$50000,Estação!$A$2:$A$50000,$B53,Estação!$L$2:$L$50000,"&gt;-50"),""))</f>
        <v/>
      </c>
      <c r="L53" s="12">
        <f>IF($B53="§","",IFERROR(AVERAGEIFS(Estação!$B$2:$B$50000,Estação!$A$2:$A$50000,$B53,Estação!$B$2:$B$50000,"&gt;-50"),""))</f>
        <v/>
      </c>
      <c r="M53" s="12">
        <f>IF($B53="§","",IFERROR(AVERAGEIFS(Estação!$M$2:$M$50000,Estação!$A$2:$A$50000,$B53,Estação!$M$2:$M$50000,"&gt;-50"),""))</f>
        <v/>
      </c>
      <c r="N53" s="12">
        <f>IF($B53="§","",SUMIFS(Estação!$O$2:$O$50000,Estação!$A$2:$A$50000,$B53))</f>
        <v/>
      </c>
      <c r="O53" s="12">
        <f>IF($B53="§","",SUMIFS(Estação!$P$2:$P$50000,Estação!$A$2:$A$50000,$B53))</f>
        <v/>
      </c>
      <c r="P53" s="12">
        <f>IF($B53="§","",SUMIFS(Estação!$Q$2:$Q$50000,Estação!$A$2:$A$50000,$B53))</f>
        <v/>
      </c>
      <c r="Q53" s="12">
        <f>IF($B53="§","",IFERROR(AVERAGEIFS(Estação!$AA$2:$AA$50000,Estação!$A$2:$A$50000,$B53,Estação!$AA$2:$AA$50000,"&gt;-50"),""))</f>
        <v/>
      </c>
      <c r="R53" s="12">
        <f>IF($B53="§","",IFERROR(AVERAGEIFS(Estação!$AB$2:$AB$50000,Estação!$A$2:$A$50000,$B53,Estação!$AB$2:$AB$50000,"&gt;-50"),""))</f>
        <v/>
      </c>
      <c r="S53" s="12">
        <f>IF($B53="§","",IFERROR(AVERAGEIFS(Estação!$Y$2:$Y$50000,Estação!$A$2:$A$50000,$B53,Estação!$Y$2:$Y$50000,"&gt;-50"),""))</f>
        <v/>
      </c>
      <c r="T53" s="12">
        <f>IF($B53="§","",IFERROR(AVERAGEIFS(Estação!$C$2:$C$50000,Estação!$A$2:$A$50000,$B53,Estação!$C$2:$C$50000,"&gt;-50"),""))</f>
        <v/>
      </c>
    </row>
    <row r="54">
      <c r="A54" s="12">
        <f>IF($C54="","",RIGHT("0"&amp;13,2)&amp;"/"&amp;RIGHT("0"&amp;MONTH($B$1),2))</f>
        <v/>
      </c>
      <c r="B54" s="12">
        <f>IF($C54="","§",YEAR($C54)&amp;"-"&amp;RIGHT("0"&amp;MONTH($C54),2)&amp;"-"&amp;RIGHT("0"&amp;DAY($C54),2)&amp;"*")</f>
        <v/>
      </c>
      <c r="C54" s="13">
        <f>IF(13&lt;=DAY(EOMONTH($B$1,0)),DATE(YEAR($B$1),MONTH($B$1),13),"")</f>
        <v/>
      </c>
      <c r="D54" s="12">
        <f>IF($B54="§","",IFERROR(AVERAGEIFS(Estação!$S$2:$S$50000,Estação!$A$2:$A$50000,$B54,Estação!$S$2:$S$50000,"&gt;-50"),""))</f>
        <v/>
      </c>
      <c r="E54" s="12">
        <f>IF($B54="§","",IFERROR(AVERAGEIFS(Estação!$T$2:$T$50000,Estação!$A$2:$A$50000,$B54,Estação!$T$2:$T$50000,"&gt;-50"),""))</f>
        <v/>
      </c>
      <c r="F54" s="12">
        <f>IF($B54="§","",IFERROR(AVERAGEIFS(Estação!$F$2:$F$50000,Estação!$A$2:$A$50000,$B54,Estação!$F$2:$F$50000,"&gt;-50"),""))</f>
        <v/>
      </c>
      <c r="G54" s="12">
        <f>IF($B54="§","",IFERROR(AVERAGEIFS(Estação!$G$2:$G$50000,Estação!$A$2:$A$50000,$B54,Estação!$G$2:$G$50000,"&gt;-50"),""))</f>
        <v/>
      </c>
      <c r="H54" s="12">
        <f>IF($B54="§","",IFERROR(AVERAGEIFS(Estação!$Z$2:$Z$50000,Estação!$A$2:$A$50000,$B54,Estação!$Z$2:$Z$50000,"&gt;-50"),""))</f>
        <v/>
      </c>
      <c r="I54" s="12">
        <f>IF($B54="§","",IFERROR(AVERAGEIFS(Estação!$E$2:$E$50000,Estação!$A$2:$A$50000,$B54,Estação!$E$2:$E$50000,"&gt;-50"),""))</f>
        <v/>
      </c>
      <c r="J54" s="12">
        <f>IF($B54="§","",IFERROR(AVERAGEIFS(Estação!$H$2:$H$50000,Estação!$A$2:$A$50000,$B54,Estação!$H$2:$H$50000,"&gt;-50"),""))</f>
        <v/>
      </c>
      <c r="K54" s="12">
        <f>IF($B54="§","",IFERROR(AVERAGEIFS(Estação!$L$2:$L$50000,Estação!$A$2:$A$50000,$B54,Estação!$L$2:$L$50000,"&gt;-50"),""))</f>
        <v/>
      </c>
      <c r="L54" s="12">
        <f>IF($B54="§","",IFERROR(AVERAGEIFS(Estação!$B$2:$B$50000,Estação!$A$2:$A$50000,$B54,Estação!$B$2:$B$50000,"&gt;-50"),""))</f>
        <v/>
      </c>
      <c r="M54" s="12">
        <f>IF($B54="§","",IFERROR(AVERAGEIFS(Estação!$M$2:$M$50000,Estação!$A$2:$A$50000,$B54,Estação!$M$2:$M$50000,"&gt;-50"),""))</f>
        <v/>
      </c>
      <c r="N54" s="12">
        <f>IF($B54="§","",SUMIFS(Estação!$O$2:$O$50000,Estação!$A$2:$A$50000,$B54))</f>
        <v/>
      </c>
      <c r="O54" s="12">
        <f>IF($B54="§","",SUMIFS(Estação!$P$2:$P$50000,Estação!$A$2:$A$50000,$B54))</f>
        <v/>
      </c>
      <c r="P54" s="12">
        <f>IF($B54="§","",SUMIFS(Estação!$Q$2:$Q$50000,Estação!$A$2:$A$50000,$B54))</f>
        <v/>
      </c>
      <c r="Q54" s="12">
        <f>IF($B54="§","",IFERROR(AVERAGEIFS(Estação!$AA$2:$AA$50000,Estação!$A$2:$A$50000,$B54,Estação!$AA$2:$AA$50000,"&gt;-50"),""))</f>
        <v/>
      </c>
      <c r="R54" s="12">
        <f>IF($B54="§","",IFERROR(AVERAGEIFS(Estação!$AB$2:$AB$50000,Estação!$A$2:$A$50000,$B54,Estação!$AB$2:$AB$50000,"&gt;-50"),""))</f>
        <v/>
      </c>
      <c r="S54" s="12">
        <f>IF($B54="§","",IFERROR(AVERAGEIFS(Estação!$Y$2:$Y$50000,Estação!$A$2:$A$50000,$B54,Estação!$Y$2:$Y$50000,"&gt;-50"),""))</f>
        <v/>
      </c>
      <c r="T54" s="12">
        <f>IF($B54="§","",IFERROR(AVERAGEIFS(Estação!$C$2:$C$50000,Estação!$A$2:$A$50000,$B54,Estação!$C$2:$C$50000,"&gt;-50"),""))</f>
        <v/>
      </c>
    </row>
    <row r="55">
      <c r="A55" s="12">
        <f>IF($C55="","",RIGHT("0"&amp;14,2)&amp;"/"&amp;RIGHT("0"&amp;MONTH($B$1),2))</f>
        <v/>
      </c>
      <c r="B55" s="12">
        <f>IF($C55="","§",YEAR($C55)&amp;"-"&amp;RIGHT("0"&amp;MONTH($C55),2)&amp;"-"&amp;RIGHT("0"&amp;DAY($C55),2)&amp;"*")</f>
        <v/>
      </c>
      <c r="C55" s="13">
        <f>IF(14&lt;=DAY(EOMONTH($B$1,0)),DATE(YEAR($B$1),MONTH($B$1),14),"")</f>
        <v/>
      </c>
      <c r="D55" s="12">
        <f>IF($B55="§","",IFERROR(AVERAGEIFS(Estação!$S$2:$S$50000,Estação!$A$2:$A$50000,$B55,Estação!$S$2:$S$50000,"&gt;-50"),""))</f>
        <v/>
      </c>
      <c r="E55" s="12">
        <f>IF($B55="§","",IFERROR(AVERAGEIFS(Estação!$T$2:$T$50000,Estação!$A$2:$A$50000,$B55,Estação!$T$2:$T$50000,"&gt;-50"),""))</f>
        <v/>
      </c>
      <c r="F55" s="12">
        <f>IF($B55="§","",IFERROR(AVERAGEIFS(Estação!$F$2:$F$50000,Estação!$A$2:$A$50000,$B55,Estação!$F$2:$F$50000,"&gt;-50"),""))</f>
        <v/>
      </c>
      <c r="G55" s="12">
        <f>IF($B55="§","",IFERROR(AVERAGEIFS(Estação!$G$2:$G$50000,Estação!$A$2:$A$50000,$B55,Estação!$G$2:$G$50000,"&gt;-50"),""))</f>
        <v/>
      </c>
      <c r="H55" s="12">
        <f>IF($B55="§","",IFERROR(AVERAGEIFS(Estação!$Z$2:$Z$50000,Estação!$A$2:$A$50000,$B55,Estação!$Z$2:$Z$50000,"&gt;-50"),""))</f>
        <v/>
      </c>
      <c r="I55" s="12">
        <f>IF($B55="§","",IFERROR(AVERAGEIFS(Estação!$E$2:$E$50000,Estação!$A$2:$A$50000,$B55,Estação!$E$2:$E$50000,"&gt;-50"),""))</f>
        <v/>
      </c>
      <c r="J55" s="12">
        <f>IF($B55="§","",IFERROR(AVERAGEIFS(Estação!$H$2:$H$50000,Estação!$A$2:$A$50000,$B55,Estação!$H$2:$H$50000,"&gt;-50"),""))</f>
        <v/>
      </c>
      <c r="K55" s="12">
        <f>IF($B55="§","",IFERROR(AVERAGEIFS(Estação!$L$2:$L$50000,Estação!$A$2:$A$50000,$B55,Estação!$L$2:$L$50000,"&gt;-50"),""))</f>
        <v/>
      </c>
      <c r="L55" s="12">
        <f>IF($B55="§","",IFERROR(AVERAGEIFS(Estação!$B$2:$B$50000,Estação!$A$2:$A$50000,$B55,Estação!$B$2:$B$50000,"&gt;-50"),""))</f>
        <v/>
      </c>
      <c r="M55" s="12">
        <f>IF($B55="§","",IFERROR(AVERAGEIFS(Estação!$M$2:$M$50000,Estação!$A$2:$A$50000,$B55,Estação!$M$2:$M$50000,"&gt;-50"),""))</f>
        <v/>
      </c>
      <c r="N55" s="12">
        <f>IF($B55="§","",SUMIFS(Estação!$O$2:$O$50000,Estação!$A$2:$A$50000,$B55))</f>
        <v/>
      </c>
      <c r="O55" s="12">
        <f>IF($B55="§","",SUMIFS(Estação!$P$2:$P$50000,Estação!$A$2:$A$50000,$B55))</f>
        <v/>
      </c>
      <c r="P55" s="12">
        <f>IF($B55="§","",SUMIFS(Estação!$Q$2:$Q$50000,Estação!$A$2:$A$50000,$B55))</f>
        <v/>
      </c>
      <c r="Q55" s="12">
        <f>IF($B55="§","",IFERROR(AVERAGEIFS(Estação!$AA$2:$AA$50000,Estação!$A$2:$A$50000,$B55,Estação!$AA$2:$AA$50000,"&gt;-50"),""))</f>
        <v/>
      </c>
      <c r="R55" s="12">
        <f>IF($B55="§","",IFERROR(AVERAGEIFS(Estação!$AB$2:$AB$50000,Estação!$A$2:$A$50000,$B55,Estação!$AB$2:$AB$50000,"&gt;-50"),""))</f>
        <v/>
      </c>
      <c r="S55" s="12">
        <f>IF($B55="§","",IFERROR(AVERAGEIFS(Estação!$Y$2:$Y$50000,Estação!$A$2:$A$50000,$B55,Estação!$Y$2:$Y$50000,"&gt;-50"),""))</f>
        <v/>
      </c>
      <c r="T55" s="12">
        <f>IF($B55="§","",IFERROR(AVERAGEIFS(Estação!$C$2:$C$50000,Estação!$A$2:$A$50000,$B55,Estação!$C$2:$C$50000,"&gt;-50"),""))</f>
        <v/>
      </c>
    </row>
    <row r="56">
      <c r="A56" s="12">
        <f>IF($C56="","",RIGHT("0"&amp;15,2)&amp;"/"&amp;RIGHT("0"&amp;MONTH($B$1),2))</f>
        <v/>
      </c>
      <c r="B56" s="12">
        <f>IF($C56="","§",YEAR($C56)&amp;"-"&amp;RIGHT("0"&amp;MONTH($C56),2)&amp;"-"&amp;RIGHT("0"&amp;DAY($C56),2)&amp;"*")</f>
        <v/>
      </c>
      <c r="C56" s="13">
        <f>IF(15&lt;=DAY(EOMONTH($B$1,0)),DATE(YEAR($B$1),MONTH($B$1),15),"")</f>
        <v/>
      </c>
      <c r="D56" s="12">
        <f>IF($B56="§","",IFERROR(AVERAGEIFS(Estação!$S$2:$S$50000,Estação!$A$2:$A$50000,$B56,Estação!$S$2:$S$50000,"&gt;-50"),""))</f>
        <v/>
      </c>
      <c r="E56" s="12">
        <f>IF($B56="§","",IFERROR(AVERAGEIFS(Estação!$T$2:$T$50000,Estação!$A$2:$A$50000,$B56,Estação!$T$2:$T$50000,"&gt;-50"),""))</f>
        <v/>
      </c>
      <c r="F56" s="12">
        <f>IF($B56="§","",IFERROR(AVERAGEIFS(Estação!$F$2:$F$50000,Estação!$A$2:$A$50000,$B56,Estação!$F$2:$F$50000,"&gt;-50"),""))</f>
        <v/>
      </c>
      <c r="G56" s="12">
        <f>IF($B56="§","",IFERROR(AVERAGEIFS(Estação!$G$2:$G$50000,Estação!$A$2:$A$50000,$B56,Estação!$G$2:$G$50000,"&gt;-50"),""))</f>
        <v/>
      </c>
      <c r="H56" s="12">
        <f>IF($B56="§","",IFERROR(AVERAGEIFS(Estação!$Z$2:$Z$50000,Estação!$A$2:$A$50000,$B56,Estação!$Z$2:$Z$50000,"&gt;-50"),""))</f>
        <v/>
      </c>
      <c r="I56" s="12">
        <f>IF($B56="§","",IFERROR(AVERAGEIFS(Estação!$E$2:$E$50000,Estação!$A$2:$A$50000,$B56,Estação!$E$2:$E$50000,"&gt;-50"),""))</f>
        <v/>
      </c>
      <c r="J56" s="12">
        <f>IF($B56="§","",IFERROR(AVERAGEIFS(Estação!$H$2:$H$50000,Estação!$A$2:$A$50000,$B56,Estação!$H$2:$H$50000,"&gt;-50"),""))</f>
        <v/>
      </c>
      <c r="K56" s="12">
        <f>IF($B56="§","",IFERROR(AVERAGEIFS(Estação!$L$2:$L$50000,Estação!$A$2:$A$50000,$B56,Estação!$L$2:$L$50000,"&gt;-50"),""))</f>
        <v/>
      </c>
      <c r="L56" s="12">
        <f>IF($B56="§","",IFERROR(AVERAGEIFS(Estação!$B$2:$B$50000,Estação!$A$2:$A$50000,$B56,Estação!$B$2:$B$50000,"&gt;-50"),""))</f>
        <v/>
      </c>
      <c r="M56" s="12">
        <f>IF($B56="§","",IFERROR(AVERAGEIFS(Estação!$M$2:$M$50000,Estação!$A$2:$A$50000,$B56,Estação!$M$2:$M$50000,"&gt;-50"),""))</f>
        <v/>
      </c>
      <c r="N56" s="12">
        <f>IF($B56="§","",SUMIFS(Estação!$O$2:$O$50000,Estação!$A$2:$A$50000,$B56))</f>
        <v/>
      </c>
      <c r="O56" s="12">
        <f>IF($B56="§","",SUMIFS(Estação!$P$2:$P$50000,Estação!$A$2:$A$50000,$B56))</f>
        <v/>
      </c>
      <c r="P56" s="12">
        <f>IF($B56="§","",SUMIFS(Estação!$Q$2:$Q$50000,Estação!$A$2:$A$50000,$B56))</f>
        <v/>
      </c>
      <c r="Q56" s="12">
        <f>IF($B56="§","",IFERROR(AVERAGEIFS(Estação!$AA$2:$AA$50000,Estação!$A$2:$A$50000,$B56,Estação!$AA$2:$AA$50000,"&gt;-50"),""))</f>
        <v/>
      </c>
      <c r="R56" s="12">
        <f>IF($B56="§","",IFERROR(AVERAGEIFS(Estação!$AB$2:$AB$50000,Estação!$A$2:$A$50000,$B56,Estação!$AB$2:$AB$50000,"&gt;-50"),""))</f>
        <v/>
      </c>
      <c r="S56" s="12">
        <f>IF($B56="§","",IFERROR(AVERAGEIFS(Estação!$Y$2:$Y$50000,Estação!$A$2:$A$50000,$B56,Estação!$Y$2:$Y$50000,"&gt;-50"),""))</f>
        <v/>
      </c>
      <c r="T56" s="12">
        <f>IF($B56="§","",IFERROR(AVERAGEIFS(Estação!$C$2:$C$50000,Estação!$A$2:$A$50000,$B56,Estação!$C$2:$C$50000,"&gt;-50"),""))</f>
        <v/>
      </c>
    </row>
    <row r="57">
      <c r="A57" s="12">
        <f>IF($C57="","",RIGHT("0"&amp;16,2)&amp;"/"&amp;RIGHT("0"&amp;MONTH($B$1),2))</f>
        <v/>
      </c>
      <c r="B57" s="12">
        <f>IF($C57="","§",YEAR($C57)&amp;"-"&amp;RIGHT("0"&amp;MONTH($C57),2)&amp;"-"&amp;RIGHT("0"&amp;DAY($C57),2)&amp;"*")</f>
        <v/>
      </c>
      <c r="C57" s="13">
        <f>IF(16&lt;=DAY(EOMONTH($B$1,0)),DATE(YEAR($B$1),MONTH($B$1),16),"")</f>
        <v/>
      </c>
      <c r="D57" s="12">
        <f>IF($B57="§","",IFERROR(AVERAGEIFS(Estação!$S$2:$S$50000,Estação!$A$2:$A$50000,$B57,Estação!$S$2:$S$50000,"&gt;-50"),""))</f>
        <v/>
      </c>
      <c r="E57" s="12">
        <f>IF($B57="§","",IFERROR(AVERAGEIFS(Estação!$T$2:$T$50000,Estação!$A$2:$A$50000,$B57,Estação!$T$2:$T$50000,"&gt;-50"),""))</f>
        <v/>
      </c>
      <c r="F57" s="12">
        <f>IF($B57="§","",IFERROR(AVERAGEIFS(Estação!$F$2:$F$50000,Estação!$A$2:$A$50000,$B57,Estação!$F$2:$F$50000,"&gt;-50"),""))</f>
        <v/>
      </c>
      <c r="G57" s="12">
        <f>IF($B57="§","",IFERROR(AVERAGEIFS(Estação!$G$2:$G$50000,Estação!$A$2:$A$50000,$B57,Estação!$G$2:$G$50000,"&gt;-50"),""))</f>
        <v/>
      </c>
      <c r="H57" s="12">
        <f>IF($B57="§","",IFERROR(AVERAGEIFS(Estação!$Z$2:$Z$50000,Estação!$A$2:$A$50000,$B57,Estação!$Z$2:$Z$50000,"&gt;-50"),""))</f>
        <v/>
      </c>
      <c r="I57" s="12">
        <f>IF($B57="§","",IFERROR(AVERAGEIFS(Estação!$E$2:$E$50000,Estação!$A$2:$A$50000,$B57,Estação!$E$2:$E$50000,"&gt;-50"),""))</f>
        <v/>
      </c>
      <c r="J57" s="12">
        <f>IF($B57="§","",IFERROR(AVERAGEIFS(Estação!$H$2:$H$50000,Estação!$A$2:$A$50000,$B57,Estação!$H$2:$H$50000,"&gt;-50"),""))</f>
        <v/>
      </c>
      <c r="K57" s="12">
        <f>IF($B57="§","",IFERROR(AVERAGEIFS(Estação!$L$2:$L$50000,Estação!$A$2:$A$50000,$B57,Estação!$L$2:$L$50000,"&gt;-50"),""))</f>
        <v/>
      </c>
      <c r="L57" s="12">
        <f>IF($B57="§","",IFERROR(AVERAGEIFS(Estação!$B$2:$B$50000,Estação!$A$2:$A$50000,$B57,Estação!$B$2:$B$50000,"&gt;-50"),""))</f>
        <v/>
      </c>
      <c r="M57" s="12">
        <f>IF($B57="§","",IFERROR(AVERAGEIFS(Estação!$M$2:$M$50000,Estação!$A$2:$A$50000,$B57,Estação!$M$2:$M$50000,"&gt;-50"),""))</f>
        <v/>
      </c>
      <c r="N57" s="12">
        <f>IF($B57="§","",SUMIFS(Estação!$O$2:$O$50000,Estação!$A$2:$A$50000,$B57))</f>
        <v/>
      </c>
      <c r="O57" s="12">
        <f>IF($B57="§","",SUMIFS(Estação!$P$2:$P$50000,Estação!$A$2:$A$50000,$B57))</f>
        <v/>
      </c>
      <c r="P57" s="12">
        <f>IF($B57="§","",SUMIFS(Estação!$Q$2:$Q$50000,Estação!$A$2:$A$50000,$B57))</f>
        <v/>
      </c>
      <c r="Q57" s="12">
        <f>IF($B57="§","",IFERROR(AVERAGEIFS(Estação!$AA$2:$AA$50000,Estação!$A$2:$A$50000,$B57,Estação!$AA$2:$AA$50000,"&gt;-50"),""))</f>
        <v/>
      </c>
      <c r="R57" s="12">
        <f>IF($B57="§","",IFERROR(AVERAGEIFS(Estação!$AB$2:$AB$50000,Estação!$A$2:$A$50000,$B57,Estação!$AB$2:$AB$50000,"&gt;-50"),""))</f>
        <v/>
      </c>
      <c r="S57" s="12">
        <f>IF($B57="§","",IFERROR(AVERAGEIFS(Estação!$Y$2:$Y$50000,Estação!$A$2:$A$50000,$B57,Estação!$Y$2:$Y$50000,"&gt;-50"),""))</f>
        <v/>
      </c>
      <c r="T57" s="12">
        <f>IF($B57="§","",IFERROR(AVERAGEIFS(Estação!$C$2:$C$50000,Estação!$A$2:$A$50000,$B57,Estação!$C$2:$C$50000,"&gt;-50"),""))</f>
        <v/>
      </c>
    </row>
    <row r="58">
      <c r="A58" s="12">
        <f>IF($C58="","",RIGHT("0"&amp;17,2)&amp;"/"&amp;RIGHT("0"&amp;MONTH($B$1),2))</f>
        <v/>
      </c>
      <c r="B58" s="12">
        <f>IF($C58="","§",YEAR($C58)&amp;"-"&amp;RIGHT("0"&amp;MONTH($C58),2)&amp;"-"&amp;RIGHT("0"&amp;DAY($C58),2)&amp;"*")</f>
        <v/>
      </c>
      <c r="C58" s="13">
        <f>IF(17&lt;=DAY(EOMONTH($B$1,0)),DATE(YEAR($B$1),MONTH($B$1),17),"")</f>
        <v/>
      </c>
      <c r="D58" s="12">
        <f>IF($B58="§","",IFERROR(AVERAGEIFS(Estação!$S$2:$S$50000,Estação!$A$2:$A$50000,$B58,Estação!$S$2:$S$50000,"&gt;-50"),""))</f>
        <v/>
      </c>
      <c r="E58" s="12">
        <f>IF($B58="§","",IFERROR(AVERAGEIFS(Estação!$T$2:$T$50000,Estação!$A$2:$A$50000,$B58,Estação!$T$2:$T$50000,"&gt;-50"),""))</f>
        <v/>
      </c>
      <c r="F58" s="12">
        <f>IF($B58="§","",IFERROR(AVERAGEIFS(Estação!$F$2:$F$50000,Estação!$A$2:$A$50000,$B58,Estação!$F$2:$F$50000,"&gt;-50"),""))</f>
        <v/>
      </c>
      <c r="G58" s="12">
        <f>IF($B58="§","",IFERROR(AVERAGEIFS(Estação!$G$2:$G$50000,Estação!$A$2:$A$50000,$B58,Estação!$G$2:$G$50000,"&gt;-50"),""))</f>
        <v/>
      </c>
      <c r="H58" s="12">
        <f>IF($B58="§","",IFERROR(AVERAGEIFS(Estação!$Z$2:$Z$50000,Estação!$A$2:$A$50000,$B58,Estação!$Z$2:$Z$50000,"&gt;-50"),""))</f>
        <v/>
      </c>
      <c r="I58" s="12">
        <f>IF($B58="§","",IFERROR(AVERAGEIFS(Estação!$E$2:$E$50000,Estação!$A$2:$A$50000,$B58,Estação!$E$2:$E$50000,"&gt;-50"),""))</f>
        <v/>
      </c>
      <c r="J58" s="12">
        <f>IF($B58="§","",IFERROR(AVERAGEIFS(Estação!$H$2:$H$50000,Estação!$A$2:$A$50000,$B58,Estação!$H$2:$H$50000,"&gt;-50"),""))</f>
        <v/>
      </c>
      <c r="K58" s="12">
        <f>IF($B58="§","",IFERROR(AVERAGEIFS(Estação!$L$2:$L$50000,Estação!$A$2:$A$50000,$B58,Estação!$L$2:$L$50000,"&gt;-50"),""))</f>
        <v/>
      </c>
      <c r="L58" s="12">
        <f>IF($B58="§","",IFERROR(AVERAGEIFS(Estação!$B$2:$B$50000,Estação!$A$2:$A$50000,$B58,Estação!$B$2:$B$50000,"&gt;-50"),""))</f>
        <v/>
      </c>
      <c r="M58" s="12">
        <f>IF($B58="§","",IFERROR(AVERAGEIFS(Estação!$M$2:$M$50000,Estação!$A$2:$A$50000,$B58,Estação!$M$2:$M$50000,"&gt;-50"),""))</f>
        <v/>
      </c>
      <c r="N58" s="12">
        <f>IF($B58="§","",SUMIFS(Estação!$O$2:$O$50000,Estação!$A$2:$A$50000,$B58))</f>
        <v/>
      </c>
      <c r="O58" s="12">
        <f>IF($B58="§","",SUMIFS(Estação!$P$2:$P$50000,Estação!$A$2:$A$50000,$B58))</f>
        <v/>
      </c>
      <c r="P58" s="12">
        <f>IF($B58="§","",SUMIFS(Estação!$Q$2:$Q$50000,Estação!$A$2:$A$50000,$B58))</f>
        <v/>
      </c>
      <c r="Q58" s="12">
        <f>IF($B58="§","",IFERROR(AVERAGEIFS(Estação!$AA$2:$AA$50000,Estação!$A$2:$A$50000,$B58,Estação!$AA$2:$AA$50000,"&gt;-50"),""))</f>
        <v/>
      </c>
      <c r="R58" s="12">
        <f>IF($B58="§","",IFERROR(AVERAGEIFS(Estação!$AB$2:$AB$50000,Estação!$A$2:$A$50000,$B58,Estação!$AB$2:$AB$50000,"&gt;-50"),""))</f>
        <v/>
      </c>
      <c r="S58" s="12">
        <f>IF($B58="§","",IFERROR(AVERAGEIFS(Estação!$Y$2:$Y$50000,Estação!$A$2:$A$50000,$B58,Estação!$Y$2:$Y$50000,"&gt;-50"),""))</f>
        <v/>
      </c>
      <c r="T58" s="12">
        <f>IF($B58="§","",IFERROR(AVERAGEIFS(Estação!$C$2:$C$50000,Estação!$A$2:$A$50000,$B58,Estação!$C$2:$C$50000,"&gt;-50"),""))</f>
        <v/>
      </c>
    </row>
    <row r="59">
      <c r="A59" s="12">
        <f>IF($C59="","",RIGHT("0"&amp;18,2)&amp;"/"&amp;RIGHT("0"&amp;MONTH($B$1),2))</f>
        <v/>
      </c>
      <c r="B59" s="12">
        <f>IF($C59="","§",YEAR($C59)&amp;"-"&amp;RIGHT("0"&amp;MONTH($C59),2)&amp;"-"&amp;RIGHT("0"&amp;DAY($C59),2)&amp;"*")</f>
        <v/>
      </c>
      <c r="C59" s="13">
        <f>IF(18&lt;=DAY(EOMONTH($B$1,0)),DATE(YEAR($B$1),MONTH($B$1),18),"")</f>
        <v/>
      </c>
      <c r="D59" s="12">
        <f>IF($B59="§","",IFERROR(AVERAGEIFS(Estação!$S$2:$S$50000,Estação!$A$2:$A$50000,$B59,Estação!$S$2:$S$50000,"&gt;-50"),""))</f>
        <v/>
      </c>
      <c r="E59" s="12">
        <f>IF($B59="§","",IFERROR(AVERAGEIFS(Estação!$T$2:$T$50000,Estação!$A$2:$A$50000,$B59,Estação!$T$2:$T$50000,"&gt;-50"),""))</f>
        <v/>
      </c>
      <c r="F59" s="12">
        <f>IF($B59="§","",IFERROR(AVERAGEIFS(Estação!$F$2:$F$50000,Estação!$A$2:$A$50000,$B59,Estação!$F$2:$F$50000,"&gt;-50"),""))</f>
        <v/>
      </c>
      <c r="G59" s="12">
        <f>IF($B59="§","",IFERROR(AVERAGEIFS(Estação!$G$2:$G$50000,Estação!$A$2:$A$50000,$B59,Estação!$G$2:$G$50000,"&gt;-50"),""))</f>
        <v/>
      </c>
      <c r="H59" s="12">
        <f>IF($B59="§","",IFERROR(AVERAGEIFS(Estação!$Z$2:$Z$50000,Estação!$A$2:$A$50000,$B59,Estação!$Z$2:$Z$50000,"&gt;-50"),""))</f>
        <v/>
      </c>
      <c r="I59" s="12">
        <f>IF($B59="§","",IFERROR(AVERAGEIFS(Estação!$E$2:$E$50000,Estação!$A$2:$A$50000,$B59,Estação!$E$2:$E$50000,"&gt;-50"),""))</f>
        <v/>
      </c>
      <c r="J59" s="12">
        <f>IF($B59="§","",IFERROR(AVERAGEIFS(Estação!$H$2:$H$50000,Estação!$A$2:$A$50000,$B59,Estação!$H$2:$H$50000,"&gt;-50"),""))</f>
        <v/>
      </c>
      <c r="K59" s="12">
        <f>IF($B59="§","",IFERROR(AVERAGEIFS(Estação!$L$2:$L$50000,Estação!$A$2:$A$50000,$B59,Estação!$L$2:$L$50000,"&gt;-50"),""))</f>
        <v/>
      </c>
      <c r="L59" s="12">
        <f>IF($B59="§","",IFERROR(AVERAGEIFS(Estação!$B$2:$B$50000,Estação!$A$2:$A$50000,$B59,Estação!$B$2:$B$50000,"&gt;-50"),""))</f>
        <v/>
      </c>
      <c r="M59" s="12">
        <f>IF($B59="§","",IFERROR(AVERAGEIFS(Estação!$M$2:$M$50000,Estação!$A$2:$A$50000,$B59,Estação!$M$2:$M$50000,"&gt;-50"),""))</f>
        <v/>
      </c>
      <c r="N59" s="12">
        <f>IF($B59="§","",SUMIFS(Estação!$O$2:$O$50000,Estação!$A$2:$A$50000,$B59))</f>
        <v/>
      </c>
      <c r="O59" s="12">
        <f>IF($B59="§","",SUMIFS(Estação!$P$2:$P$50000,Estação!$A$2:$A$50000,$B59))</f>
        <v/>
      </c>
      <c r="P59" s="12">
        <f>IF($B59="§","",SUMIFS(Estação!$Q$2:$Q$50000,Estação!$A$2:$A$50000,$B59))</f>
        <v/>
      </c>
      <c r="Q59" s="12">
        <f>IF($B59="§","",IFERROR(AVERAGEIFS(Estação!$AA$2:$AA$50000,Estação!$A$2:$A$50000,$B59,Estação!$AA$2:$AA$50000,"&gt;-50"),""))</f>
        <v/>
      </c>
      <c r="R59" s="12">
        <f>IF($B59="§","",IFERROR(AVERAGEIFS(Estação!$AB$2:$AB$50000,Estação!$A$2:$A$50000,$B59,Estação!$AB$2:$AB$50000,"&gt;-50"),""))</f>
        <v/>
      </c>
      <c r="S59" s="12">
        <f>IF($B59="§","",IFERROR(AVERAGEIFS(Estação!$Y$2:$Y$50000,Estação!$A$2:$A$50000,$B59,Estação!$Y$2:$Y$50000,"&gt;-50"),""))</f>
        <v/>
      </c>
      <c r="T59" s="12">
        <f>IF($B59="§","",IFERROR(AVERAGEIFS(Estação!$C$2:$C$50000,Estação!$A$2:$A$50000,$B59,Estação!$C$2:$C$50000,"&gt;-50"),""))</f>
        <v/>
      </c>
    </row>
    <row r="60">
      <c r="A60" s="12">
        <f>IF($C60="","",RIGHT("0"&amp;19,2)&amp;"/"&amp;RIGHT("0"&amp;MONTH($B$1),2))</f>
        <v/>
      </c>
      <c r="B60" s="12">
        <f>IF($C60="","§",YEAR($C60)&amp;"-"&amp;RIGHT("0"&amp;MONTH($C60),2)&amp;"-"&amp;RIGHT("0"&amp;DAY($C60),2)&amp;"*")</f>
        <v/>
      </c>
      <c r="C60" s="13">
        <f>IF(19&lt;=DAY(EOMONTH($B$1,0)),DATE(YEAR($B$1),MONTH($B$1),19),"")</f>
        <v/>
      </c>
      <c r="D60" s="12">
        <f>IF($B60="§","",IFERROR(AVERAGEIFS(Estação!$S$2:$S$50000,Estação!$A$2:$A$50000,$B60,Estação!$S$2:$S$50000,"&gt;-50"),""))</f>
        <v/>
      </c>
      <c r="E60" s="12">
        <f>IF($B60="§","",IFERROR(AVERAGEIFS(Estação!$T$2:$T$50000,Estação!$A$2:$A$50000,$B60,Estação!$T$2:$T$50000,"&gt;-50"),""))</f>
        <v/>
      </c>
      <c r="F60" s="12">
        <f>IF($B60="§","",IFERROR(AVERAGEIFS(Estação!$F$2:$F$50000,Estação!$A$2:$A$50000,$B60,Estação!$F$2:$F$50000,"&gt;-50"),""))</f>
        <v/>
      </c>
      <c r="G60" s="12">
        <f>IF($B60="§","",IFERROR(AVERAGEIFS(Estação!$G$2:$G$50000,Estação!$A$2:$A$50000,$B60,Estação!$G$2:$G$50000,"&gt;-50"),""))</f>
        <v/>
      </c>
      <c r="H60" s="12">
        <f>IF($B60="§","",IFERROR(AVERAGEIFS(Estação!$Z$2:$Z$50000,Estação!$A$2:$A$50000,$B60,Estação!$Z$2:$Z$50000,"&gt;-50"),""))</f>
        <v/>
      </c>
      <c r="I60" s="12">
        <f>IF($B60="§","",IFERROR(AVERAGEIFS(Estação!$E$2:$E$50000,Estação!$A$2:$A$50000,$B60,Estação!$E$2:$E$50000,"&gt;-50"),""))</f>
        <v/>
      </c>
      <c r="J60" s="12">
        <f>IF($B60="§","",IFERROR(AVERAGEIFS(Estação!$H$2:$H$50000,Estação!$A$2:$A$50000,$B60,Estação!$H$2:$H$50000,"&gt;-50"),""))</f>
        <v/>
      </c>
      <c r="K60" s="12">
        <f>IF($B60="§","",IFERROR(AVERAGEIFS(Estação!$L$2:$L$50000,Estação!$A$2:$A$50000,$B60,Estação!$L$2:$L$50000,"&gt;-50"),""))</f>
        <v/>
      </c>
      <c r="L60" s="12">
        <f>IF($B60="§","",IFERROR(AVERAGEIFS(Estação!$B$2:$B$50000,Estação!$A$2:$A$50000,$B60,Estação!$B$2:$B$50000,"&gt;-50"),""))</f>
        <v/>
      </c>
      <c r="M60" s="12">
        <f>IF($B60="§","",IFERROR(AVERAGEIFS(Estação!$M$2:$M$50000,Estação!$A$2:$A$50000,$B60,Estação!$M$2:$M$50000,"&gt;-50"),""))</f>
        <v/>
      </c>
      <c r="N60" s="12">
        <f>IF($B60="§","",SUMIFS(Estação!$O$2:$O$50000,Estação!$A$2:$A$50000,$B60))</f>
        <v/>
      </c>
      <c r="O60" s="12">
        <f>IF($B60="§","",SUMIFS(Estação!$P$2:$P$50000,Estação!$A$2:$A$50000,$B60))</f>
        <v/>
      </c>
      <c r="P60" s="12">
        <f>IF($B60="§","",SUMIFS(Estação!$Q$2:$Q$50000,Estação!$A$2:$A$50000,$B60))</f>
        <v/>
      </c>
      <c r="Q60" s="12">
        <f>IF($B60="§","",IFERROR(AVERAGEIFS(Estação!$AA$2:$AA$50000,Estação!$A$2:$A$50000,$B60,Estação!$AA$2:$AA$50000,"&gt;-50"),""))</f>
        <v/>
      </c>
      <c r="R60" s="12">
        <f>IF($B60="§","",IFERROR(AVERAGEIFS(Estação!$AB$2:$AB$50000,Estação!$A$2:$A$50000,$B60,Estação!$AB$2:$AB$50000,"&gt;-50"),""))</f>
        <v/>
      </c>
      <c r="S60" s="12">
        <f>IF($B60="§","",IFERROR(AVERAGEIFS(Estação!$Y$2:$Y$50000,Estação!$A$2:$A$50000,$B60,Estação!$Y$2:$Y$50000,"&gt;-50"),""))</f>
        <v/>
      </c>
      <c r="T60" s="12">
        <f>IF($B60="§","",IFERROR(AVERAGEIFS(Estação!$C$2:$C$50000,Estação!$A$2:$A$50000,$B60,Estação!$C$2:$C$50000,"&gt;-50"),""))</f>
        <v/>
      </c>
    </row>
    <row r="61">
      <c r="A61" s="12">
        <f>IF($C61="","",RIGHT("0"&amp;20,2)&amp;"/"&amp;RIGHT("0"&amp;MONTH($B$1),2))</f>
        <v/>
      </c>
      <c r="B61" s="12">
        <f>IF($C61="","§",YEAR($C61)&amp;"-"&amp;RIGHT("0"&amp;MONTH($C61),2)&amp;"-"&amp;RIGHT("0"&amp;DAY($C61),2)&amp;"*")</f>
        <v/>
      </c>
      <c r="C61" s="13">
        <f>IF(20&lt;=DAY(EOMONTH($B$1,0)),DATE(YEAR($B$1),MONTH($B$1),20),"")</f>
        <v/>
      </c>
      <c r="D61" s="12">
        <f>IF($B61="§","",IFERROR(AVERAGEIFS(Estação!$S$2:$S$50000,Estação!$A$2:$A$50000,$B61,Estação!$S$2:$S$50000,"&gt;-50"),""))</f>
        <v/>
      </c>
      <c r="E61" s="12">
        <f>IF($B61="§","",IFERROR(AVERAGEIFS(Estação!$T$2:$T$50000,Estação!$A$2:$A$50000,$B61,Estação!$T$2:$T$50000,"&gt;-50"),""))</f>
        <v/>
      </c>
      <c r="F61" s="12">
        <f>IF($B61="§","",IFERROR(AVERAGEIFS(Estação!$F$2:$F$50000,Estação!$A$2:$A$50000,$B61,Estação!$F$2:$F$50000,"&gt;-50"),""))</f>
        <v/>
      </c>
      <c r="G61" s="12">
        <f>IF($B61="§","",IFERROR(AVERAGEIFS(Estação!$G$2:$G$50000,Estação!$A$2:$A$50000,$B61,Estação!$G$2:$G$50000,"&gt;-50"),""))</f>
        <v/>
      </c>
      <c r="H61" s="12">
        <f>IF($B61="§","",IFERROR(AVERAGEIFS(Estação!$Z$2:$Z$50000,Estação!$A$2:$A$50000,$B61,Estação!$Z$2:$Z$50000,"&gt;-50"),""))</f>
        <v/>
      </c>
      <c r="I61" s="12">
        <f>IF($B61="§","",IFERROR(AVERAGEIFS(Estação!$E$2:$E$50000,Estação!$A$2:$A$50000,$B61,Estação!$E$2:$E$50000,"&gt;-50"),""))</f>
        <v/>
      </c>
      <c r="J61" s="12">
        <f>IF($B61="§","",IFERROR(AVERAGEIFS(Estação!$H$2:$H$50000,Estação!$A$2:$A$50000,$B61,Estação!$H$2:$H$50000,"&gt;-50"),""))</f>
        <v/>
      </c>
      <c r="K61" s="12">
        <f>IF($B61="§","",IFERROR(AVERAGEIFS(Estação!$L$2:$L$50000,Estação!$A$2:$A$50000,$B61,Estação!$L$2:$L$50000,"&gt;-50"),""))</f>
        <v/>
      </c>
      <c r="L61" s="12">
        <f>IF($B61="§","",IFERROR(AVERAGEIFS(Estação!$B$2:$B$50000,Estação!$A$2:$A$50000,$B61,Estação!$B$2:$B$50000,"&gt;-50"),""))</f>
        <v/>
      </c>
      <c r="M61" s="12">
        <f>IF($B61="§","",IFERROR(AVERAGEIFS(Estação!$M$2:$M$50000,Estação!$A$2:$A$50000,$B61,Estação!$M$2:$M$50000,"&gt;-50"),""))</f>
        <v/>
      </c>
      <c r="N61" s="12">
        <f>IF($B61="§","",SUMIFS(Estação!$O$2:$O$50000,Estação!$A$2:$A$50000,$B61))</f>
        <v/>
      </c>
      <c r="O61" s="12">
        <f>IF($B61="§","",SUMIFS(Estação!$P$2:$P$50000,Estação!$A$2:$A$50000,$B61))</f>
        <v/>
      </c>
      <c r="P61" s="12">
        <f>IF($B61="§","",SUMIFS(Estação!$Q$2:$Q$50000,Estação!$A$2:$A$50000,$B61))</f>
        <v/>
      </c>
      <c r="Q61" s="12">
        <f>IF($B61="§","",IFERROR(AVERAGEIFS(Estação!$AA$2:$AA$50000,Estação!$A$2:$A$50000,$B61,Estação!$AA$2:$AA$50000,"&gt;-50"),""))</f>
        <v/>
      </c>
      <c r="R61" s="12">
        <f>IF($B61="§","",IFERROR(AVERAGEIFS(Estação!$AB$2:$AB$50000,Estação!$A$2:$A$50000,$B61,Estação!$AB$2:$AB$50000,"&gt;-50"),""))</f>
        <v/>
      </c>
      <c r="S61" s="12">
        <f>IF($B61="§","",IFERROR(AVERAGEIFS(Estação!$Y$2:$Y$50000,Estação!$A$2:$A$50000,$B61,Estação!$Y$2:$Y$50000,"&gt;-50"),""))</f>
        <v/>
      </c>
      <c r="T61" s="12">
        <f>IF($B61="§","",IFERROR(AVERAGEIFS(Estação!$C$2:$C$50000,Estação!$A$2:$A$50000,$B61,Estação!$C$2:$C$50000,"&gt;-50"),""))</f>
        <v/>
      </c>
    </row>
    <row r="62">
      <c r="A62" s="12">
        <f>IF($C62="","",RIGHT("0"&amp;21,2)&amp;"/"&amp;RIGHT("0"&amp;MONTH($B$1),2))</f>
        <v/>
      </c>
      <c r="B62" s="12">
        <f>IF($C62="","§",YEAR($C62)&amp;"-"&amp;RIGHT("0"&amp;MONTH($C62),2)&amp;"-"&amp;RIGHT("0"&amp;DAY($C62),2)&amp;"*")</f>
        <v/>
      </c>
      <c r="C62" s="13">
        <f>IF(21&lt;=DAY(EOMONTH($B$1,0)),DATE(YEAR($B$1),MONTH($B$1),21),"")</f>
        <v/>
      </c>
      <c r="D62" s="12">
        <f>IF($B62="§","",IFERROR(AVERAGEIFS(Estação!$S$2:$S$50000,Estação!$A$2:$A$50000,$B62,Estação!$S$2:$S$50000,"&gt;-50"),""))</f>
        <v/>
      </c>
      <c r="E62" s="12">
        <f>IF($B62="§","",IFERROR(AVERAGEIFS(Estação!$T$2:$T$50000,Estação!$A$2:$A$50000,$B62,Estação!$T$2:$T$50000,"&gt;-50"),""))</f>
        <v/>
      </c>
      <c r="F62" s="12">
        <f>IF($B62="§","",IFERROR(AVERAGEIFS(Estação!$F$2:$F$50000,Estação!$A$2:$A$50000,$B62,Estação!$F$2:$F$50000,"&gt;-50"),""))</f>
        <v/>
      </c>
      <c r="G62" s="12">
        <f>IF($B62="§","",IFERROR(AVERAGEIFS(Estação!$G$2:$G$50000,Estação!$A$2:$A$50000,$B62,Estação!$G$2:$G$50000,"&gt;-50"),""))</f>
        <v/>
      </c>
      <c r="H62" s="12">
        <f>IF($B62="§","",IFERROR(AVERAGEIFS(Estação!$Z$2:$Z$50000,Estação!$A$2:$A$50000,$B62,Estação!$Z$2:$Z$50000,"&gt;-50"),""))</f>
        <v/>
      </c>
      <c r="I62" s="12">
        <f>IF($B62="§","",IFERROR(AVERAGEIFS(Estação!$E$2:$E$50000,Estação!$A$2:$A$50000,$B62,Estação!$E$2:$E$50000,"&gt;-50"),""))</f>
        <v/>
      </c>
      <c r="J62" s="12">
        <f>IF($B62="§","",IFERROR(AVERAGEIFS(Estação!$H$2:$H$50000,Estação!$A$2:$A$50000,$B62,Estação!$H$2:$H$50000,"&gt;-50"),""))</f>
        <v/>
      </c>
      <c r="K62" s="12">
        <f>IF($B62="§","",IFERROR(AVERAGEIFS(Estação!$L$2:$L$50000,Estação!$A$2:$A$50000,$B62,Estação!$L$2:$L$50000,"&gt;-50"),""))</f>
        <v/>
      </c>
      <c r="L62" s="12">
        <f>IF($B62="§","",IFERROR(AVERAGEIFS(Estação!$B$2:$B$50000,Estação!$A$2:$A$50000,$B62,Estação!$B$2:$B$50000,"&gt;-50"),""))</f>
        <v/>
      </c>
      <c r="M62" s="12">
        <f>IF($B62="§","",IFERROR(AVERAGEIFS(Estação!$M$2:$M$50000,Estação!$A$2:$A$50000,$B62,Estação!$M$2:$M$50000,"&gt;-50"),""))</f>
        <v/>
      </c>
      <c r="N62" s="12">
        <f>IF($B62="§","",SUMIFS(Estação!$O$2:$O$50000,Estação!$A$2:$A$50000,$B62))</f>
        <v/>
      </c>
      <c r="O62" s="12">
        <f>IF($B62="§","",SUMIFS(Estação!$P$2:$P$50000,Estação!$A$2:$A$50000,$B62))</f>
        <v/>
      </c>
      <c r="P62" s="12">
        <f>IF($B62="§","",SUMIFS(Estação!$Q$2:$Q$50000,Estação!$A$2:$A$50000,$B62))</f>
        <v/>
      </c>
      <c r="Q62" s="12">
        <f>IF($B62="§","",IFERROR(AVERAGEIFS(Estação!$AA$2:$AA$50000,Estação!$A$2:$A$50000,$B62,Estação!$AA$2:$AA$50000,"&gt;-50"),""))</f>
        <v/>
      </c>
      <c r="R62" s="12">
        <f>IF($B62="§","",IFERROR(AVERAGEIFS(Estação!$AB$2:$AB$50000,Estação!$A$2:$A$50000,$B62,Estação!$AB$2:$AB$50000,"&gt;-50"),""))</f>
        <v/>
      </c>
      <c r="S62" s="12">
        <f>IF($B62="§","",IFERROR(AVERAGEIFS(Estação!$Y$2:$Y$50000,Estação!$A$2:$A$50000,$B62,Estação!$Y$2:$Y$50000,"&gt;-50"),""))</f>
        <v/>
      </c>
      <c r="T62" s="12">
        <f>IF($B62="§","",IFERROR(AVERAGEIFS(Estação!$C$2:$C$50000,Estação!$A$2:$A$50000,$B62,Estação!$C$2:$C$50000,"&gt;-50"),""))</f>
        <v/>
      </c>
    </row>
    <row r="63">
      <c r="A63" s="12">
        <f>IF($C63="","",RIGHT("0"&amp;22,2)&amp;"/"&amp;RIGHT("0"&amp;MONTH($B$1),2))</f>
        <v/>
      </c>
      <c r="B63" s="12">
        <f>IF($C63="","§",YEAR($C63)&amp;"-"&amp;RIGHT("0"&amp;MONTH($C63),2)&amp;"-"&amp;RIGHT("0"&amp;DAY($C63),2)&amp;"*")</f>
        <v/>
      </c>
      <c r="C63" s="13">
        <f>IF(22&lt;=DAY(EOMONTH($B$1,0)),DATE(YEAR($B$1),MONTH($B$1),22),"")</f>
        <v/>
      </c>
      <c r="D63" s="12">
        <f>IF($B63="§","",IFERROR(AVERAGEIFS(Estação!$S$2:$S$50000,Estação!$A$2:$A$50000,$B63,Estação!$S$2:$S$50000,"&gt;-50"),""))</f>
        <v/>
      </c>
      <c r="E63" s="12">
        <f>IF($B63="§","",IFERROR(AVERAGEIFS(Estação!$T$2:$T$50000,Estação!$A$2:$A$50000,$B63,Estação!$T$2:$T$50000,"&gt;-50"),""))</f>
        <v/>
      </c>
      <c r="F63" s="12">
        <f>IF($B63="§","",IFERROR(AVERAGEIFS(Estação!$F$2:$F$50000,Estação!$A$2:$A$50000,$B63,Estação!$F$2:$F$50000,"&gt;-50"),""))</f>
        <v/>
      </c>
      <c r="G63" s="12">
        <f>IF($B63="§","",IFERROR(AVERAGEIFS(Estação!$G$2:$G$50000,Estação!$A$2:$A$50000,$B63,Estação!$G$2:$G$50000,"&gt;-50"),""))</f>
        <v/>
      </c>
      <c r="H63" s="12">
        <f>IF($B63="§","",IFERROR(AVERAGEIFS(Estação!$Z$2:$Z$50000,Estação!$A$2:$A$50000,$B63,Estação!$Z$2:$Z$50000,"&gt;-50"),""))</f>
        <v/>
      </c>
      <c r="I63" s="12">
        <f>IF($B63="§","",IFERROR(AVERAGEIFS(Estação!$E$2:$E$50000,Estação!$A$2:$A$50000,$B63,Estação!$E$2:$E$50000,"&gt;-50"),""))</f>
        <v/>
      </c>
      <c r="J63" s="12">
        <f>IF($B63="§","",IFERROR(AVERAGEIFS(Estação!$H$2:$H$50000,Estação!$A$2:$A$50000,$B63,Estação!$H$2:$H$50000,"&gt;-50"),""))</f>
        <v/>
      </c>
      <c r="K63" s="12">
        <f>IF($B63="§","",IFERROR(AVERAGEIFS(Estação!$L$2:$L$50000,Estação!$A$2:$A$50000,$B63,Estação!$L$2:$L$50000,"&gt;-50"),""))</f>
        <v/>
      </c>
      <c r="L63" s="12">
        <f>IF($B63="§","",IFERROR(AVERAGEIFS(Estação!$B$2:$B$50000,Estação!$A$2:$A$50000,$B63,Estação!$B$2:$B$50000,"&gt;-50"),""))</f>
        <v/>
      </c>
      <c r="M63" s="12">
        <f>IF($B63="§","",IFERROR(AVERAGEIFS(Estação!$M$2:$M$50000,Estação!$A$2:$A$50000,$B63,Estação!$M$2:$M$50000,"&gt;-50"),""))</f>
        <v/>
      </c>
      <c r="N63" s="12">
        <f>IF($B63="§","",SUMIFS(Estação!$O$2:$O$50000,Estação!$A$2:$A$50000,$B63))</f>
        <v/>
      </c>
      <c r="O63" s="12">
        <f>IF($B63="§","",SUMIFS(Estação!$P$2:$P$50000,Estação!$A$2:$A$50000,$B63))</f>
        <v/>
      </c>
      <c r="P63" s="12">
        <f>IF($B63="§","",SUMIFS(Estação!$Q$2:$Q$50000,Estação!$A$2:$A$50000,$B63))</f>
        <v/>
      </c>
      <c r="Q63" s="12">
        <f>IF($B63="§","",IFERROR(AVERAGEIFS(Estação!$AA$2:$AA$50000,Estação!$A$2:$A$50000,$B63,Estação!$AA$2:$AA$50000,"&gt;-50"),""))</f>
        <v/>
      </c>
      <c r="R63" s="12">
        <f>IF($B63="§","",IFERROR(AVERAGEIFS(Estação!$AB$2:$AB$50000,Estação!$A$2:$A$50000,$B63,Estação!$AB$2:$AB$50000,"&gt;-50"),""))</f>
        <v/>
      </c>
      <c r="S63" s="12">
        <f>IF($B63="§","",IFERROR(AVERAGEIFS(Estação!$Y$2:$Y$50000,Estação!$A$2:$A$50000,$B63,Estação!$Y$2:$Y$50000,"&gt;-50"),""))</f>
        <v/>
      </c>
      <c r="T63" s="12">
        <f>IF($B63="§","",IFERROR(AVERAGEIFS(Estação!$C$2:$C$50000,Estação!$A$2:$A$50000,$B63,Estação!$C$2:$C$50000,"&gt;-50"),""))</f>
        <v/>
      </c>
    </row>
    <row r="64">
      <c r="A64" s="12">
        <f>IF($C64="","",RIGHT("0"&amp;23,2)&amp;"/"&amp;RIGHT("0"&amp;MONTH($B$1),2))</f>
        <v/>
      </c>
      <c r="B64" s="12">
        <f>IF($C64="","§",YEAR($C64)&amp;"-"&amp;RIGHT("0"&amp;MONTH($C64),2)&amp;"-"&amp;RIGHT("0"&amp;DAY($C64),2)&amp;"*")</f>
        <v/>
      </c>
      <c r="C64" s="13">
        <f>IF(23&lt;=DAY(EOMONTH($B$1,0)),DATE(YEAR($B$1),MONTH($B$1),23),"")</f>
        <v/>
      </c>
      <c r="D64" s="12">
        <f>IF($B64="§","",IFERROR(AVERAGEIFS(Estação!$S$2:$S$50000,Estação!$A$2:$A$50000,$B64,Estação!$S$2:$S$50000,"&gt;-50"),""))</f>
        <v/>
      </c>
      <c r="E64" s="12">
        <f>IF($B64="§","",IFERROR(AVERAGEIFS(Estação!$T$2:$T$50000,Estação!$A$2:$A$50000,$B64,Estação!$T$2:$T$50000,"&gt;-50"),""))</f>
        <v/>
      </c>
      <c r="F64" s="12">
        <f>IF($B64="§","",IFERROR(AVERAGEIFS(Estação!$F$2:$F$50000,Estação!$A$2:$A$50000,$B64,Estação!$F$2:$F$50000,"&gt;-50"),""))</f>
        <v/>
      </c>
      <c r="G64" s="12">
        <f>IF($B64="§","",IFERROR(AVERAGEIFS(Estação!$G$2:$G$50000,Estação!$A$2:$A$50000,$B64,Estação!$G$2:$G$50000,"&gt;-50"),""))</f>
        <v/>
      </c>
      <c r="H64" s="12">
        <f>IF($B64="§","",IFERROR(AVERAGEIFS(Estação!$Z$2:$Z$50000,Estação!$A$2:$A$50000,$B64,Estação!$Z$2:$Z$50000,"&gt;-50"),""))</f>
        <v/>
      </c>
      <c r="I64" s="12">
        <f>IF($B64="§","",IFERROR(AVERAGEIFS(Estação!$E$2:$E$50000,Estação!$A$2:$A$50000,$B64,Estação!$E$2:$E$50000,"&gt;-50"),""))</f>
        <v/>
      </c>
      <c r="J64" s="12">
        <f>IF($B64="§","",IFERROR(AVERAGEIFS(Estação!$H$2:$H$50000,Estação!$A$2:$A$50000,$B64,Estação!$H$2:$H$50000,"&gt;-50"),""))</f>
        <v/>
      </c>
      <c r="K64" s="12">
        <f>IF($B64="§","",IFERROR(AVERAGEIFS(Estação!$L$2:$L$50000,Estação!$A$2:$A$50000,$B64,Estação!$L$2:$L$50000,"&gt;-50"),""))</f>
        <v/>
      </c>
      <c r="L64" s="12">
        <f>IF($B64="§","",IFERROR(AVERAGEIFS(Estação!$B$2:$B$50000,Estação!$A$2:$A$50000,$B64,Estação!$B$2:$B$50000,"&gt;-50"),""))</f>
        <v/>
      </c>
      <c r="M64" s="12">
        <f>IF($B64="§","",IFERROR(AVERAGEIFS(Estação!$M$2:$M$50000,Estação!$A$2:$A$50000,$B64,Estação!$M$2:$M$50000,"&gt;-50"),""))</f>
        <v/>
      </c>
      <c r="N64" s="12">
        <f>IF($B64="§","",SUMIFS(Estação!$O$2:$O$50000,Estação!$A$2:$A$50000,$B64))</f>
        <v/>
      </c>
      <c r="O64" s="12">
        <f>IF($B64="§","",SUMIFS(Estação!$P$2:$P$50000,Estação!$A$2:$A$50000,$B64))</f>
        <v/>
      </c>
      <c r="P64" s="12">
        <f>IF($B64="§","",SUMIFS(Estação!$Q$2:$Q$50000,Estação!$A$2:$A$50000,$B64))</f>
        <v/>
      </c>
      <c r="Q64" s="12">
        <f>IF($B64="§","",IFERROR(AVERAGEIFS(Estação!$AA$2:$AA$50000,Estação!$A$2:$A$50000,$B64,Estação!$AA$2:$AA$50000,"&gt;-50"),""))</f>
        <v/>
      </c>
      <c r="R64" s="12">
        <f>IF($B64="§","",IFERROR(AVERAGEIFS(Estação!$AB$2:$AB$50000,Estação!$A$2:$A$50000,$B64,Estação!$AB$2:$AB$50000,"&gt;-50"),""))</f>
        <v/>
      </c>
      <c r="S64" s="12">
        <f>IF($B64="§","",IFERROR(AVERAGEIFS(Estação!$Y$2:$Y$50000,Estação!$A$2:$A$50000,$B64,Estação!$Y$2:$Y$50000,"&gt;-50"),""))</f>
        <v/>
      </c>
      <c r="T64" s="12">
        <f>IF($B64="§","",IFERROR(AVERAGEIFS(Estação!$C$2:$C$50000,Estação!$A$2:$A$50000,$B64,Estação!$C$2:$C$50000,"&gt;-50"),""))</f>
        <v/>
      </c>
    </row>
    <row r="65">
      <c r="A65" s="12">
        <f>IF($C65="","",RIGHT("0"&amp;24,2)&amp;"/"&amp;RIGHT("0"&amp;MONTH($B$1),2))</f>
        <v/>
      </c>
      <c r="B65" s="12">
        <f>IF($C65="","§",YEAR($C65)&amp;"-"&amp;RIGHT("0"&amp;MONTH($C65),2)&amp;"-"&amp;RIGHT("0"&amp;DAY($C65),2)&amp;"*")</f>
        <v/>
      </c>
      <c r="C65" s="13">
        <f>IF(24&lt;=DAY(EOMONTH($B$1,0)),DATE(YEAR($B$1),MONTH($B$1),24),"")</f>
        <v/>
      </c>
      <c r="D65" s="12">
        <f>IF($B65="§","",IFERROR(AVERAGEIFS(Estação!$S$2:$S$50000,Estação!$A$2:$A$50000,$B65,Estação!$S$2:$S$50000,"&gt;-50"),""))</f>
        <v/>
      </c>
      <c r="E65" s="12">
        <f>IF($B65="§","",IFERROR(AVERAGEIFS(Estação!$T$2:$T$50000,Estação!$A$2:$A$50000,$B65,Estação!$T$2:$T$50000,"&gt;-50"),""))</f>
        <v/>
      </c>
      <c r="F65" s="12">
        <f>IF($B65="§","",IFERROR(AVERAGEIFS(Estação!$F$2:$F$50000,Estação!$A$2:$A$50000,$B65,Estação!$F$2:$F$50000,"&gt;-50"),""))</f>
        <v/>
      </c>
      <c r="G65" s="12">
        <f>IF($B65="§","",IFERROR(AVERAGEIFS(Estação!$G$2:$G$50000,Estação!$A$2:$A$50000,$B65,Estação!$G$2:$G$50000,"&gt;-50"),""))</f>
        <v/>
      </c>
      <c r="H65" s="12">
        <f>IF($B65="§","",IFERROR(AVERAGEIFS(Estação!$Z$2:$Z$50000,Estação!$A$2:$A$50000,$B65,Estação!$Z$2:$Z$50000,"&gt;-50"),""))</f>
        <v/>
      </c>
      <c r="I65" s="12">
        <f>IF($B65="§","",IFERROR(AVERAGEIFS(Estação!$E$2:$E$50000,Estação!$A$2:$A$50000,$B65,Estação!$E$2:$E$50000,"&gt;-50"),""))</f>
        <v/>
      </c>
      <c r="J65" s="12">
        <f>IF($B65="§","",IFERROR(AVERAGEIFS(Estação!$H$2:$H$50000,Estação!$A$2:$A$50000,$B65,Estação!$H$2:$H$50000,"&gt;-50"),""))</f>
        <v/>
      </c>
      <c r="K65" s="12">
        <f>IF($B65="§","",IFERROR(AVERAGEIFS(Estação!$L$2:$L$50000,Estação!$A$2:$A$50000,$B65,Estação!$L$2:$L$50000,"&gt;-50"),""))</f>
        <v/>
      </c>
      <c r="L65" s="12">
        <f>IF($B65="§","",IFERROR(AVERAGEIFS(Estação!$B$2:$B$50000,Estação!$A$2:$A$50000,$B65,Estação!$B$2:$B$50000,"&gt;-50"),""))</f>
        <v/>
      </c>
      <c r="M65" s="12">
        <f>IF($B65="§","",IFERROR(AVERAGEIFS(Estação!$M$2:$M$50000,Estação!$A$2:$A$50000,$B65,Estação!$M$2:$M$50000,"&gt;-50"),""))</f>
        <v/>
      </c>
      <c r="N65" s="12">
        <f>IF($B65="§","",SUMIFS(Estação!$O$2:$O$50000,Estação!$A$2:$A$50000,$B65))</f>
        <v/>
      </c>
      <c r="O65" s="12">
        <f>IF($B65="§","",SUMIFS(Estação!$P$2:$P$50000,Estação!$A$2:$A$50000,$B65))</f>
        <v/>
      </c>
      <c r="P65" s="12">
        <f>IF($B65="§","",SUMIFS(Estação!$Q$2:$Q$50000,Estação!$A$2:$A$50000,$B65))</f>
        <v/>
      </c>
      <c r="Q65" s="12">
        <f>IF($B65="§","",IFERROR(AVERAGEIFS(Estação!$AA$2:$AA$50000,Estação!$A$2:$A$50000,$B65,Estação!$AA$2:$AA$50000,"&gt;-50"),""))</f>
        <v/>
      </c>
      <c r="R65" s="12">
        <f>IF($B65="§","",IFERROR(AVERAGEIFS(Estação!$AB$2:$AB$50000,Estação!$A$2:$A$50000,$B65,Estação!$AB$2:$AB$50000,"&gt;-50"),""))</f>
        <v/>
      </c>
      <c r="S65" s="12">
        <f>IF($B65="§","",IFERROR(AVERAGEIFS(Estação!$Y$2:$Y$50000,Estação!$A$2:$A$50000,$B65,Estação!$Y$2:$Y$50000,"&gt;-50"),""))</f>
        <v/>
      </c>
      <c r="T65" s="12">
        <f>IF($B65="§","",IFERROR(AVERAGEIFS(Estação!$C$2:$C$50000,Estação!$A$2:$A$50000,$B65,Estação!$C$2:$C$50000,"&gt;-50"),""))</f>
        <v/>
      </c>
    </row>
    <row r="66">
      <c r="A66" s="12">
        <f>IF($C66="","",RIGHT("0"&amp;25,2)&amp;"/"&amp;RIGHT("0"&amp;MONTH($B$1),2))</f>
        <v/>
      </c>
      <c r="B66" s="12">
        <f>IF($C66="","§",YEAR($C66)&amp;"-"&amp;RIGHT("0"&amp;MONTH($C66),2)&amp;"-"&amp;RIGHT("0"&amp;DAY($C66),2)&amp;"*")</f>
        <v/>
      </c>
      <c r="C66" s="13">
        <f>IF(25&lt;=DAY(EOMONTH($B$1,0)),DATE(YEAR($B$1),MONTH($B$1),25),"")</f>
        <v/>
      </c>
      <c r="D66" s="12">
        <f>IF($B66="§","",IFERROR(AVERAGEIFS(Estação!$S$2:$S$50000,Estação!$A$2:$A$50000,$B66,Estação!$S$2:$S$50000,"&gt;-50"),""))</f>
        <v/>
      </c>
      <c r="E66" s="12">
        <f>IF($B66="§","",IFERROR(AVERAGEIFS(Estação!$T$2:$T$50000,Estação!$A$2:$A$50000,$B66,Estação!$T$2:$T$50000,"&gt;-50"),""))</f>
        <v/>
      </c>
      <c r="F66" s="12">
        <f>IF($B66="§","",IFERROR(AVERAGEIFS(Estação!$F$2:$F$50000,Estação!$A$2:$A$50000,$B66,Estação!$F$2:$F$50000,"&gt;-50"),""))</f>
        <v/>
      </c>
      <c r="G66" s="12">
        <f>IF($B66="§","",IFERROR(AVERAGEIFS(Estação!$G$2:$G$50000,Estação!$A$2:$A$50000,$B66,Estação!$G$2:$G$50000,"&gt;-50"),""))</f>
        <v/>
      </c>
      <c r="H66" s="12">
        <f>IF($B66="§","",IFERROR(AVERAGEIFS(Estação!$Z$2:$Z$50000,Estação!$A$2:$A$50000,$B66,Estação!$Z$2:$Z$50000,"&gt;-50"),""))</f>
        <v/>
      </c>
      <c r="I66" s="12">
        <f>IF($B66="§","",IFERROR(AVERAGEIFS(Estação!$E$2:$E$50000,Estação!$A$2:$A$50000,$B66,Estação!$E$2:$E$50000,"&gt;-50"),""))</f>
        <v/>
      </c>
      <c r="J66" s="12">
        <f>IF($B66="§","",IFERROR(AVERAGEIFS(Estação!$H$2:$H$50000,Estação!$A$2:$A$50000,$B66,Estação!$H$2:$H$50000,"&gt;-50"),""))</f>
        <v/>
      </c>
      <c r="K66" s="12">
        <f>IF($B66="§","",IFERROR(AVERAGEIFS(Estação!$L$2:$L$50000,Estação!$A$2:$A$50000,$B66,Estação!$L$2:$L$50000,"&gt;-50"),""))</f>
        <v/>
      </c>
      <c r="L66" s="12">
        <f>IF($B66="§","",IFERROR(AVERAGEIFS(Estação!$B$2:$B$50000,Estação!$A$2:$A$50000,$B66,Estação!$B$2:$B$50000,"&gt;-50"),""))</f>
        <v/>
      </c>
      <c r="M66" s="12">
        <f>IF($B66="§","",IFERROR(AVERAGEIFS(Estação!$M$2:$M$50000,Estação!$A$2:$A$50000,$B66,Estação!$M$2:$M$50000,"&gt;-50"),""))</f>
        <v/>
      </c>
      <c r="N66" s="12">
        <f>IF($B66="§","",SUMIFS(Estação!$O$2:$O$50000,Estação!$A$2:$A$50000,$B66))</f>
        <v/>
      </c>
      <c r="O66" s="12">
        <f>IF($B66="§","",SUMIFS(Estação!$P$2:$P$50000,Estação!$A$2:$A$50000,$B66))</f>
        <v/>
      </c>
      <c r="P66" s="12">
        <f>IF($B66="§","",SUMIFS(Estação!$Q$2:$Q$50000,Estação!$A$2:$A$50000,$B66))</f>
        <v/>
      </c>
      <c r="Q66" s="12">
        <f>IF($B66="§","",IFERROR(AVERAGEIFS(Estação!$AA$2:$AA$50000,Estação!$A$2:$A$50000,$B66,Estação!$AA$2:$AA$50000,"&gt;-50"),""))</f>
        <v/>
      </c>
      <c r="R66" s="12">
        <f>IF($B66="§","",IFERROR(AVERAGEIFS(Estação!$AB$2:$AB$50000,Estação!$A$2:$A$50000,$B66,Estação!$AB$2:$AB$50000,"&gt;-50"),""))</f>
        <v/>
      </c>
      <c r="S66" s="12">
        <f>IF($B66="§","",IFERROR(AVERAGEIFS(Estação!$Y$2:$Y$50000,Estação!$A$2:$A$50000,$B66,Estação!$Y$2:$Y$50000,"&gt;-50"),""))</f>
        <v/>
      </c>
      <c r="T66" s="12">
        <f>IF($B66="§","",IFERROR(AVERAGEIFS(Estação!$C$2:$C$50000,Estação!$A$2:$A$50000,$B66,Estação!$C$2:$C$50000,"&gt;-50"),""))</f>
        <v/>
      </c>
    </row>
    <row r="67">
      <c r="A67" s="12">
        <f>IF($C67="","",RIGHT("0"&amp;26,2)&amp;"/"&amp;RIGHT("0"&amp;MONTH($B$1),2))</f>
        <v/>
      </c>
      <c r="B67" s="12">
        <f>IF($C67="","§",YEAR($C67)&amp;"-"&amp;RIGHT("0"&amp;MONTH($C67),2)&amp;"-"&amp;RIGHT("0"&amp;DAY($C67),2)&amp;"*")</f>
        <v/>
      </c>
      <c r="C67" s="13">
        <f>IF(26&lt;=DAY(EOMONTH($B$1,0)),DATE(YEAR($B$1),MONTH($B$1),26),"")</f>
        <v/>
      </c>
      <c r="D67" s="12">
        <f>IF($B67="§","",IFERROR(AVERAGEIFS(Estação!$S$2:$S$50000,Estação!$A$2:$A$50000,$B67,Estação!$S$2:$S$50000,"&gt;-50"),""))</f>
        <v/>
      </c>
      <c r="E67" s="12">
        <f>IF($B67="§","",IFERROR(AVERAGEIFS(Estação!$T$2:$T$50000,Estação!$A$2:$A$50000,$B67,Estação!$T$2:$T$50000,"&gt;-50"),""))</f>
        <v/>
      </c>
      <c r="F67" s="12">
        <f>IF($B67="§","",IFERROR(AVERAGEIFS(Estação!$F$2:$F$50000,Estação!$A$2:$A$50000,$B67,Estação!$F$2:$F$50000,"&gt;-50"),""))</f>
        <v/>
      </c>
      <c r="G67" s="12">
        <f>IF($B67="§","",IFERROR(AVERAGEIFS(Estação!$G$2:$G$50000,Estação!$A$2:$A$50000,$B67,Estação!$G$2:$G$50000,"&gt;-50"),""))</f>
        <v/>
      </c>
      <c r="H67" s="12">
        <f>IF($B67="§","",IFERROR(AVERAGEIFS(Estação!$Z$2:$Z$50000,Estação!$A$2:$A$50000,$B67,Estação!$Z$2:$Z$50000,"&gt;-50"),""))</f>
        <v/>
      </c>
      <c r="I67" s="12">
        <f>IF($B67="§","",IFERROR(AVERAGEIFS(Estação!$E$2:$E$50000,Estação!$A$2:$A$50000,$B67,Estação!$E$2:$E$50000,"&gt;-50"),""))</f>
        <v/>
      </c>
      <c r="J67" s="12">
        <f>IF($B67="§","",IFERROR(AVERAGEIFS(Estação!$H$2:$H$50000,Estação!$A$2:$A$50000,$B67,Estação!$H$2:$H$50000,"&gt;-50"),""))</f>
        <v/>
      </c>
      <c r="K67" s="12">
        <f>IF($B67="§","",IFERROR(AVERAGEIFS(Estação!$L$2:$L$50000,Estação!$A$2:$A$50000,$B67,Estação!$L$2:$L$50000,"&gt;-50"),""))</f>
        <v/>
      </c>
      <c r="L67" s="12">
        <f>IF($B67="§","",IFERROR(AVERAGEIFS(Estação!$B$2:$B$50000,Estação!$A$2:$A$50000,$B67,Estação!$B$2:$B$50000,"&gt;-50"),""))</f>
        <v/>
      </c>
      <c r="M67" s="12">
        <f>IF($B67="§","",IFERROR(AVERAGEIFS(Estação!$M$2:$M$50000,Estação!$A$2:$A$50000,$B67,Estação!$M$2:$M$50000,"&gt;-50"),""))</f>
        <v/>
      </c>
      <c r="N67" s="12">
        <f>IF($B67="§","",SUMIFS(Estação!$O$2:$O$50000,Estação!$A$2:$A$50000,$B67))</f>
        <v/>
      </c>
      <c r="O67" s="12">
        <f>IF($B67="§","",SUMIFS(Estação!$P$2:$P$50000,Estação!$A$2:$A$50000,$B67))</f>
        <v/>
      </c>
      <c r="P67" s="12">
        <f>IF($B67="§","",SUMIFS(Estação!$Q$2:$Q$50000,Estação!$A$2:$A$50000,$B67))</f>
        <v/>
      </c>
      <c r="Q67" s="12">
        <f>IF($B67="§","",IFERROR(AVERAGEIFS(Estação!$AA$2:$AA$50000,Estação!$A$2:$A$50000,$B67,Estação!$AA$2:$AA$50000,"&gt;-50"),""))</f>
        <v/>
      </c>
      <c r="R67" s="12">
        <f>IF($B67="§","",IFERROR(AVERAGEIFS(Estação!$AB$2:$AB$50000,Estação!$A$2:$A$50000,$B67,Estação!$AB$2:$AB$50000,"&gt;-50"),""))</f>
        <v/>
      </c>
      <c r="S67" s="12">
        <f>IF($B67="§","",IFERROR(AVERAGEIFS(Estação!$Y$2:$Y$50000,Estação!$A$2:$A$50000,$B67,Estação!$Y$2:$Y$50000,"&gt;-50"),""))</f>
        <v/>
      </c>
      <c r="T67" s="12">
        <f>IF($B67="§","",IFERROR(AVERAGEIFS(Estação!$C$2:$C$50000,Estação!$A$2:$A$50000,$B67,Estação!$C$2:$C$50000,"&gt;-50"),""))</f>
        <v/>
      </c>
    </row>
    <row r="68">
      <c r="A68" s="12">
        <f>IF($C68="","",RIGHT("0"&amp;27,2)&amp;"/"&amp;RIGHT("0"&amp;MONTH($B$1),2))</f>
        <v/>
      </c>
      <c r="B68" s="12">
        <f>IF($C68="","§",YEAR($C68)&amp;"-"&amp;RIGHT("0"&amp;MONTH($C68),2)&amp;"-"&amp;RIGHT("0"&amp;DAY($C68),2)&amp;"*")</f>
        <v/>
      </c>
      <c r="C68" s="13">
        <f>IF(27&lt;=DAY(EOMONTH($B$1,0)),DATE(YEAR($B$1),MONTH($B$1),27),"")</f>
        <v/>
      </c>
      <c r="D68" s="12">
        <f>IF($B68="§","",IFERROR(AVERAGEIFS(Estação!$S$2:$S$50000,Estação!$A$2:$A$50000,$B68,Estação!$S$2:$S$50000,"&gt;-50"),""))</f>
        <v/>
      </c>
      <c r="E68" s="12">
        <f>IF($B68="§","",IFERROR(AVERAGEIFS(Estação!$T$2:$T$50000,Estação!$A$2:$A$50000,$B68,Estação!$T$2:$T$50000,"&gt;-50"),""))</f>
        <v/>
      </c>
      <c r="F68" s="12">
        <f>IF($B68="§","",IFERROR(AVERAGEIFS(Estação!$F$2:$F$50000,Estação!$A$2:$A$50000,$B68,Estação!$F$2:$F$50000,"&gt;-50"),""))</f>
        <v/>
      </c>
      <c r="G68" s="12">
        <f>IF($B68="§","",IFERROR(AVERAGEIFS(Estação!$G$2:$G$50000,Estação!$A$2:$A$50000,$B68,Estação!$G$2:$G$50000,"&gt;-50"),""))</f>
        <v/>
      </c>
      <c r="H68" s="12">
        <f>IF($B68="§","",IFERROR(AVERAGEIFS(Estação!$Z$2:$Z$50000,Estação!$A$2:$A$50000,$B68,Estação!$Z$2:$Z$50000,"&gt;-50"),""))</f>
        <v/>
      </c>
      <c r="I68" s="12">
        <f>IF($B68="§","",IFERROR(AVERAGEIFS(Estação!$E$2:$E$50000,Estação!$A$2:$A$50000,$B68,Estação!$E$2:$E$50000,"&gt;-50"),""))</f>
        <v/>
      </c>
      <c r="J68" s="12">
        <f>IF($B68="§","",IFERROR(AVERAGEIFS(Estação!$H$2:$H$50000,Estação!$A$2:$A$50000,$B68,Estação!$H$2:$H$50000,"&gt;-50"),""))</f>
        <v/>
      </c>
      <c r="K68" s="12">
        <f>IF($B68="§","",IFERROR(AVERAGEIFS(Estação!$L$2:$L$50000,Estação!$A$2:$A$50000,$B68,Estação!$L$2:$L$50000,"&gt;-50"),""))</f>
        <v/>
      </c>
      <c r="L68" s="12">
        <f>IF($B68="§","",IFERROR(AVERAGEIFS(Estação!$B$2:$B$50000,Estação!$A$2:$A$50000,$B68,Estação!$B$2:$B$50000,"&gt;-50"),""))</f>
        <v/>
      </c>
      <c r="M68" s="12">
        <f>IF($B68="§","",IFERROR(AVERAGEIFS(Estação!$M$2:$M$50000,Estação!$A$2:$A$50000,$B68,Estação!$M$2:$M$50000,"&gt;-50"),""))</f>
        <v/>
      </c>
      <c r="N68" s="12">
        <f>IF($B68="§","",SUMIFS(Estação!$O$2:$O$50000,Estação!$A$2:$A$50000,$B68))</f>
        <v/>
      </c>
      <c r="O68" s="12">
        <f>IF($B68="§","",SUMIFS(Estação!$P$2:$P$50000,Estação!$A$2:$A$50000,$B68))</f>
        <v/>
      </c>
      <c r="P68" s="12">
        <f>IF($B68="§","",SUMIFS(Estação!$Q$2:$Q$50000,Estação!$A$2:$A$50000,$B68))</f>
        <v/>
      </c>
      <c r="Q68" s="12">
        <f>IF($B68="§","",IFERROR(AVERAGEIFS(Estação!$AA$2:$AA$50000,Estação!$A$2:$A$50000,$B68,Estação!$AA$2:$AA$50000,"&gt;-50"),""))</f>
        <v/>
      </c>
      <c r="R68" s="12">
        <f>IF($B68="§","",IFERROR(AVERAGEIFS(Estação!$AB$2:$AB$50000,Estação!$A$2:$A$50000,$B68,Estação!$AB$2:$AB$50000,"&gt;-50"),""))</f>
        <v/>
      </c>
      <c r="S68" s="12">
        <f>IF($B68="§","",IFERROR(AVERAGEIFS(Estação!$Y$2:$Y$50000,Estação!$A$2:$A$50000,$B68,Estação!$Y$2:$Y$50000,"&gt;-50"),""))</f>
        <v/>
      </c>
      <c r="T68" s="12">
        <f>IF($B68="§","",IFERROR(AVERAGEIFS(Estação!$C$2:$C$50000,Estação!$A$2:$A$50000,$B68,Estação!$C$2:$C$50000,"&gt;-50"),""))</f>
        <v/>
      </c>
    </row>
    <row r="69">
      <c r="A69" s="12">
        <f>IF($C69="","",RIGHT("0"&amp;28,2)&amp;"/"&amp;RIGHT("0"&amp;MONTH($B$1),2))</f>
        <v/>
      </c>
      <c r="B69" s="12">
        <f>IF($C69="","§",YEAR($C69)&amp;"-"&amp;RIGHT("0"&amp;MONTH($C69),2)&amp;"-"&amp;RIGHT("0"&amp;DAY($C69),2)&amp;"*")</f>
        <v/>
      </c>
      <c r="C69" s="13">
        <f>IF(28&lt;=DAY(EOMONTH($B$1,0)),DATE(YEAR($B$1),MONTH($B$1),28),"")</f>
        <v/>
      </c>
      <c r="D69" s="12">
        <f>IF($B69="§","",IFERROR(AVERAGEIFS(Estação!$S$2:$S$50000,Estação!$A$2:$A$50000,$B69,Estação!$S$2:$S$50000,"&gt;-50"),""))</f>
        <v/>
      </c>
      <c r="E69" s="12">
        <f>IF($B69="§","",IFERROR(AVERAGEIFS(Estação!$T$2:$T$50000,Estação!$A$2:$A$50000,$B69,Estação!$T$2:$T$50000,"&gt;-50"),""))</f>
        <v/>
      </c>
      <c r="F69" s="12">
        <f>IF($B69="§","",IFERROR(AVERAGEIFS(Estação!$F$2:$F$50000,Estação!$A$2:$A$50000,$B69,Estação!$F$2:$F$50000,"&gt;-50"),""))</f>
        <v/>
      </c>
      <c r="G69" s="12">
        <f>IF($B69="§","",IFERROR(AVERAGEIFS(Estação!$G$2:$G$50000,Estação!$A$2:$A$50000,$B69,Estação!$G$2:$G$50000,"&gt;-50"),""))</f>
        <v/>
      </c>
      <c r="H69" s="12">
        <f>IF($B69="§","",IFERROR(AVERAGEIFS(Estação!$Z$2:$Z$50000,Estação!$A$2:$A$50000,$B69,Estação!$Z$2:$Z$50000,"&gt;-50"),""))</f>
        <v/>
      </c>
      <c r="I69" s="12">
        <f>IF($B69="§","",IFERROR(AVERAGEIFS(Estação!$E$2:$E$50000,Estação!$A$2:$A$50000,$B69,Estação!$E$2:$E$50000,"&gt;-50"),""))</f>
        <v/>
      </c>
      <c r="J69" s="12">
        <f>IF($B69="§","",IFERROR(AVERAGEIFS(Estação!$H$2:$H$50000,Estação!$A$2:$A$50000,$B69,Estação!$H$2:$H$50000,"&gt;-50"),""))</f>
        <v/>
      </c>
      <c r="K69" s="12">
        <f>IF($B69="§","",IFERROR(AVERAGEIFS(Estação!$L$2:$L$50000,Estação!$A$2:$A$50000,$B69,Estação!$L$2:$L$50000,"&gt;-50"),""))</f>
        <v/>
      </c>
      <c r="L69" s="12">
        <f>IF($B69="§","",IFERROR(AVERAGEIFS(Estação!$B$2:$B$50000,Estação!$A$2:$A$50000,$B69,Estação!$B$2:$B$50000,"&gt;-50"),""))</f>
        <v/>
      </c>
      <c r="M69" s="12">
        <f>IF($B69="§","",IFERROR(AVERAGEIFS(Estação!$M$2:$M$50000,Estação!$A$2:$A$50000,$B69,Estação!$M$2:$M$50000,"&gt;-50"),""))</f>
        <v/>
      </c>
      <c r="N69" s="12">
        <f>IF($B69="§","",SUMIFS(Estação!$O$2:$O$50000,Estação!$A$2:$A$50000,$B69))</f>
        <v/>
      </c>
      <c r="O69" s="12">
        <f>IF($B69="§","",SUMIFS(Estação!$P$2:$P$50000,Estação!$A$2:$A$50000,$B69))</f>
        <v/>
      </c>
      <c r="P69" s="12">
        <f>IF($B69="§","",SUMIFS(Estação!$Q$2:$Q$50000,Estação!$A$2:$A$50000,$B69))</f>
        <v/>
      </c>
      <c r="Q69" s="12">
        <f>IF($B69="§","",IFERROR(AVERAGEIFS(Estação!$AA$2:$AA$50000,Estação!$A$2:$A$50000,$B69,Estação!$AA$2:$AA$50000,"&gt;-50"),""))</f>
        <v/>
      </c>
      <c r="R69" s="12">
        <f>IF($B69="§","",IFERROR(AVERAGEIFS(Estação!$AB$2:$AB$50000,Estação!$A$2:$A$50000,$B69,Estação!$AB$2:$AB$50000,"&gt;-50"),""))</f>
        <v/>
      </c>
      <c r="S69" s="12">
        <f>IF($B69="§","",IFERROR(AVERAGEIFS(Estação!$Y$2:$Y$50000,Estação!$A$2:$A$50000,$B69,Estação!$Y$2:$Y$50000,"&gt;-50"),""))</f>
        <v/>
      </c>
      <c r="T69" s="12">
        <f>IF($B69="§","",IFERROR(AVERAGEIFS(Estação!$C$2:$C$50000,Estação!$A$2:$A$50000,$B69,Estação!$C$2:$C$50000,"&gt;-50"),""))</f>
        <v/>
      </c>
    </row>
    <row r="70">
      <c r="A70" s="12">
        <f>IF($C70="","",RIGHT("0"&amp;29,2)&amp;"/"&amp;RIGHT("0"&amp;MONTH($B$1),2))</f>
        <v/>
      </c>
      <c r="B70" s="12">
        <f>IF($C70="","§",YEAR($C70)&amp;"-"&amp;RIGHT("0"&amp;MONTH($C70),2)&amp;"-"&amp;RIGHT("0"&amp;DAY($C70),2)&amp;"*")</f>
        <v/>
      </c>
      <c r="C70" s="13">
        <f>IF(29&lt;=DAY(EOMONTH($B$1,0)),DATE(YEAR($B$1),MONTH($B$1),29),"")</f>
        <v/>
      </c>
      <c r="D70" s="12">
        <f>IF($B70="§","",IFERROR(AVERAGEIFS(Estação!$S$2:$S$50000,Estação!$A$2:$A$50000,$B70,Estação!$S$2:$S$50000,"&gt;-50"),""))</f>
        <v/>
      </c>
      <c r="E70" s="12">
        <f>IF($B70="§","",IFERROR(AVERAGEIFS(Estação!$T$2:$T$50000,Estação!$A$2:$A$50000,$B70,Estação!$T$2:$T$50000,"&gt;-50"),""))</f>
        <v/>
      </c>
      <c r="F70" s="12">
        <f>IF($B70="§","",IFERROR(AVERAGEIFS(Estação!$F$2:$F$50000,Estação!$A$2:$A$50000,$B70,Estação!$F$2:$F$50000,"&gt;-50"),""))</f>
        <v/>
      </c>
      <c r="G70" s="12">
        <f>IF($B70="§","",IFERROR(AVERAGEIFS(Estação!$G$2:$G$50000,Estação!$A$2:$A$50000,$B70,Estação!$G$2:$G$50000,"&gt;-50"),""))</f>
        <v/>
      </c>
      <c r="H70" s="12">
        <f>IF($B70="§","",IFERROR(AVERAGEIFS(Estação!$Z$2:$Z$50000,Estação!$A$2:$A$50000,$B70,Estação!$Z$2:$Z$50000,"&gt;-50"),""))</f>
        <v/>
      </c>
      <c r="I70" s="12">
        <f>IF($B70="§","",IFERROR(AVERAGEIFS(Estação!$E$2:$E$50000,Estação!$A$2:$A$50000,$B70,Estação!$E$2:$E$50000,"&gt;-50"),""))</f>
        <v/>
      </c>
      <c r="J70" s="12">
        <f>IF($B70="§","",IFERROR(AVERAGEIFS(Estação!$H$2:$H$50000,Estação!$A$2:$A$50000,$B70,Estação!$H$2:$H$50000,"&gt;-50"),""))</f>
        <v/>
      </c>
      <c r="K70" s="12">
        <f>IF($B70="§","",IFERROR(AVERAGEIFS(Estação!$L$2:$L$50000,Estação!$A$2:$A$50000,$B70,Estação!$L$2:$L$50000,"&gt;-50"),""))</f>
        <v/>
      </c>
      <c r="L70" s="12">
        <f>IF($B70="§","",IFERROR(AVERAGEIFS(Estação!$B$2:$B$50000,Estação!$A$2:$A$50000,$B70,Estação!$B$2:$B$50000,"&gt;-50"),""))</f>
        <v/>
      </c>
      <c r="M70" s="12">
        <f>IF($B70="§","",IFERROR(AVERAGEIFS(Estação!$M$2:$M$50000,Estação!$A$2:$A$50000,$B70,Estação!$M$2:$M$50000,"&gt;-50"),""))</f>
        <v/>
      </c>
      <c r="N70" s="12">
        <f>IF($B70="§","",SUMIFS(Estação!$O$2:$O$50000,Estação!$A$2:$A$50000,$B70))</f>
        <v/>
      </c>
      <c r="O70" s="12">
        <f>IF($B70="§","",SUMIFS(Estação!$P$2:$P$50000,Estação!$A$2:$A$50000,$B70))</f>
        <v/>
      </c>
      <c r="P70" s="12">
        <f>IF($B70="§","",SUMIFS(Estação!$Q$2:$Q$50000,Estação!$A$2:$A$50000,$B70))</f>
        <v/>
      </c>
      <c r="Q70" s="12">
        <f>IF($B70="§","",IFERROR(AVERAGEIFS(Estação!$AA$2:$AA$50000,Estação!$A$2:$A$50000,$B70,Estação!$AA$2:$AA$50000,"&gt;-50"),""))</f>
        <v/>
      </c>
      <c r="R70" s="12">
        <f>IF($B70="§","",IFERROR(AVERAGEIFS(Estação!$AB$2:$AB$50000,Estação!$A$2:$A$50000,$B70,Estação!$AB$2:$AB$50000,"&gt;-50"),""))</f>
        <v/>
      </c>
      <c r="S70" s="12">
        <f>IF($B70="§","",IFERROR(AVERAGEIFS(Estação!$Y$2:$Y$50000,Estação!$A$2:$A$50000,$B70,Estação!$Y$2:$Y$50000,"&gt;-50"),""))</f>
        <v/>
      </c>
      <c r="T70" s="12">
        <f>IF($B70="§","",IFERROR(AVERAGEIFS(Estação!$C$2:$C$50000,Estação!$A$2:$A$50000,$B70,Estação!$C$2:$C$50000,"&gt;-50"),""))</f>
        <v/>
      </c>
    </row>
    <row r="71">
      <c r="A71" s="12">
        <f>IF($C71="","",RIGHT("0"&amp;30,2)&amp;"/"&amp;RIGHT("0"&amp;MONTH($B$1),2))</f>
        <v/>
      </c>
      <c r="B71" s="12">
        <f>IF($C71="","§",YEAR($C71)&amp;"-"&amp;RIGHT("0"&amp;MONTH($C71),2)&amp;"-"&amp;RIGHT("0"&amp;DAY($C71),2)&amp;"*")</f>
        <v/>
      </c>
      <c r="C71" s="13">
        <f>IF(30&lt;=DAY(EOMONTH($B$1,0)),DATE(YEAR($B$1),MONTH($B$1),30),"")</f>
        <v/>
      </c>
      <c r="D71" s="12">
        <f>IF($B71="§","",IFERROR(AVERAGEIFS(Estação!$S$2:$S$50000,Estação!$A$2:$A$50000,$B71,Estação!$S$2:$S$50000,"&gt;-50"),""))</f>
        <v/>
      </c>
      <c r="E71" s="12">
        <f>IF($B71="§","",IFERROR(AVERAGEIFS(Estação!$T$2:$T$50000,Estação!$A$2:$A$50000,$B71,Estação!$T$2:$T$50000,"&gt;-50"),""))</f>
        <v/>
      </c>
      <c r="F71" s="12">
        <f>IF($B71="§","",IFERROR(AVERAGEIFS(Estação!$F$2:$F$50000,Estação!$A$2:$A$50000,$B71,Estação!$F$2:$F$50000,"&gt;-50"),""))</f>
        <v/>
      </c>
      <c r="G71" s="12">
        <f>IF($B71="§","",IFERROR(AVERAGEIFS(Estação!$G$2:$G$50000,Estação!$A$2:$A$50000,$B71,Estação!$G$2:$G$50000,"&gt;-50"),""))</f>
        <v/>
      </c>
      <c r="H71" s="12">
        <f>IF($B71="§","",IFERROR(AVERAGEIFS(Estação!$Z$2:$Z$50000,Estação!$A$2:$A$50000,$B71,Estação!$Z$2:$Z$50000,"&gt;-50"),""))</f>
        <v/>
      </c>
      <c r="I71" s="12">
        <f>IF($B71="§","",IFERROR(AVERAGEIFS(Estação!$E$2:$E$50000,Estação!$A$2:$A$50000,$B71,Estação!$E$2:$E$50000,"&gt;-50"),""))</f>
        <v/>
      </c>
      <c r="J71" s="12">
        <f>IF($B71="§","",IFERROR(AVERAGEIFS(Estação!$H$2:$H$50000,Estação!$A$2:$A$50000,$B71,Estação!$H$2:$H$50000,"&gt;-50"),""))</f>
        <v/>
      </c>
      <c r="K71" s="12">
        <f>IF($B71="§","",IFERROR(AVERAGEIFS(Estação!$L$2:$L$50000,Estação!$A$2:$A$50000,$B71,Estação!$L$2:$L$50000,"&gt;-50"),""))</f>
        <v/>
      </c>
      <c r="L71" s="12">
        <f>IF($B71="§","",IFERROR(AVERAGEIFS(Estação!$B$2:$B$50000,Estação!$A$2:$A$50000,$B71,Estação!$B$2:$B$50000,"&gt;-50"),""))</f>
        <v/>
      </c>
      <c r="M71" s="12">
        <f>IF($B71="§","",IFERROR(AVERAGEIFS(Estação!$M$2:$M$50000,Estação!$A$2:$A$50000,$B71,Estação!$M$2:$M$50000,"&gt;-50"),""))</f>
        <v/>
      </c>
      <c r="N71" s="12">
        <f>IF($B71="§","",SUMIFS(Estação!$O$2:$O$50000,Estação!$A$2:$A$50000,$B71))</f>
        <v/>
      </c>
      <c r="O71" s="12">
        <f>IF($B71="§","",SUMIFS(Estação!$P$2:$P$50000,Estação!$A$2:$A$50000,$B71))</f>
        <v/>
      </c>
      <c r="P71" s="12">
        <f>IF($B71="§","",SUMIFS(Estação!$Q$2:$Q$50000,Estação!$A$2:$A$50000,$B71))</f>
        <v/>
      </c>
      <c r="Q71" s="12">
        <f>IF($B71="§","",IFERROR(AVERAGEIFS(Estação!$AA$2:$AA$50000,Estação!$A$2:$A$50000,$B71,Estação!$AA$2:$AA$50000,"&gt;-50"),""))</f>
        <v/>
      </c>
      <c r="R71" s="12">
        <f>IF($B71="§","",IFERROR(AVERAGEIFS(Estação!$AB$2:$AB$50000,Estação!$A$2:$A$50000,$B71,Estação!$AB$2:$AB$50000,"&gt;-50"),""))</f>
        <v/>
      </c>
      <c r="S71" s="12">
        <f>IF($B71="§","",IFERROR(AVERAGEIFS(Estação!$Y$2:$Y$50000,Estação!$A$2:$A$50000,$B71,Estação!$Y$2:$Y$50000,"&gt;-50"),""))</f>
        <v/>
      </c>
      <c r="T71" s="12">
        <f>IF($B71="§","",IFERROR(AVERAGEIFS(Estação!$C$2:$C$50000,Estação!$A$2:$A$50000,$B71,Estação!$C$2:$C$50000,"&gt;-50"),""))</f>
        <v/>
      </c>
    </row>
    <row r="72">
      <c r="A72" s="12">
        <f>IF($C72="","",RIGHT("0"&amp;31,2)&amp;"/"&amp;RIGHT("0"&amp;MONTH($B$1),2))</f>
        <v/>
      </c>
      <c r="B72" s="12">
        <f>IF($C72="","§",YEAR($C72)&amp;"-"&amp;RIGHT("0"&amp;MONTH($C72),2)&amp;"-"&amp;RIGHT("0"&amp;DAY($C72),2)&amp;"*")</f>
        <v/>
      </c>
      <c r="C72" s="13">
        <f>IF(31&lt;=DAY(EOMONTH($B$1,0)),DATE(YEAR($B$1),MONTH($B$1),31),"")</f>
        <v/>
      </c>
      <c r="D72" s="12">
        <f>IF($B72="§","",IFERROR(AVERAGEIFS(Estação!$S$2:$S$50000,Estação!$A$2:$A$50000,$B72,Estação!$S$2:$S$50000,"&gt;-50"),""))</f>
        <v/>
      </c>
      <c r="E72" s="12">
        <f>IF($B72="§","",IFERROR(AVERAGEIFS(Estação!$T$2:$T$50000,Estação!$A$2:$A$50000,$B72,Estação!$T$2:$T$50000,"&gt;-50"),""))</f>
        <v/>
      </c>
      <c r="F72" s="12">
        <f>IF($B72="§","",IFERROR(AVERAGEIFS(Estação!$F$2:$F$50000,Estação!$A$2:$A$50000,$B72,Estação!$F$2:$F$50000,"&gt;-50"),""))</f>
        <v/>
      </c>
      <c r="G72" s="12">
        <f>IF($B72="§","",IFERROR(AVERAGEIFS(Estação!$G$2:$G$50000,Estação!$A$2:$A$50000,$B72,Estação!$G$2:$G$50000,"&gt;-50"),""))</f>
        <v/>
      </c>
      <c r="H72" s="12">
        <f>IF($B72="§","",IFERROR(AVERAGEIFS(Estação!$Z$2:$Z$50000,Estação!$A$2:$A$50000,$B72,Estação!$Z$2:$Z$50000,"&gt;-50"),""))</f>
        <v/>
      </c>
      <c r="I72" s="12">
        <f>IF($B72="§","",IFERROR(AVERAGEIFS(Estação!$E$2:$E$50000,Estação!$A$2:$A$50000,$B72,Estação!$E$2:$E$50000,"&gt;-50"),""))</f>
        <v/>
      </c>
      <c r="J72" s="12">
        <f>IF($B72="§","",IFERROR(AVERAGEIFS(Estação!$H$2:$H$50000,Estação!$A$2:$A$50000,$B72,Estação!$H$2:$H$50000,"&gt;-50"),""))</f>
        <v/>
      </c>
      <c r="K72" s="12">
        <f>IF($B72="§","",IFERROR(AVERAGEIFS(Estação!$L$2:$L$50000,Estação!$A$2:$A$50000,$B72,Estação!$L$2:$L$50000,"&gt;-50"),""))</f>
        <v/>
      </c>
      <c r="L72" s="12">
        <f>IF($B72="§","",IFERROR(AVERAGEIFS(Estação!$B$2:$B$50000,Estação!$A$2:$A$50000,$B72,Estação!$B$2:$B$50000,"&gt;-50"),""))</f>
        <v/>
      </c>
      <c r="M72" s="12">
        <f>IF($B72="§","",IFERROR(AVERAGEIFS(Estação!$M$2:$M$50000,Estação!$A$2:$A$50000,$B72,Estação!$M$2:$M$50000,"&gt;-50"),""))</f>
        <v/>
      </c>
      <c r="N72" s="12">
        <f>IF($B72="§","",SUMIFS(Estação!$O$2:$O$50000,Estação!$A$2:$A$50000,$B72))</f>
        <v/>
      </c>
      <c r="O72" s="12">
        <f>IF($B72="§","",SUMIFS(Estação!$P$2:$P$50000,Estação!$A$2:$A$50000,$B72))</f>
        <v/>
      </c>
      <c r="P72" s="12">
        <f>IF($B72="§","",SUMIFS(Estação!$Q$2:$Q$50000,Estação!$A$2:$A$50000,$B72))</f>
        <v/>
      </c>
      <c r="Q72" s="12">
        <f>IF($B72="§","",IFERROR(AVERAGEIFS(Estação!$AA$2:$AA$50000,Estação!$A$2:$A$50000,$B72,Estação!$AA$2:$AA$50000,"&gt;-50"),""))</f>
        <v/>
      </c>
      <c r="R72" s="12">
        <f>IF($B72="§","",IFERROR(AVERAGEIFS(Estação!$AB$2:$AB$50000,Estação!$A$2:$A$50000,$B72,Estação!$AB$2:$AB$50000,"&gt;-50"),""))</f>
        <v/>
      </c>
      <c r="S72" s="12">
        <f>IF($B72="§","",IFERROR(AVERAGEIFS(Estação!$Y$2:$Y$50000,Estação!$A$2:$A$50000,$B72,Estação!$Y$2:$Y$50000,"&gt;-50"),""))</f>
        <v/>
      </c>
      <c r="T72" s="12">
        <f>IF($B72="§","",IFERROR(AVERAGEIFS(Estação!$C$2:$C$50000,Estação!$A$2:$A$50000,$B72,Estação!$C$2:$C$50000,"&gt;-50"),""))</f>
        <v/>
      </c>
    </row>
    <row r="75">
      <c r="A75" s="12" t="inlineStr">
        <is>
          <t>rótulo</t>
        </is>
      </c>
      <c r="B75" s="12" t="inlineStr">
        <is>
          <t>critério</t>
        </is>
      </c>
      <c r="C75" s="12" t="inlineStr">
        <is>
          <t>data</t>
        </is>
      </c>
      <c r="D75" s="12" t="inlineStr">
        <is>
          <t>temp_current</t>
        </is>
      </c>
      <c r="E75" s="12" t="inlineStr">
        <is>
          <t>temp_current_external</t>
        </is>
      </c>
      <c r="F75" s="12" t="inlineStr">
        <is>
          <t>feellike_temp</t>
        </is>
      </c>
      <c r="G75" s="12" t="inlineStr">
        <is>
          <t>heat_index</t>
        </is>
      </c>
      <c r="H75" s="12" t="inlineStr">
        <is>
          <t>windchill_index</t>
        </is>
      </c>
      <c r="I75" s="12" t="inlineStr">
        <is>
          <t>dew_point_temp</t>
        </is>
      </c>
      <c r="J75" s="12" t="inlineStr">
        <is>
          <t>humidity_outdoor</t>
        </is>
      </c>
      <c r="K75" s="12" t="inlineStr">
        <is>
          <t>humidity_value</t>
        </is>
      </c>
      <c r="L75" s="12" t="inlineStr">
        <is>
          <t>atmospheric_pressture</t>
        </is>
      </c>
      <c r="M75" s="12" t="inlineStr">
        <is>
          <t>pressure_drop</t>
        </is>
      </c>
      <c r="N75" s="12" t="inlineStr">
        <is>
          <t>rain_1h</t>
        </is>
      </c>
      <c r="O75" s="12" t="inlineStr">
        <is>
          <t>rain_24h</t>
        </is>
      </c>
      <c r="P75" s="12" t="inlineStr">
        <is>
          <t>rain_rate</t>
        </is>
      </c>
      <c r="Q75" s="12" t="inlineStr">
        <is>
          <t>windspeed_avg</t>
        </is>
      </c>
      <c r="R75" s="12" t="inlineStr">
        <is>
          <t>windspeed_gust</t>
        </is>
      </c>
      <c r="S75" s="12" t="inlineStr">
        <is>
          <t>uv_index</t>
        </is>
      </c>
      <c r="T75" s="12" t="inlineStr">
        <is>
          <t>battery_percentage</t>
        </is>
      </c>
    </row>
    <row r="76">
      <c r="A76" s="12" t="inlineStr">
        <is>
          <t>jan</t>
        </is>
      </c>
      <c r="B76" s="12">
        <f>YEAR($B$1)&amp;"-01*"</f>
        <v/>
      </c>
      <c r="D76" s="12">
        <f>IFERROR(AVERAGEIFS(Estação!$S$2:$S$50000,Estação!$A$2:$A$50000,$B76,Estação!$S$2:$S$50000,"&gt;-50"),"")</f>
        <v/>
      </c>
      <c r="E76" s="12">
        <f>IFERROR(AVERAGEIFS(Estação!$T$2:$T$50000,Estação!$A$2:$A$50000,$B76,Estação!$T$2:$T$50000,"&gt;-50"),"")</f>
        <v/>
      </c>
      <c r="F76" s="12">
        <f>IFERROR(AVERAGEIFS(Estação!$F$2:$F$50000,Estação!$A$2:$A$50000,$B76,Estação!$F$2:$F$50000,"&gt;-50"),"")</f>
        <v/>
      </c>
      <c r="G76" s="12">
        <f>IFERROR(AVERAGEIFS(Estação!$G$2:$G$50000,Estação!$A$2:$A$50000,$B76,Estação!$G$2:$G$50000,"&gt;-50"),"")</f>
        <v/>
      </c>
      <c r="H76" s="12">
        <f>IFERROR(AVERAGEIFS(Estação!$Z$2:$Z$50000,Estação!$A$2:$A$50000,$B76,Estação!$Z$2:$Z$50000,"&gt;-50"),"")</f>
        <v/>
      </c>
      <c r="I76" s="12">
        <f>IFERROR(AVERAGEIFS(Estação!$E$2:$E$50000,Estação!$A$2:$A$50000,$B76,Estação!$E$2:$E$50000,"&gt;-50"),"")</f>
        <v/>
      </c>
      <c r="J76" s="12">
        <f>IFERROR(AVERAGEIFS(Estação!$H$2:$H$50000,Estação!$A$2:$A$50000,$B76,Estação!$H$2:$H$50000,"&gt;-50"),"")</f>
        <v/>
      </c>
      <c r="K76" s="12">
        <f>IFERROR(AVERAGEIFS(Estação!$L$2:$L$50000,Estação!$A$2:$A$50000,$B76,Estação!$L$2:$L$50000,"&gt;-50"),"")</f>
        <v/>
      </c>
      <c r="L76" s="12">
        <f>IFERROR(AVERAGEIFS(Estação!$B$2:$B$50000,Estação!$A$2:$A$50000,$B76,Estação!$B$2:$B$50000,"&gt;-50"),"")</f>
        <v/>
      </c>
      <c r="M76" s="12">
        <f>IFERROR(AVERAGEIFS(Estação!$M$2:$M$50000,Estação!$A$2:$A$50000,$B76,Estação!$M$2:$M$50000,"&gt;-50"),"")</f>
        <v/>
      </c>
      <c r="N76" s="12">
        <f>IF($B76="§","",SUMIFS(Estação!$O$2:$O$50000,Estação!$A$2:$A$50000,$B76))</f>
        <v/>
      </c>
      <c r="O76" s="12">
        <f>IF($B76="§","",SUMIFS(Estação!$P$2:$P$50000,Estação!$A$2:$A$50000,$B76))</f>
        <v/>
      </c>
      <c r="P76" s="12">
        <f>IF($B76="§","",SUMIFS(Estação!$Q$2:$Q$50000,Estação!$A$2:$A$50000,$B76))</f>
        <v/>
      </c>
      <c r="Q76" s="12">
        <f>IFERROR(AVERAGEIFS(Estação!$AA$2:$AA$50000,Estação!$A$2:$A$50000,$B76,Estação!$AA$2:$AA$50000,"&gt;-50"),"")</f>
        <v/>
      </c>
      <c r="R76" s="12">
        <f>IFERROR(AVERAGEIFS(Estação!$AB$2:$AB$50000,Estação!$A$2:$A$50000,$B76,Estação!$AB$2:$AB$50000,"&gt;-50"),"")</f>
        <v/>
      </c>
      <c r="S76" s="12">
        <f>IFERROR(AVERAGEIFS(Estação!$Y$2:$Y$50000,Estação!$A$2:$A$50000,$B76,Estação!$Y$2:$Y$50000,"&gt;-50"),"")</f>
        <v/>
      </c>
      <c r="T76" s="12">
        <f>IFERROR(AVERAGEIFS(Estação!$C$2:$C$50000,Estação!$A$2:$A$50000,$B76,Estação!$C$2:$C$50000,"&gt;-50"),"")</f>
        <v/>
      </c>
    </row>
    <row r="77">
      <c r="A77" s="12" t="inlineStr">
        <is>
          <t>fev</t>
        </is>
      </c>
      <c r="B77" s="12">
        <f>YEAR($B$1)&amp;"-02*"</f>
        <v/>
      </c>
      <c r="D77" s="12">
        <f>IFERROR(AVERAGEIFS(Estação!$S$2:$S$50000,Estação!$A$2:$A$50000,$B77,Estação!$S$2:$S$50000,"&gt;-50"),"")</f>
        <v/>
      </c>
      <c r="E77" s="12">
        <f>IFERROR(AVERAGEIFS(Estação!$T$2:$T$50000,Estação!$A$2:$A$50000,$B77,Estação!$T$2:$T$50000,"&gt;-50"),"")</f>
        <v/>
      </c>
      <c r="F77" s="12">
        <f>IFERROR(AVERAGEIFS(Estação!$F$2:$F$50000,Estação!$A$2:$A$50000,$B77,Estação!$F$2:$F$50000,"&gt;-50"),"")</f>
        <v/>
      </c>
      <c r="G77" s="12">
        <f>IFERROR(AVERAGEIFS(Estação!$G$2:$G$50000,Estação!$A$2:$A$50000,$B77,Estação!$G$2:$G$50000,"&gt;-50"),"")</f>
        <v/>
      </c>
      <c r="H77" s="12">
        <f>IFERROR(AVERAGEIFS(Estação!$Z$2:$Z$50000,Estação!$A$2:$A$50000,$B77,Estação!$Z$2:$Z$50000,"&gt;-50"),"")</f>
        <v/>
      </c>
      <c r="I77" s="12">
        <f>IFERROR(AVERAGEIFS(Estação!$E$2:$E$50000,Estação!$A$2:$A$50000,$B77,Estação!$E$2:$E$50000,"&gt;-50"),"")</f>
        <v/>
      </c>
      <c r="J77" s="12">
        <f>IFERROR(AVERAGEIFS(Estação!$H$2:$H$50000,Estação!$A$2:$A$50000,$B77,Estação!$H$2:$H$50000,"&gt;-50"),"")</f>
        <v/>
      </c>
      <c r="K77" s="12">
        <f>IFERROR(AVERAGEIFS(Estação!$L$2:$L$50000,Estação!$A$2:$A$50000,$B77,Estação!$L$2:$L$50000,"&gt;-50"),"")</f>
        <v/>
      </c>
      <c r="L77" s="12">
        <f>IFERROR(AVERAGEIFS(Estação!$B$2:$B$50000,Estação!$A$2:$A$50000,$B77,Estação!$B$2:$B$50000,"&gt;-50"),"")</f>
        <v/>
      </c>
      <c r="M77" s="12">
        <f>IFERROR(AVERAGEIFS(Estação!$M$2:$M$50000,Estação!$A$2:$A$50000,$B77,Estação!$M$2:$M$50000,"&gt;-50"),"")</f>
        <v/>
      </c>
      <c r="N77" s="12">
        <f>IF($B77="§","",SUMIFS(Estação!$O$2:$O$50000,Estação!$A$2:$A$50000,$B77))</f>
        <v/>
      </c>
      <c r="O77" s="12">
        <f>IF($B77="§","",SUMIFS(Estação!$P$2:$P$50000,Estação!$A$2:$A$50000,$B77))</f>
        <v/>
      </c>
      <c r="P77" s="12">
        <f>IF($B77="§","",SUMIFS(Estação!$Q$2:$Q$50000,Estação!$A$2:$A$50000,$B77))</f>
        <v/>
      </c>
      <c r="Q77" s="12">
        <f>IFERROR(AVERAGEIFS(Estação!$AA$2:$AA$50000,Estação!$A$2:$A$50000,$B77,Estação!$AA$2:$AA$50000,"&gt;-50"),"")</f>
        <v/>
      </c>
      <c r="R77" s="12">
        <f>IFERROR(AVERAGEIFS(Estação!$AB$2:$AB$50000,Estação!$A$2:$A$50000,$B77,Estação!$AB$2:$AB$50000,"&gt;-50"),"")</f>
        <v/>
      </c>
      <c r="S77" s="12">
        <f>IFERROR(AVERAGEIFS(Estação!$Y$2:$Y$50000,Estação!$A$2:$A$50000,$B77,Estação!$Y$2:$Y$50000,"&gt;-50"),"")</f>
        <v/>
      </c>
      <c r="T77" s="12">
        <f>IFERROR(AVERAGEIFS(Estação!$C$2:$C$50000,Estação!$A$2:$A$50000,$B77,Estação!$C$2:$C$50000,"&gt;-50"),"")</f>
        <v/>
      </c>
    </row>
    <row r="78">
      <c r="A78" s="12" t="inlineStr">
        <is>
          <t>mar</t>
        </is>
      </c>
      <c r="B78" s="12">
        <f>YEAR($B$1)&amp;"-03*"</f>
        <v/>
      </c>
      <c r="D78" s="12">
        <f>IFERROR(AVERAGEIFS(Estação!$S$2:$S$50000,Estação!$A$2:$A$50000,$B78,Estação!$S$2:$S$50000,"&gt;-50"),"")</f>
        <v/>
      </c>
      <c r="E78" s="12">
        <f>IFERROR(AVERAGEIFS(Estação!$T$2:$T$50000,Estação!$A$2:$A$50000,$B78,Estação!$T$2:$T$50000,"&gt;-50"),"")</f>
        <v/>
      </c>
      <c r="F78" s="12">
        <f>IFERROR(AVERAGEIFS(Estação!$F$2:$F$50000,Estação!$A$2:$A$50000,$B78,Estação!$F$2:$F$50000,"&gt;-50"),"")</f>
        <v/>
      </c>
      <c r="G78" s="12">
        <f>IFERROR(AVERAGEIFS(Estação!$G$2:$G$50000,Estação!$A$2:$A$50000,$B78,Estação!$G$2:$G$50000,"&gt;-50"),"")</f>
        <v/>
      </c>
      <c r="H78" s="12">
        <f>IFERROR(AVERAGEIFS(Estação!$Z$2:$Z$50000,Estação!$A$2:$A$50000,$B78,Estação!$Z$2:$Z$50000,"&gt;-50"),"")</f>
        <v/>
      </c>
      <c r="I78" s="12">
        <f>IFERROR(AVERAGEIFS(Estação!$E$2:$E$50000,Estação!$A$2:$A$50000,$B78,Estação!$E$2:$E$50000,"&gt;-50"),"")</f>
        <v/>
      </c>
      <c r="J78" s="12">
        <f>IFERROR(AVERAGEIFS(Estação!$H$2:$H$50000,Estação!$A$2:$A$50000,$B78,Estação!$H$2:$H$50000,"&gt;-50"),"")</f>
        <v/>
      </c>
      <c r="K78" s="12">
        <f>IFERROR(AVERAGEIFS(Estação!$L$2:$L$50000,Estação!$A$2:$A$50000,$B78,Estação!$L$2:$L$50000,"&gt;-50"),"")</f>
        <v/>
      </c>
      <c r="L78" s="12">
        <f>IFERROR(AVERAGEIFS(Estação!$B$2:$B$50000,Estação!$A$2:$A$50000,$B78,Estação!$B$2:$B$50000,"&gt;-50"),"")</f>
        <v/>
      </c>
      <c r="M78" s="12">
        <f>IFERROR(AVERAGEIFS(Estação!$M$2:$M$50000,Estação!$A$2:$A$50000,$B78,Estação!$M$2:$M$50000,"&gt;-50"),"")</f>
        <v/>
      </c>
      <c r="N78" s="12">
        <f>IF($B78="§","",SUMIFS(Estação!$O$2:$O$50000,Estação!$A$2:$A$50000,$B78))</f>
        <v/>
      </c>
      <c r="O78" s="12">
        <f>IF($B78="§","",SUMIFS(Estação!$P$2:$P$50000,Estação!$A$2:$A$50000,$B78))</f>
        <v/>
      </c>
      <c r="P78" s="12">
        <f>IF($B78="§","",SUMIFS(Estação!$Q$2:$Q$50000,Estação!$A$2:$A$50000,$B78))</f>
        <v/>
      </c>
      <c r="Q78" s="12">
        <f>IFERROR(AVERAGEIFS(Estação!$AA$2:$AA$50000,Estação!$A$2:$A$50000,$B78,Estação!$AA$2:$AA$50000,"&gt;-50"),"")</f>
        <v/>
      </c>
      <c r="R78" s="12">
        <f>IFERROR(AVERAGEIFS(Estação!$AB$2:$AB$50000,Estação!$A$2:$A$50000,$B78,Estação!$AB$2:$AB$50000,"&gt;-50"),"")</f>
        <v/>
      </c>
      <c r="S78" s="12">
        <f>IFERROR(AVERAGEIFS(Estação!$Y$2:$Y$50000,Estação!$A$2:$A$50000,$B78,Estação!$Y$2:$Y$50000,"&gt;-50"),"")</f>
        <v/>
      </c>
      <c r="T78" s="12">
        <f>IFERROR(AVERAGEIFS(Estação!$C$2:$C$50000,Estação!$A$2:$A$50000,$B78,Estação!$C$2:$C$50000,"&gt;-50"),"")</f>
        <v/>
      </c>
    </row>
    <row r="79">
      <c r="A79" s="12" t="inlineStr">
        <is>
          <t>abr</t>
        </is>
      </c>
      <c r="B79" s="12">
        <f>YEAR($B$1)&amp;"-04*"</f>
        <v/>
      </c>
      <c r="D79" s="12">
        <f>IFERROR(AVERAGEIFS(Estação!$S$2:$S$50000,Estação!$A$2:$A$50000,$B79,Estação!$S$2:$S$50000,"&gt;-50"),"")</f>
        <v/>
      </c>
      <c r="E79" s="12">
        <f>IFERROR(AVERAGEIFS(Estação!$T$2:$T$50000,Estação!$A$2:$A$50000,$B79,Estação!$T$2:$T$50000,"&gt;-50"),"")</f>
        <v/>
      </c>
      <c r="F79" s="12">
        <f>IFERROR(AVERAGEIFS(Estação!$F$2:$F$50000,Estação!$A$2:$A$50000,$B79,Estação!$F$2:$F$50000,"&gt;-50"),"")</f>
        <v/>
      </c>
      <c r="G79" s="12">
        <f>IFERROR(AVERAGEIFS(Estação!$G$2:$G$50000,Estação!$A$2:$A$50000,$B79,Estação!$G$2:$G$50000,"&gt;-50"),"")</f>
        <v/>
      </c>
      <c r="H79" s="12">
        <f>IFERROR(AVERAGEIFS(Estação!$Z$2:$Z$50000,Estação!$A$2:$A$50000,$B79,Estação!$Z$2:$Z$50000,"&gt;-50"),"")</f>
        <v/>
      </c>
      <c r="I79" s="12">
        <f>IFERROR(AVERAGEIFS(Estação!$E$2:$E$50000,Estação!$A$2:$A$50000,$B79,Estação!$E$2:$E$50000,"&gt;-50"),"")</f>
        <v/>
      </c>
      <c r="J79" s="12">
        <f>IFERROR(AVERAGEIFS(Estação!$H$2:$H$50000,Estação!$A$2:$A$50000,$B79,Estação!$H$2:$H$50000,"&gt;-50"),"")</f>
        <v/>
      </c>
      <c r="K79" s="12">
        <f>IFERROR(AVERAGEIFS(Estação!$L$2:$L$50000,Estação!$A$2:$A$50000,$B79,Estação!$L$2:$L$50000,"&gt;-50"),"")</f>
        <v/>
      </c>
      <c r="L79" s="12">
        <f>IFERROR(AVERAGEIFS(Estação!$B$2:$B$50000,Estação!$A$2:$A$50000,$B79,Estação!$B$2:$B$50000,"&gt;-50"),"")</f>
        <v/>
      </c>
      <c r="M79" s="12">
        <f>IFERROR(AVERAGEIFS(Estação!$M$2:$M$50000,Estação!$A$2:$A$50000,$B79,Estação!$M$2:$M$50000,"&gt;-50"),"")</f>
        <v/>
      </c>
      <c r="N79" s="12">
        <f>IF($B79="§","",SUMIFS(Estação!$O$2:$O$50000,Estação!$A$2:$A$50000,$B79))</f>
        <v/>
      </c>
      <c r="O79" s="12">
        <f>IF($B79="§","",SUMIFS(Estação!$P$2:$P$50000,Estação!$A$2:$A$50000,$B79))</f>
        <v/>
      </c>
      <c r="P79" s="12">
        <f>IF($B79="§","",SUMIFS(Estação!$Q$2:$Q$50000,Estação!$A$2:$A$50000,$B79))</f>
        <v/>
      </c>
      <c r="Q79" s="12">
        <f>IFERROR(AVERAGEIFS(Estação!$AA$2:$AA$50000,Estação!$A$2:$A$50000,$B79,Estação!$AA$2:$AA$50000,"&gt;-50"),"")</f>
        <v/>
      </c>
      <c r="R79" s="12">
        <f>IFERROR(AVERAGEIFS(Estação!$AB$2:$AB$50000,Estação!$A$2:$A$50000,$B79,Estação!$AB$2:$AB$50000,"&gt;-50"),"")</f>
        <v/>
      </c>
      <c r="S79" s="12">
        <f>IFERROR(AVERAGEIFS(Estação!$Y$2:$Y$50000,Estação!$A$2:$A$50000,$B79,Estação!$Y$2:$Y$50000,"&gt;-50"),"")</f>
        <v/>
      </c>
      <c r="T79" s="12">
        <f>IFERROR(AVERAGEIFS(Estação!$C$2:$C$50000,Estação!$A$2:$A$50000,$B79,Estação!$C$2:$C$50000,"&gt;-50"),"")</f>
        <v/>
      </c>
    </row>
    <row r="80">
      <c r="A80" s="12" t="inlineStr">
        <is>
          <t>mai</t>
        </is>
      </c>
      <c r="B80" s="12">
        <f>YEAR($B$1)&amp;"-05*"</f>
        <v/>
      </c>
      <c r="D80" s="12">
        <f>IFERROR(AVERAGEIFS(Estação!$S$2:$S$50000,Estação!$A$2:$A$50000,$B80,Estação!$S$2:$S$50000,"&gt;-50"),"")</f>
        <v/>
      </c>
      <c r="E80" s="12">
        <f>IFERROR(AVERAGEIFS(Estação!$T$2:$T$50000,Estação!$A$2:$A$50000,$B80,Estação!$T$2:$T$50000,"&gt;-50"),"")</f>
        <v/>
      </c>
      <c r="F80" s="12">
        <f>IFERROR(AVERAGEIFS(Estação!$F$2:$F$50000,Estação!$A$2:$A$50000,$B80,Estação!$F$2:$F$50000,"&gt;-50"),"")</f>
        <v/>
      </c>
      <c r="G80" s="12">
        <f>IFERROR(AVERAGEIFS(Estação!$G$2:$G$50000,Estação!$A$2:$A$50000,$B80,Estação!$G$2:$G$50000,"&gt;-50"),"")</f>
        <v/>
      </c>
      <c r="H80" s="12">
        <f>IFERROR(AVERAGEIFS(Estação!$Z$2:$Z$50000,Estação!$A$2:$A$50000,$B80,Estação!$Z$2:$Z$50000,"&gt;-50"),"")</f>
        <v/>
      </c>
      <c r="I80" s="12">
        <f>IFERROR(AVERAGEIFS(Estação!$E$2:$E$50000,Estação!$A$2:$A$50000,$B80,Estação!$E$2:$E$50000,"&gt;-50"),"")</f>
        <v/>
      </c>
      <c r="J80" s="12">
        <f>IFERROR(AVERAGEIFS(Estação!$H$2:$H$50000,Estação!$A$2:$A$50000,$B80,Estação!$H$2:$H$50000,"&gt;-50"),"")</f>
        <v/>
      </c>
      <c r="K80" s="12">
        <f>IFERROR(AVERAGEIFS(Estação!$L$2:$L$50000,Estação!$A$2:$A$50000,$B80,Estação!$L$2:$L$50000,"&gt;-50"),"")</f>
        <v/>
      </c>
      <c r="L80" s="12">
        <f>IFERROR(AVERAGEIFS(Estação!$B$2:$B$50000,Estação!$A$2:$A$50000,$B80,Estação!$B$2:$B$50000,"&gt;-50"),"")</f>
        <v/>
      </c>
      <c r="M80" s="12">
        <f>IFERROR(AVERAGEIFS(Estação!$M$2:$M$50000,Estação!$A$2:$A$50000,$B80,Estação!$M$2:$M$50000,"&gt;-50"),"")</f>
        <v/>
      </c>
      <c r="N80" s="12">
        <f>IF($B80="§","",SUMIFS(Estação!$O$2:$O$50000,Estação!$A$2:$A$50000,$B80))</f>
        <v/>
      </c>
      <c r="O80" s="12">
        <f>IF($B80="§","",SUMIFS(Estação!$P$2:$P$50000,Estação!$A$2:$A$50000,$B80))</f>
        <v/>
      </c>
      <c r="P80" s="12">
        <f>IF($B80="§","",SUMIFS(Estação!$Q$2:$Q$50000,Estação!$A$2:$A$50000,$B80))</f>
        <v/>
      </c>
      <c r="Q80" s="12">
        <f>IFERROR(AVERAGEIFS(Estação!$AA$2:$AA$50000,Estação!$A$2:$A$50000,$B80,Estação!$AA$2:$AA$50000,"&gt;-50"),"")</f>
        <v/>
      </c>
      <c r="R80" s="12">
        <f>IFERROR(AVERAGEIFS(Estação!$AB$2:$AB$50000,Estação!$A$2:$A$50000,$B80,Estação!$AB$2:$AB$50000,"&gt;-50"),"")</f>
        <v/>
      </c>
      <c r="S80" s="12">
        <f>IFERROR(AVERAGEIFS(Estação!$Y$2:$Y$50000,Estação!$A$2:$A$50000,$B80,Estação!$Y$2:$Y$50000,"&gt;-50"),"")</f>
        <v/>
      </c>
      <c r="T80" s="12">
        <f>IFERROR(AVERAGEIFS(Estação!$C$2:$C$50000,Estação!$A$2:$A$50000,$B80,Estação!$C$2:$C$50000,"&gt;-50"),"")</f>
        <v/>
      </c>
    </row>
    <row r="81">
      <c r="A81" s="12" t="inlineStr">
        <is>
          <t>jun</t>
        </is>
      </c>
      <c r="B81" s="12">
        <f>YEAR($B$1)&amp;"-06*"</f>
        <v/>
      </c>
      <c r="D81" s="12">
        <f>IFERROR(AVERAGEIFS(Estação!$S$2:$S$50000,Estação!$A$2:$A$50000,$B81,Estação!$S$2:$S$50000,"&gt;-50"),"")</f>
        <v/>
      </c>
      <c r="E81" s="12">
        <f>IFERROR(AVERAGEIFS(Estação!$T$2:$T$50000,Estação!$A$2:$A$50000,$B81,Estação!$T$2:$T$50000,"&gt;-50"),"")</f>
        <v/>
      </c>
      <c r="F81" s="12">
        <f>IFERROR(AVERAGEIFS(Estação!$F$2:$F$50000,Estação!$A$2:$A$50000,$B81,Estação!$F$2:$F$50000,"&gt;-50"),"")</f>
        <v/>
      </c>
      <c r="G81" s="12">
        <f>IFERROR(AVERAGEIFS(Estação!$G$2:$G$50000,Estação!$A$2:$A$50000,$B81,Estação!$G$2:$G$50000,"&gt;-50"),"")</f>
        <v/>
      </c>
      <c r="H81" s="12">
        <f>IFERROR(AVERAGEIFS(Estação!$Z$2:$Z$50000,Estação!$A$2:$A$50000,$B81,Estação!$Z$2:$Z$50000,"&gt;-50"),"")</f>
        <v/>
      </c>
      <c r="I81" s="12">
        <f>IFERROR(AVERAGEIFS(Estação!$E$2:$E$50000,Estação!$A$2:$A$50000,$B81,Estação!$E$2:$E$50000,"&gt;-50"),"")</f>
        <v/>
      </c>
      <c r="J81" s="12">
        <f>IFERROR(AVERAGEIFS(Estação!$H$2:$H$50000,Estação!$A$2:$A$50000,$B81,Estação!$H$2:$H$50000,"&gt;-50"),"")</f>
        <v/>
      </c>
      <c r="K81" s="12">
        <f>IFERROR(AVERAGEIFS(Estação!$L$2:$L$50000,Estação!$A$2:$A$50000,$B81,Estação!$L$2:$L$50000,"&gt;-50"),"")</f>
        <v/>
      </c>
      <c r="L81" s="12">
        <f>IFERROR(AVERAGEIFS(Estação!$B$2:$B$50000,Estação!$A$2:$A$50000,$B81,Estação!$B$2:$B$50000,"&gt;-50"),"")</f>
        <v/>
      </c>
      <c r="M81" s="12">
        <f>IFERROR(AVERAGEIFS(Estação!$M$2:$M$50000,Estação!$A$2:$A$50000,$B81,Estação!$M$2:$M$50000,"&gt;-50"),"")</f>
        <v/>
      </c>
      <c r="N81" s="12">
        <f>IF($B81="§","",SUMIFS(Estação!$O$2:$O$50000,Estação!$A$2:$A$50000,$B81))</f>
        <v/>
      </c>
      <c r="O81" s="12">
        <f>IF($B81="§","",SUMIFS(Estação!$P$2:$P$50000,Estação!$A$2:$A$50000,$B81))</f>
        <v/>
      </c>
      <c r="P81" s="12">
        <f>IF($B81="§","",SUMIFS(Estação!$Q$2:$Q$50000,Estação!$A$2:$A$50000,$B81))</f>
        <v/>
      </c>
      <c r="Q81" s="12">
        <f>IFERROR(AVERAGEIFS(Estação!$AA$2:$AA$50000,Estação!$A$2:$A$50000,$B81,Estação!$AA$2:$AA$50000,"&gt;-50"),"")</f>
        <v/>
      </c>
      <c r="R81" s="12">
        <f>IFERROR(AVERAGEIFS(Estação!$AB$2:$AB$50000,Estação!$A$2:$A$50000,$B81,Estação!$AB$2:$AB$50000,"&gt;-50"),"")</f>
        <v/>
      </c>
      <c r="S81" s="12">
        <f>IFERROR(AVERAGEIFS(Estação!$Y$2:$Y$50000,Estação!$A$2:$A$50000,$B81,Estação!$Y$2:$Y$50000,"&gt;-50"),"")</f>
        <v/>
      </c>
      <c r="T81" s="12">
        <f>IFERROR(AVERAGEIFS(Estação!$C$2:$C$50000,Estação!$A$2:$A$50000,$B81,Estação!$C$2:$C$50000,"&gt;-50"),"")</f>
        <v/>
      </c>
    </row>
    <row r="82">
      <c r="A82" s="12" t="inlineStr">
        <is>
          <t>jul</t>
        </is>
      </c>
      <c r="B82" s="12">
        <f>YEAR($B$1)&amp;"-07*"</f>
        <v/>
      </c>
      <c r="D82" s="12">
        <f>IFERROR(AVERAGEIFS(Estação!$S$2:$S$50000,Estação!$A$2:$A$50000,$B82,Estação!$S$2:$S$50000,"&gt;-50"),"")</f>
        <v/>
      </c>
      <c r="E82" s="12">
        <f>IFERROR(AVERAGEIFS(Estação!$T$2:$T$50000,Estação!$A$2:$A$50000,$B82,Estação!$T$2:$T$50000,"&gt;-50"),"")</f>
        <v/>
      </c>
      <c r="F82" s="12">
        <f>IFERROR(AVERAGEIFS(Estação!$F$2:$F$50000,Estação!$A$2:$A$50000,$B82,Estação!$F$2:$F$50000,"&gt;-50"),"")</f>
        <v/>
      </c>
      <c r="G82" s="12">
        <f>IFERROR(AVERAGEIFS(Estação!$G$2:$G$50000,Estação!$A$2:$A$50000,$B82,Estação!$G$2:$G$50000,"&gt;-50"),"")</f>
        <v/>
      </c>
      <c r="H82" s="12">
        <f>IFERROR(AVERAGEIFS(Estação!$Z$2:$Z$50000,Estação!$A$2:$A$50000,$B82,Estação!$Z$2:$Z$50000,"&gt;-50"),"")</f>
        <v/>
      </c>
      <c r="I82" s="12">
        <f>IFERROR(AVERAGEIFS(Estação!$E$2:$E$50000,Estação!$A$2:$A$50000,$B82,Estação!$E$2:$E$50000,"&gt;-50"),"")</f>
        <v/>
      </c>
      <c r="J82" s="12">
        <f>IFERROR(AVERAGEIFS(Estação!$H$2:$H$50000,Estação!$A$2:$A$50000,$B82,Estação!$H$2:$H$50000,"&gt;-50"),"")</f>
        <v/>
      </c>
      <c r="K82" s="12">
        <f>IFERROR(AVERAGEIFS(Estação!$L$2:$L$50000,Estação!$A$2:$A$50000,$B82,Estação!$L$2:$L$50000,"&gt;-50"),"")</f>
        <v/>
      </c>
      <c r="L82" s="12">
        <f>IFERROR(AVERAGEIFS(Estação!$B$2:$B$50000,Estação!$A$2:$A$50000,$B82,Estação!$B$2:$B$50000,"&gt;-50"),"")</f>
        <v/>
      </c>
      <c r="M82" s="12">
        <f>IFERROR(AVERAGEIFS(Estação!$M$2:$M$50000,Estação!$A$2:$A$50000,$B82,Estação!$M$2:$M$50000,"&gt;-50"),"")</f>
        <v/>
      </c>
      <c r="N82" s="12">
        <f>IF($B82="§","",SUMIFS(Estação!$O$2:$O$50000,Estação!$A$2:$A$50000,$B82))</f>
        <v/>
      </c>
      <c r="O82" s="12">
        <f>IF($B82="§","",SUMIFS(Estação!$P$2:$P$50000,Estação!$A$2:$A$50000,$B82))</f>
        <v/>
      </c>
      <c r="P82" s="12">
        <f>IF($B82="§","",SUMIFS(Estação!$Q$2:$Q$50000,Estação!$A$2:$A$50000,$B82))</f>
        <v/>
      </c>
      <c r="Q82" s="12">
        <f>IFERROR(AVERAGEIFS(Estação!$AA$2:$AA$50000,Estação!$A$2:$A$50000,$B82,Estação!$AA$2:$AA$50000,"&gt;-50"),"")</f>
        <v/>
      </c>
      <c r="R82" s="12">
        <f>IFERROR(AVERAGEIFS(Estação!$AB$2:$AB$50000,Estação!$A$2:$A$50000,$B82,Estação!$AB$2:$AB$50000,"&gt;-50"),"")</f>
        <v/>
      </c>
      <c r="S82" s="12">
        <f>IFERROR(AVERAGEIFS(Estação!$Y$2:$Y$50000,Estação!$A$2:$A$50000,$B82,Estação!$Y$2:$Y$50000,"&gt;-50"),"")</f>
        <v/>
      </c>
      <c r="T82" s="12">
        <f>IFERROR(AVERAGEIFS(Estação!$C$2:$C$50000,Estação!$A$2:$A$50000,$B82,Estação!$C$2:$C$50000,"&gt;-50"),"")</f>
        <v/>
      </c>
    </row>
    <row r="83">
      <c r="A83" s="12" t="inlineStr">
        <is>
          <t>ago</t>
        </is>
      </c>
      <c r="B83" s="12">
        <f>YEAR($B$1)&amp;"-08*"</f>
        <v/>
      </c>
      <c r="D83" s="12">
        <f>IFERROR(AVERAGEIFS(Estação!$S$2:$S$50000,Estação!$A$2:$A$50000,$B83,Estação!$S$2:$S$50000,"&gt;-50"),"")</f>
        <v/>
      </c>
      <c r="E83" s="12">
        <f>IFERROR(AVERAGEIFS(Estação!$T$2:$T$50000,Estação!$A$2:$A$50000,$B83,Estação!$T$2:$T$50000,"&gt;-50"),"")</f>
        <v/>
      </c>
      <c r="F83" s="12">
        <f>IFERROR(AVERAGEIFS(Estação!$F$2:$F$50000,Estação!$A$2:$A$50000,$B83,Estação!$F$2:$F$50000,"&gt;-50"),"")</f>
        <v/>
      </c>
      <c r="G83" s="12">
        <f>IFERROR(AVERAGEIFS(Estação!$G$2:$G$50000,Estação!$A$2:$A$50000,$B83,Estação!$G$2:$G$50000,"&gt;-50"),"")</f>
        <v/>
      </c>
      <c r="H83" s="12">
        <f>IFERROR(AVERAGEIFS(Estação!$Z$2:$Z$50000,Estação!$A$2:$A$50000,$B83,Estação!$Z$2:$Z$50000,"&gt;-50"),"")</f>
        <v/>
      </c>
      <c r="I83" s="12">
        <f>IFERROR(AVERAGEIFS(Estação!$E$2:$E$50000,Estação!$A$2:$A$50000,$B83,Estação!$E$2:$E$50000,"&gt;-50"),"")</f>
        <v/>
      </c>
      <c r="J83" s="12">
        <f>IFERROR(AVERAGEIFS(Estação!$H$2:$H$50000,Estação!$A$2:$A$50000,$B83,Estação!$H$2:$H$50000,"&gt;-50"),"")</f>
        <v/>
      </c>
      <c r="K83" s="12">
        <f>IFERROR(AVERAGEIFS(Estação!$L$2:$L$50000,Estação!$A$2:$A$50000,$B83,Estação!$L$2:$L$50000,"&gt;-50"),"")</f>
        <v/>
      </c>
      <c r="L83" s="12">
        <f>IFERROR(AVERAGEIFS(Estação!$B$2:$B$50000,Estação!$A$2:$A$50000,$B83,Estação!$B$2:$B$50000,"&gt;-50"),"")</f>
        <v/>
      </c>
      <c r="M83" s="12">
        <f>IFERROR(AVERAGEIFS(Estação!$M$2:$M$50000,Estação!$A$2:$A$50000,$B83,Estação!$M$2:$M$50000,"&gt;-50"),"")</f>
        <v/>
      </c>
      <c r="N83" s="12">
        <f>IF($B83="§","",SUMIFS(Estação!$O$2:$O$50000,Estação!$A$2:$A$50000,$B83))</f>
        <v/>
      </c>
      <c r="O83" s="12">
        <f>IF($B83="§","",SUMIFS(Estação!$P$2:$P$50000,Estação!$A$2:$A$50000,$B83))</f>
        <v/>
      </c>
      <c r="P83" s="12">
        <f>IF($B83="§","",SUMIFS(Estação!$Q$2:$Q$50000,Estação!$A$2:$A$50000,$B83))</f>
        <v/>
      </c>
      <c r="Q83" s="12">
        <f>IFERROR(AVERAGEIFS(Estação!$AA$2:$AA$50000,Estação!$A$2:$A$50000,$B83,Estação!$AA$2:$AA$50000,"&gt;-50"),"")</f>
        <v/>
      </c>
      <c r="R83" s="12">
        <f>IFERROR(AVERAGEIFS(Estação!$AB$2:$AB$50000,Estação!$A$2:$A$50000,$B83,Estação!$AB$2:$AB$50000,"&gt;-50"),"")</f>
        <v/>
      </c>
      <c r="S83" s="12">
        <f>IFERROR(AVERAGEIFS(Estação!$Y$2:$Y$50000,Estação!$A$2:$A$50000,$B83,Estação!$Y$2:$Y$50000,"&gt;-50"),"")</f>
        <v/>
      </c>
      <c r="T83" s="12">
        <f>IFERROR(AVERAGEIFS(Estação!$C$2:$C$50000,Estação!$A$2:$A$50000,$B83,Estação!$C$2:$C$50000,"&gt;-50"),"")</f>
        <v/>
      </c>
    </row>
    <row r="84">
      <c r="A84" s="12" t="inlineStr">
        <is>
          <t>set</t>
        </is>
      </c>
      <c r="B84" s="12">
        <f>YEAR($B$1)&amp;"-09*"</f>
        <v/>
      </c>
      <c r="D84" s="12">
        <f>IFERROR(AVERAGEIFS(Estação!$S$2:$S$50000,Estação!$A$2:$A$50000,$B84,Estação!$S$2:$S$50000,"&gt;-50"),"")</f>
        <v/>
      </c>
      <c r="E84" s="12">
        <f>IFERROR(AVERAGEIFS(Estação!$T$2:$T$50000,Estação!$A$2:$A$50000,$B84,Estação!$T$2:$T$50000,"&gt;-50"),"")</f>
        <v/>
      </c>
      <c r="F84" s="12">
        <f>IFERROR(AVERAGEIFS(Estação!$F$2:$F$50000,Estação!$A$2:$A$50000,$B84,Estação!$F$2:$F$50000,"&gt;-50"),"")</f>
        <v/>
      </c>
      <c r="G84" s="12">
        <f>IFERROR(AVERAGEIFS(Estação!$G$2:$G$50000,Estação!$A$2:$A$50000,$B84,Estação!$G$2:$G$50000,"&gt;-50"),"")</f>
        <v/>
      </c>
      <c r="H84" s="12">
        <f>IFERROR(AVERAGEIFS(Estação!$Z$2:$Z$50000,Estação!$A$2:$A$50000,$B84,Estação!$Z$2:$Z$50000,"&gt;-50"),"")</f>
        <v/>
      </c>
      <c r="I84" s="12">
        <f>IFERROR(AVERAGEIFS(Estação!$E$2:$E$50000,Estação!$A$2:$A$50000,$B84,Estação!$E$2:$E$50000,"&gt;-50"),"")</f>
        <v/>
      </c>
      <c r="J84" s="12">
        <f>IFERROR(AVERAGEIFS(Estação!$H$2:$H$50000,Estação!$A$2:$A$50000,$B84,Estação!$H$2:$H$50000,"&gt;-50"),"")</f>
        <v/>
      </c>
      <c r="K84" s="12">
        <f>IFERROR(AVERAGEIFS(Estação!$L$2:$L$50000,Estação!$A$2:$A$50000,$B84,Estação!$L$2:$L$50000,"&gt;-50"),"")</f>
        <v/>
      </c>
      <c r="L84" s="12">
        <f>IFERROR(AVERAGEIFS(Estação!$B$2:$B$50000,Estação!$A$2:$A$50000,$B84,Estação!$B$2:$B$50000,"&gt;-50"),"")</f>
        <v/>
      </c>
      <c r="M84" s="12">
        <f>IFERROR(AVERAGEIFS(Estação!$M$2:$M$50000,Estação!$A$2:$A$50000,$B84,Estação!$M$2:$M$50000,"&gt;-50"),"")</f>
        <v/>
      </c>
      <c r="N84" s="12">
        <f>IF($B84="§","",SUMIFS(Estação!$O$2:$O$50000,Estação!$A$2:$A$50000,$B84))</f>
        <v/>
      </c>
      <c r="O84" s="12">
        <f>IF($B84="§","",SUMIFS(Estação!$P$2:$P$50000,Estação!$A$2:$A$50000,$B84))</f>
        <v/>
      </c>
      <c r="P84" s="12">
        <f>IF($B84="§","",SUMIFS(Estação!$Q$2:$Q$50000,Estação!$A$2:$A$50000,$B84))</f>
        <v/>
      </c>
      <c r="Q84" s="12">
        <f>IFERROR(AVERAGEIFS(Estação!$AA$2:$AA$50000,Estação!$A$2:$A$50000,$B84,Estação!$AA$2:$AA$50000,"&gt;-50"),"")</f>
        <v/>
      </c>
      <c r="R84" s="12">
        <f>IFERROR(AVERAGEIFS(Estação!$AB$2:$AB$50000,Estação!$A$2:$A$50000,$B84,Estação!$AB$2:$AB$50000,"&gt;-50"),"")</f>
        <v/>
      </c>
      <c r="S84" s="12">
        <f>IFERROR(AVERAGEIFS(Estação!$Y$2:$Y$50000,Estação!$A$2:$A$50000,$B84,Estação!$Y$2:$Y$50000,"&gt;-50"),"")</f>
        <v/>
      </c>
      <c r="T84" s="12">
        <f>IFERROR(AVERAGEIFS(Estação!$C$2:$C$50000,Estação!$A$2:$A$50000,$B84,Estação!$C$2:$C$50000,"&gt;-50"),"")</f>
        <v/>
      </c>
    </row>
    <row r="85">
      <c r="A85" s="12" t="inlineStr">
        <is>
          <t>out</t>
        </is>
      </c>
      <c r="B85" s="12">
        <f>YEAR($B$1)&amp;"-10*"</f>
        <v/>
      </c>
      <c r="D85" s="12">
        <f>IFERROR(AVERAGEIFS(Estação!$S$2:$S$50000,Estação!$A$2:$A$50000,$B85,Estação!$S$2:$S$50000,"&gt;-50"),"")</f>
        <v/>
      </c>
      <c r="E85" s="12">
        <f>IFERROR(AVERAGEIFS(Estação!$T$2:$T$50000,Estação!$A$2:$A$50000,$B85,Estação!$T$2:$T$50000,"&gt;-50"),"")</f>
        <v/>
      </c>
      <c r="F85" s="12">
        <f>IFERROR(AVERAGEIFS(Estação!$F$2:$F$50000,Estação!$A$2:$A$50000,$B85,Estação!$F$2:$F$50000,"&gt;-50"),"")</f>
        <v/>
      </c>
      <c r="G85" s="12">
        <f>IFERROR(AVERAGEIFS(Estação!$G$2:$G$50000,Estação!$A$2:$A$50000,$B85,Estação!$G$2:$G$50000,"&gt;-50"),"")</f>
        <v/>
      </c>
      <c r="H85" s="12">
        <f>IFERROR(AVERAGEIFS(Estação!$Z$2:$Z$50000,Estação!$A$2:$A$50000,$B85,Estação!$Z$2:$Z$50000,"&gt;-50"),"")</f>
        <v/>
      </c>
      <c r="I85" s="12">
        <f>IFERROR(AVERAGEIFS(Estação!$E$2:$E$50000,Estação!$A$2:$A$50000,$B85,Estação!$E$2:$E$50000,"&gt;-50"),"")</f>
        <v/>
      </c>
      <c r="J85" s="12">
        <f>IFERROR(AVERAGEIFS(Estação!$H$2:$H$50000,Estação!$A$2:$A$50000,$B85,Estação!$H$2:$H$50000,"&gt;-50"),"")</f>
        <v/>
      </c>
      <c r="K85" s="12">
        <f>IFERROR(AVERAGEIFS(Estação!$L$2:$L$50000,Estação!$A$2:$A$50000,$B85,Estação!$L$2:$L$50000,"&gt;-50"),"")</f>
        <v/>
      </c>
      <c r="L85" s="12">
        <f>IFERROR(AVERAGEIFS(Estação!$B$2:$B$50000,Estação!$A$2:$A$50000,$B85,Estação!$B$2:$B$50000,"&gt;-50"),"")</f>
        <v/>
      </c>
      <c r="M85" s="12">
        <f>IFERROR(AVERAGEIFS(Estação!$M$2:$M$50000,Estação!$A$2:$A$50000,$B85,Estação!$M$2:$M$50000,"&gt;-50"),"")</f>
        <v/>
      </c>
      <c r="N85" s="12">
        <f>IF($B85="§","",SUMIFS(Estação!$O$2:$O$50000,Estação!$A$2:$A$50000,$B85))</f>
        <v/>
      </c>
      <c r="O85" s="12">
        <f>IF($B85="§","",SUMIFS(Estação!$P$2:$P$50000,Estação!$A$2:$A$50000,$B85))</f>
        <v/>
      </c>
      <c r="P85" s="12">
        <f>IF($B85="§","",SUMIFS(Estação!$Q$2:$Q$50000,Estação!$A$2:$A$50000,$B85))</f>
        <v/>
      </c>
      <c r="Q85" s="12">
        <f>IFERROR(AVERAGEIFS(Estação!$AA$2:$AA$50000,Estação!$A$2:$A$50000,$B85,Estação!$AA$2:$AA$50000,"&gt;-50"),"")</f>
        <v/>
      </c>
      <c r="R85" s="12">
        <f>IFERROR(AVERAGEIFS(Estação!$AB$2:$AB$50000,Estação!$A$2:$A$50000,$B85,Estação!$AB$2:$AB$50000,"&gt;-50"),"")</f>
        <v/>
      </c>
      <c r="S85" s="12">
        <f>IFERROR(AVERAGEIFS(Estação!$Y$2:$Y$50000,Estação!$A$2:$A$50000,$B85,Estação!$Y$2:$Y$50000,"&gt;-50"),"")</f>
        <v/>
      </c>
      <c r="T85" s="12">
        <f>IFERROR(AVERAGEIFS(Estação!$C$2:$C$50000,Estação!$A$2:$A$50000,$B85,Estação!$C$2:$C$50000,"&gt;-50"),"")</f>
        <v/>
      </c>
    </row>
    <row r="86">
      <c r="A86" s="12" t="inlineStr">
        <is>
          <t>nov</t>
        </is>
      </c>
      <c r="B86" s="12">
        <f>YEAR($B$1)&amp;"-11*"</f>
        <v/>
      </c>
      <c r="D86" s="12">
        <f>IFERROR(AVERAGEIFS(Estação!$S$2:$S$50000,Estação!$A$2:$A$50000,$B86,Estação!$S$2:$S$50000,"&gt;-50"),"")</f>
        <v/>
      </c>
      <c r="E86" s="12">
        <f>IFERROR(AVERAGEIFS(Estação!$T$2:$T$50000,Estação!$A$2:$A$50000,$B86,Estação!$T$2:$T$50000,"&gt;-50"),"")</f>
        <v/>
      </c>
      <c r="F86" s="12">
        <f>IFERROR(AVERAGEIFS(Estação!$F$2:$F$50000,Estação!$A$2:$A$50000,$B86,Estação!$F$2:$F$50000,"&gt;-50"),"")</f>
        <v/>
      </c>
      <c r="G86" s="12">
        <f>IFERROR(AVERAGEIFS(Estação!$G$2:$G$50000,Estação!$A$2:$A$50000,$B86,Estação!$G$2:$G$50000,"&gt;-50"),"")</f>
        <v/>
      </c>
      <c r="H86" s="12">
        <f>IFERROR(AVERAGEIFS(Estação!$Z$2:$Z$50000,Estação!$A$2:$A$50000,$B86,Estação!$Z$2:$Z$50000,"&gt;-50"),"")</f>
        <v/>
      </c>
      <c r="I86" s="12">
        <f>IFERROR(AVERAGEIFS(Estação!$E$2:$E$50000,Estação!$A$2:$A$50000,$B86,Estação!$E$2:$E$50000,"&gt;-50"),"")</f>
        <v/>
      </c>
      <c r="J86" s="12">
        <f>IFERROR(AVERAGEIFS(Estação!$H$2:$H$50000,Estação!$A$2:$A$50000,$B86,Estação!$H$2:$H$50000,"&gt;-50"),"")</f>
        <v/>
      </c>
      <c r="K86" s="12">
        <f>IFERROR(AVERAGEIFS(Estação!$L$2:$L$50000,Estação!$A$2:$A$50000,$B86,Estação!$L$2:$L$50000,"&gt;-50"),"")</f>
        <v/>
      </c>
      <c r="L86" s="12">
        <f>IFERROR(AVERAGEIFS(Estação!$B$2:$B$50000,Estação!$A$2:$A$50000,$B86,Estação!$B$2:$B$50000,"&gt;-50"),"")</f>
        <v/>
      </c>
      <c r="M86" s="12">
        <f>IFERROR(AVERAGEIFS(Estação!$M$2:$M$50000,Estação!$A$2:$A$50000,$B86,Estação!$M$2:$M$50000,"&gt;-50"),"")</f>
        <v/>
      </c>
      <c r="N86" s="12">
        <f>IF($B86="§","",SUMIFS(Estação!$O$2:$O$50000,Estação!$A$2:$A$50000,$B86))</f>
        <v/>
      </c>
      <c r="O86" s="12">
        <f>IF($B86="§","",SUMIFS(Estação!$P$2:$P$50000,Estação!$A$2:$A$50000,$B86))</f>
        <v/>
      </c>
      <c r="P86" s="12">
        <f>IF($B86="§","",SUMIFS(Estação!$Q$2:$Q$50000,Estação!$A$2:$A$50000,$B86))</f>
        <v/>
      </c>
      <c r="Q86" s="12">
        <f>IFERROR(AVERAGEIFS(Estação!$AA$2:$AA$50000,Estação!$A$2:$A$50000,$B86,Estação!$AA$2:$AA$50000,"&gt;-50"),"")</f>
        <v/>
      </c>
      <c r="R86" s="12">
        <f>IFERROR(AVERAGEIFS(Estação!$AB$2:$AB$50000,Estação!$A$2:$A$50000,$B86,Estação!$AB$2:$AB$50000,"&gt;-50"),"")</f>
        <v/>
      </c>
      <c r="S86" s="12">
        <f>IFERROR(AVERAGEIFS(Estação!$Y$2:$Y$50000,Estação!$A$2:$A$50000,$B86,Estação!$Y$2:$Y$50000,"&gt;-50"),"")</f>
        <v/>
      </c>
      <c r="T86" s="12">
        <f>IFERROR(AVERAGEIFS(Estação!$C$2:$C$50000,Estação!$A$2:$A$50000,$B86,Estação!$C$2:$C$50000,"&gt;-50"),"")</f>
        <v/>
      </c>
    </row>
    <row r="87">
      <c r="A87" s="12" t="inlineStr">
        <is>
          <t>dez</t>
        </is>
      </c>
      <c r="B87" s="12">
        <f>YEAR($B$1)&amp;"-12*"</f>
        <v/>
      </c>
      <c r="D87" s="12">
        <f>IFERROR(AVERAGEIFS(Estação!$S$2:$S$50000,Estação!$A$2:$A$50000,$B87,Estação!$S$2:$S$50000,"&gt;-50"),"")</f>
        <v/>
      </c>
      <c r="E87" s="12">
        <f>IFERROR(AVERAGEIFS(Estação!$T$2:$T$50000,Estação!$A$2:$A$50000,$B87,Estação!$T$2:$T$50000,"&gt;-50"),"")</f>
        <v/>
      </c>
      <c r="F87" s="12">
        <f>IFERROR(AVERAGEIFS(Estação!$F$2:$F$50000,Estação!$A$2:$A$50000,$B87,Estação!$F$2:$F$50000,"&gt;-50"),"")</f>
        <v/>
      </c>
      <c r="G87" s="12">
        <f>IFERROR(AVERAGEIFS(Estação!$G$2:$G$50000,Estação!$A$2:$A$50000,$B87,Estação!$G$2:$G$50000,"&gt;-50"),"")</f>
        <v/>
      </c>
      <c r="H87" s="12">
        <f>IFERROR(AVERAGEIFS(Estação!$Z$2:$Z$50000,Estação!$A$2:$A$50000,$B87,Estação!$Z$2:$Z$50000,"&gt;-50"),"")</f>
        <v/>
      </c>
      <c r="I87" s="12">
        <f>IFERROR(AVERAGEIFS(Estação!$E$2:$E$50000,Estação!$A$2:$A$50000,$B87,Estação!$E$2:$E$50000,"&gt;-50"),"")</f>
        <v/>
      </c>
      <c r="J87" s="12">
        <f>IFERROR(AVERAGEIFS(Estação!$H$2:$H$50000,Estação!$A$2:$A$50000,$B87,Estação!$H$2:$H$50000,"&gt;-50"),"")</f>
        <v/>
      </c>
      <c r="K87" s="12">
        <f>IFERROR(AVERAGEIFS(Estação!$L$2:$L$50000,Estação!$A$2:$A$50000,$B87,Estação!$L$2:$L$50000,"&gt;-50"),"")</f>
        <v/>
      </c>
      <c r="L87" s="12">
        <f>IFERROR(AVERAGEIFS(Estação!$B$2:$B$50000,Estação!$A$2:$A$50000,$B87,Estação!$B$2:$B$50000,"&gt;-50"),"")</f>
        <v/>
      </c>
      <c r="M87" s="12">
        <f>IFERROR(AVERAGEIFS(Estação!$M$2:$M$50000,Estação!$A$2:$A$50000,$B87,Estação!$M$2:$M$50000,"&gt;-50"),"")</f>
        <v/>
      </c>
      <c r="N87" s="12">
        <f>IF($B87="§","",SUMIFS(Estação!$O$2:$O$50000,Estação!$A$2:$A$50000,$B87))</f>
        <v/>
      </c>
      <c r="O87" s="12">
        <f>IF($B87="§","",SUMIFS(Estação!$P$2:$P$50000,Estação!$A$2:$A$50000,$B87))</f>
        <v/>
      </c>
      <c r="P87" s="12">
        <f>IF($B87="§","",SUMIFS(Estação!$Q$2:$Q$50000,Estação!$A$2:$A$50000,$B87))</f>
        <v/>
      </c>
      <c r="Q87" s="12">
        <f>IFERROR(AVERAGEIFS(Estação!$AA$2:$AA$50000,Estação!$A$2:$A$50000,$B87,Estação!$AA$2:$AA$50000,"&gt;-50"),"")</f>
        <v/>
      </c>
      <c r="R87" s="12">
        <f>IFERROR(AVERAGEIFS(Estação!$AB$2:$AB$50000,Estação!$A$2:$A$50000,$B87,Estação!$AB$2:$AB$50000,"&gt;-50"),"")</f>
        <v/>
      </c>
      <c r="S87" s="12">
        <f>IFERROR(AVERAGEIFS(Estação!$Y$2:$Y$50000,Estação!$A$2:$A$50000,$B87,Estação!$Y$2:$Y$50000,"&gt;-50"),"")</f>
        <v/>
      </c>
      <c r="T87" s="12">
        <f>IFERROR(AVERAGEIFS(Estação!$C$2:$C$50000,Estação!$A$2:$A$50000,$B87,Estação!$C$2:$C$50000,"&gt;-50"),"")</f>
        <v/>
      </c>
    </row>
    <row r="90">
      <c r="A90" s="12" t="inlineStr">
        <is>
          <t>rótulo</t>
        </is>
      </c>
      <c r="B90" s="12" t="inlineStr">
        <is>
          <t>critério</t>
        </is>
      </c>
      <c r="C90" s="12" t="inlineStr">
        <is>
          <t>data</t>
        </is>
      </c>
      <c r="D90" s="12" t="inlineStr">
        <is>
          <t>temp_current</t>
        </is>
      </c>
      <c r="E90" s="12" t="inlineStr">
        <is>
          <t>temp_current_external</t>
        </is>
      </c>
      <c r="F90" s="12" t="inlineStr">
        <is>
          <t>feellike_temp</t>
        </is>
      </c>
      <c r="G90" s="12" t="inlineStr">
        <is>
          <t>heat_index</t>
        </is>
      </c>
      <c r="H90" s="12" t="inlineStr">
        <is>
          <t>windchill_index</t>
        </is>
      </c>
      <c r="I90" s="12" t="inlineStr">
        <is>
          <t>dew_point_temp</t>
        </is>
      </c>
      <c r="J90" s="12" t="inlineStr">
        <is>
          <t>humidity_outdoor</t>
        </is>
      </c>
      <c r="K90" s="12" t="inlineStr">
        <is>
          <t>humidity_value</t>
        </is>
      </c>
      <c r="L90" s="12" t="inlineStr">
        <is>
          <t>atmospheric_pressture</t>
        </is>
      </c>
      <c r="M90" s="12" t="inlineStr">
        <is>
          <t>pressure_drop</t>
        </is>
      </c>
      <c r="N90" s="12" t="inlineStr">
        <is>
          <t>rain_1h</t>
        </is>
      </c>
      <c r="O90" s="12" t="inlineStr">
        <is>
          <t>rain_24h</t>
        </is>
      </c>
      <c r="P90" s="12" t="inlineStr">
        <is>
          <t>rain_rate</t>
        </is>
      </c>
      <c r="Q90" s="12" t="inlineStr">
        <is>
          <t>windspeed_avg</t>
        </is>
      </c>
      <c r="R90" s="12" t="inlineStr">
        <is>
          <t>windspeed_gust</t>
        </is>
      </c>
      <c r="S90" s="12" t="inlineStr">
        <is>
          <t>uv_index</t>
        </is>
      </c>
      <c r="T90" s="12" t="inlineStr">
        <is>
          <t>battery_percentage</t>
        </is>
      </c>
    </row>
    <row r="91">
      <c r="A91" s="12">
        <f>IF($C91&gt;DATE(YEAR($B$1),MONTH($B$1),1),"",RIGHT("0"&amp;MONTH($C91),2)&amp;"/"&amp;YEAR($C91))</f>
        <v/>
      </c>
      <c r="B91" s="12">
        <f>IF($C91&gt;DATE(YEAR($B$1),MONTH($B$1),1),"§",YEAR($C91)&amp;"-"&amp;RIGHT("0"&amp;MONTH($C91),2)&amp;"*")</f>
        <v/>
      </c>
      <c r="C91" s="12">
        <f>EDATE(DATE(YEAR($C$1),MONTH($C$1),1),0)</f>
        <v/>
      </c>
      <c r="D91" s="12">
        <f>IF($B91="§","",IFERROR(AVERAGEIFS(Estação!$S$2:$S$50000,Estação!$A$2:$A$50000,$B91,Estação!$S$2:$S$50000,"&gt;-50"),""))</f>
        <v/>
      </c>
      <c r="E91" s="12">
        <f>IF($B91="§","",IFERROR(AVERAGEIFS(Estação!$T$2:$T$50000,Estação!$A$2:$A$50000,$B91,Estação!$T$2:$T$50000,"&gt;-50"),""))</f>
        <v/>
      </c>
      <c r="F91" s="12">
        <f>IF($B91="§","",IFERROR(AVERAGEIFS(Estação!$F$2:$F$50000,Estação!$A$2:$A$50000,$B91,Estação!$F$2:$F$50000,"&gt;-50"),""))</f>
        <v/>
      </c>
      <c r="G91" s="12">
        <f>IF($B91="§","",IFERROR(AVERAGEIFS(Estação!$G$2:$G$50000,Estação!$A$2:$A$50000,$B91,Estação!$G$2:$G$50000,"&gt;-50"),""))</f>
        <v/>
      </c>
      <c r="H91" s="12">
        <f>IF($B91="§","",IFERROR(AVERAGEIFS(Estação!$Z$2:$Z$50000,Estação!$A$2:$A$50000,$B91,Estação!$Z$2:$Z$50000,"&gt;-50"),""))</f>
        <v/>
      </c>
      <c r="I91" s="12">
        <f>IF($B91="§","",IFERROR(AVERAGEIFS(Estação!$E$2:$E$50000,Estação!$A$2:$A$50000,$B91,Estação!$E$2:$E$50000,"&gt;-50"),""))</f>
        <v/>
      </c>
      <c r="J91" s="12">
        <f>IF($B91="§","",IFERROR(AVERAGEIFS(Estação!$H$2:$H$50000,Estação!$A$2:$A$50000,$B91,Estação!$H$2:$H$50000,"&gt;-50"),""))</f>
        <v/>
      </c>
      <c r="K91" s="12">
        <f>IF($B91="§","",IFERROR(AVERAGEIFS(Estação!$L$2:$L$50000,Estação!$A$2:$A$50000,$B91,Estação!$L$2:$L$50000,"&gt;-50"),""))</f>
        <v/>
      </c>
      <c r="L91" s="12">
        <f>IF($B91="§","",IFERROR(AVERAGEIFS(Estação!$B$2:$B$50000,Estação!$A$2:$A$50000,$B91,Estação!$B$2:$B$50000,"&gt;-50"),""))</f>
        <v/>
      </c>
      <c r="M91" s="12">
        <f>IF($B91="§","",IFERROR(AVERAGEIFS(Estação!$M$2:$M$50000,Estação!$A$2:$A$50000,$B91,Estação!$M$2:$M$50000,"&gt;-50"),""))</f>
        <v/>
      </c>
      <c r="N91" s="12">
        <f>IF($B91="§","",SUMIFS(Estação!$O$2:$O$50000,Estação!$A$2:$A$50000,$B91))</f>
        <v/>
      </c>
      <c r="O91" s="12">
        <f>IF($B91="§","",SUMIFS(Estação!$P$2:$P$50000,Estação!$A$2:$A$50000,$B91))</f>
        <v/>
      </c>
      <c r="P91" s="12">
        <f>IF($B91="§","",SUMIFS(Estação!$Q$2:$Q$50000,Estação!$A$2:$A$50000,$B91))</f>
        <v/>
      </c>
      <c r="Q91" s="12">
        <f>IF($B91="§","",IFERROR(AVERAGEIFS(Estação!$AA$2:$AA$50000,Estação!$A$2:$A$50000,$B91,Estação!$AA$2:$AA$50000,"&gt;-50"),""))</f>
        <v/>
      </c>
      <c r="R91" s="12">
        <f>IF($B91="§","",IFERROR(AVERAGEIFS(Estação!$AB$2:$AB$50000,Estação!$A$2:$A$50000,$B91,Estação!$AB$2:$AB$50000,"&gt;-50"),""))</f>
        <v/>
      </c>
      <c r="S91" s="12">
        <f>IF($B91="§","",IFERROR(AVERAGEIFS(Estação!$Y$2:$Y$50000,Estação!$A$2:$A$50000,$B91,Estação!$Y$2:$Y$50000,"&gt;-50"),""))</f>
        <v/>
      </c>
      <c r="T91" s="12">
        <f>IF($B91="§","",IFERROR(AVERAGEIFS(Estação!$C$2:$C$50000,Estação!$A$2:$A$50000,$B91,Estação!$C$2:$C$50000,"&gt;-50"),""))</f>
        <v/>
      </c>
    </row>
    <row r="92">
      <c r="A92" s="12">
        <f>IF($C92&gt;DATE(YEAR($B$1),MONTH($B$1),1),"",RIGHT("0"&amp;MONTH($C92),2)&amp;"/"&amp;YEAR($C92))</f>
        <v/>
      </c>
      <c r="B92" s="12">
        <f>IF($C92&gt;DATE(YEAR($B$1),MONTH($B$1),1),"§",YEAR($C92)&amp;"-"&amp;RIGHT("0"&amp;MONTH($C92),2)&amp;"*")</f>
        <v/>
      </c>
      <c r="C92" s="12">
        <f>EDATE(DATE(YEAR($C$1),MONTH($C$1),1),1)</f>
        <v/>
      </c>
      <c r="D92" s="12">
        <f>IF($B92="§","",IFERROR(AVERAGEIFS(Estação!$S$2:$S$50000,Estação!$A$2:$A$50000,$B92,Estação!$S$2:$S$50000,"&gt;-50"),""))</f>
        <v/>
      </c>
      <c r="E92" s="12">
        <f>IF($B92="§","",IFERROR(AVERAGEIFS(Estação!$T$2:$T$50000,Estação!$A$2:$A$50000,$B92,Estação!$T$2:$T$50000,"&gt;-50"),""))</f>
        <v/>
      </c>
      <c r="F92" s="12">
        <f>IF($B92="§","",IFERROR(AVERAGEIFS(Estação!$F$2:$F$50000,Estação!$A$2:$A$50000,$B92,Estação!$F$2:$F$50000,"&gt;-50"),""))</f>
        <v/>
      </c>
      <c r="G92" s="12">
        <f>IF($B92="§","",IFERROR(AVERAGEIFS(Estação!$G$2:$G$50000,Estação!$A$2:$A$50000,$B92,Estação!$G$2:$G$50000,"&gt;-50"),""))</f>
        <v/>
      </c>
      <c r="H92" s="12">
        <f>IF($B92="§","",IFERROR(AVERAGEIFS(Estação!$Z$2:$Z$50000,Estação!$A$2:$A$50000,$B92,Estação!$Z$2:$Z$50000,"&gt;-50"),""))</f>
        <v/>
      </c>
      <c r="I92" s="12">
        <f>IF($B92="§","",IFERROR(AVERAGEIFS(Estação!$E$2:$E$50000,Estação!$A$2:$A$50000,$B92,Estação!$E$2:$E$50000,"&gt;-50"),""))</f>
        <v/>
      </c>
      <c r="J92" s="12">
        <f>IF($B92="§","",IFERROR(AVERAGEIFS(Estação!$H$2:$H$50000,Estação!$A$2:$A$50000,$B92,Estação!$H$2:$H$50000,"&gt;-50"),""))</f>
        <v/>
      </c>
      <c r="K92" s="12">
        <f>IF($B92="§","",IFERROR(AVERAGEIFS(Estação!$L$2:$L$50000,Estação!$A$2:$A$50000,$B92,Estação!$L$2:$L$50000,"&gt;-50"),""))</f>
        <v/>
      </c>
      <c r="L92" s="12">
        <f>IF($B92="§","",IFERROR(AVERAGEIFS(Estação!$B$2:$B$50000,Estação!$A$2:$A$50000,$B92,Estação!$B$2:$B$50000,"&gt;-50"),""))</f>
        <v/>
      </c>
      <c r="M92" s="12">
        <f>IF($B92="§","",IFERROR(AVERAGEIFS(Estação!$M$2:$M$50000,Estação!$A$2:$A$50000,$B92,Estação!$M$2:$M$50000,"&gt;-50"),""))</f>
        <v/>
      </c>
      <c r="N92" s="12">
        <f>IF($B92="§","",N(N91)+SUMIFS(Estação!$O$2:$O$50000,Estação!$A$2:$A$50000,$B92))</f>
        <v/>
      </c>
      <c r="O92" s="12">
        <f>IF($B92="§","",N(O91)+SUMIFS(Estação!$P$2:$P$50000,Estação!$A$2:$A$50000,$B92))</f>
        <v/>
      </c>
      <c r="P92" s="12">
        <f>IF($B92="§","",N(P91)+SUMIFS(Estação!$Q$2:$Q$50000,Estação!$A$2:$A$50000,$B92))</f>
        <v/>
      </c>
      <c r="Q92" s="12">
        <f>IF($B92="§","",IFERROR(AVERAGEIFS(Estação!$AA$2:$AA$50000,Estação!$A$2:$A$50000,$B92,Estação!$AA$2:$AA$50000,"&gt;-50"),""))</f>
        <v/>
      </c>
      <c r="R92" s="12">
        <f>IF($B92="§","",IFERROR(AVERAGEIFS(Estação!$AB$2:$AB$50000,Estação!$A$2:$A$50000,$B92,Estação!$AB$2:$AB$50000,"&gt;-50"),""))</f>
        <v/>
      </c>
      <c r="S92" s="12">
        <f>IF($B92="§","",IFERROR(AVERAGEIFS(Estação!$Y$2:$Y$50000,Estação!$A$2:$A$50000,$B92,Estação!$Y$2:$Y$50000,"&gt;-50"),""))</f>
        <v/>
      </c>
      <c r="T92" s="12">
        <f>IF($B92="§","",IFERROR(AVERAGEIFS(Estação!$C$2:$C$50000,Estação!$A$2:$A$50000,$B92,Estação!$C$2:$C$50000,"&gt;-50"),""))</f>
        <v/>
      </c>
    </row>
    <row r="93">
      <c r="A93" s="12">
        <f>IF($C93&gt;DATE(YEAR($B$1),MONTH($B$1),1),"",RIGHT("0"&amp;MONTH($C93),2)&amp;"/"&amp;YEAR($C93))</f>
        <v/>
      </c>
      <c r="B93" s="12">
        <f>IF($C93&gt;DATE(YEAR($B$1),MONTH($B$1),1),"§",YEAR($C93)&amp;"-"&amp;RIGHT("0"&amp;MONTH($C93),2)&amp;"*")</f>
        <v/>
      </c>
      <c r="C93" s="12">
        <f>EDATE(DATE(YEAR($C$1),MONTH($C$1),1),2)</f>
        <v/>
      </c>
      <c r="D93" s="12">
        <f>IF($B93="§","",IFERROR(AVERAGEIFS(Estação!$S$2:$S$50000,Estação!$A$2:$A$50000,$B93,Estação!$S$2:$S$50000,"&gt;-50"),""))</f>
        <v/>
      </c>
      <c r="E93" s="12">
        <f>IF($B93="§","",IFERROR(AVERAGEIFS(Estação!$T$2:$T$50000,Estação!$A$2:$A$50000,$B93,Estação!$T$2:$T$50000,"&gt;-50"),""))</f>
        <v/>
      </c>
      <c r="F93" s="12">
        <f>IF($B93="§","",IFERROR(AVERAGEIFS(Estação!$F$2:$F$50000,Estação!$A$2:$A$50000,$B93,Estação!$F$2:$F$50000,"&gt;-50"),""))</f>
        <v/>
      </c>
      <c r="G93" s="12">
        <f>IF($B93="§","",IFERROR(AVERAGEIFS(Estação!$G$2:$G$50000,Estação!$A$2:$A$50000,$B93,Estação!$G$2:$G$50000,"&gt;-50"),""))</f>
        <v/>
      </c>
      <c r="H93" s="12">
        <f>IF($B93="§","",IFERROR(AVERAGEIFS(Estação!$Z$2:$Z$50000,Estação!$A$2:$A$50000,$B93,Estação!$Z$2:$Z$50000,"&gt;-50"),""))</f>
        <v/>
      </c>
      <c r="I93" s="12">
        <f>IF($B93="§","",IFERROR(AVERAGEIFS(Estação!$E$2:$E$50000,Estação!$A$2:$A$50000,$B93,Estação!$E$2:$E$50000,"&gt;-50"),""))</f>
        <v/>
      </c>
      <c r="J93" s="12">
        <f>IF($B93="§","",IFERROR(AVERAGEIFS(Estação!$H$2:$H$50000,Estação!$A$2:$A$50000,$B93,Estação!$H$2:$H$50000,"&gt;-50"),""))</f>
        <v/>
      </c>
      <c r="K93" s="12">
        <f>IF($B93="§","",IFERROR(AVERAGEIFS(Estação!$L$2:$L$50000,Estação!$A$2:$A$50000,$B93,Estação!$L$2:$L$50000,"&gt;-50"),""))</f>
        <v/>
      </c>
      <c r="L93" s="12">
        <f>IF($B93="§","",IFERROR(AVERAGEIFS(Estação!$B$2:$B$50000,Estação!$A$2:$A$50000,$B93,Estação!$B$2:$B$50000,"&gt;-50"),""))</f>
        <v/>
      </c>
      <c r="M93" s="12">
        <f>IF($B93="§","",IFERROR(AVERAGEIFS(Estação!$M$2:$M$50000,Estação!$A$2:$A$50000,$B93,Estação!$M$2:$M$50000,"&gt;-50"),""))</f>
        <v/>
      </c>
      <c r="N93" s="12">
        <f>IF($B93="§","",N(N92)+SUMIFS(Estação!$O$2:$O$50000,Estação!$A$2:$A$50000,$B93))</f>
        <v/>
      </c>
      <c r="O93" s="12">
        <f>IF($B93="§","",N(O92)+SUMIFS(Estação!$P$2:$P$50000,Estação!$A$2:$A$50000,$B93))</f>
        <v/>
      </c>
      <c r="P93" s="12">
        <f>IF($B93="§","",N(P92)+SUMIFS(Estação!$Q$2:$Q$50000,Estação!$A$2:$A$50000,$B93))</f>
        <v/>
      </c>
      <c r="Q93" s="12">
        <f>IF($B93="§","",IFERROR(AVERAGEIFS(Estação!$AA$2:$AA$50000,Estação!$A$2:$A$50000,$B93,Estação!$AA$2:$AA$50000,"&gt;-50"),""))</f>
        <v/>
      </c>
      <c r="R93" s="12">
        <f>IF($B93="§","",IFERROR(AVERAGEIFS(Estação!$AB$2:$AB$50000,Estação!$A$2:$A$50000,$B93,Estação!$AB$2:$AB$50000,"&gt;-50"),""))</f>
        <v/>
      </c>
      <c r="S93" s="12">
        <f>IF($B93="§","",IFERROR(AVERAGEIFS(Estação!$Y$2:$Y$50000,Estação!$A$2:$A$50000,$B93,Estação!$Y$2:$Y$50000,"&gt;-50"),""))</f>
        <v/>
      </c>
      <c r="T93" s="12">
        <f>IF($B93="§","",IFERROR(AVERAGEIFS(Estação!$C$2:$C$50000,Estação!$A$2:$A$50000,$B93,Estação!$C$2:$C$50000,"&gt;-50"),""))</f>
        <v/>
      </c>
    </row>
    <row r="94">
      <c r="A94" s="12">
        <f>IF($C94&gt;DATE(YEAR($B$1),MONTH($B$1),1),"",RIGHT("0"&amp;MONTH($C94),2)&amp;"/"&amp;YEAR($C94))</f>
        <v/>
      </c>
      <c r="B94" s="12">
        <f>IF($C94&gt;DATE(YEAR($B$1),MONTH($B$1),1),"§",YEAR($C94)&amp;"-"&amp;RIGHT("0"&amp;MONTH($C94),2)&amp;"*")</f>
        <v/>
      </c>
      <c r="C94" s="12">
        <f>EDATE(DATE(YEAR($C$1),MONTH($C$1),1),3)</f>
        <v/>
      </c>
      <c r="D94" s="12">
        <f>IF($B94="§","",IFERROR(AVERAGEIFS(Estação!$S$2:$S$50000,Estação!$A$2:$A$50000,$B94,Estação!$S$2:$S$50000,"&gt;-50"),""))</f>
        <v/>
      </c>
      <c r="E94" s="12">
        <f>IF($B94="§","",IFERROR(AVERAGEIFS(Estação!$T$2:$T$50000,Estação!$A$2:$A$50000,$B94,Estação!$T$2:$T$50000,"&gt;-50"),""))</f>
        <v/>
      </c>
      <c r="F94" s="12">
        <f>IF($B94="§","",IFERROR(AVERAGEIFS(Estação!$F$2:$F$50000,Estação!$A$2:$A$50000,$B94,Estação!$F$2:$F$50000,"&gt;-50"),""))</f>
        <v/>
      </c>
      <c r="G94" s="12">
        <f>IF($B94="§","",IFERROR(AVERAGEIFS(Estação!$G$2:$G$50000,Estação!$A$2:$A$50000,$B94,Estação!$G$2:$G$50000,"&gt;-50"),""))</f>
        <v/>
      </c>
      <c r="H94" s="12">
        <f>IF($B94="§","",IFERROR(AVERAGEIFS(Estação!$Z$2:$Z$50000,Estação!$A$2:$A$50000,$B94,Estação!$Z$2:$Z$50000,"&gt;-50"),""))</f>
        <v/>
      </c>
      <c r="I94" s="12">
        <f>IF($B94="§","",IFERROR(AVERAGEIFS(Estação!$E$2:$E$50000,Estação!$A$2:$A$50000,$B94,Estação!$E$2:$E$50000,"&gt;-50"),""))</f>
        <v/>
      </c>
      <c r="J94" s="12">
        <f>IF($B94="§","",IFERROR(AVERAGEIFS(Estação!$H$2:$H$50000,Estação!$A$2:$A$50000,$B94,Estação!$H$2:$H$50000,"&gt;-50"),""))</f>
        <v/>
      </c>
      <c r="K94" s="12">
        <f>IF($B94="§","",IFERROR(AVERAGEIFS(Estação!$L$2:$L$50000,Estação!$A$2:$A$50000,$B94,Estação!$L$2:$L$50000,"&gt;-50"),""))</f>
        <v/>
      </c>
      <c r="L94" s="12">
        <f>IF($B94="§","",IFERROR(AVERAGEIFS(Estação!$B$2:$B$50000,Estação!$A$2:$A$50000,$B94,Estação!$B$2:$B$50000,"&gt;-50"),""))</f>
        <v/>
      </c>
      <c r="M94" s="12">
        <f>IF($B94="§","",IFERROR(AVERAGEIFS(Estação!$M$2:$M$50000,Estação!$A$2:$A$50000,$B94,Estação!$M$2:$M$50000,"&gt;-50"),""))</f>
        <v/>
      </c>
      <c r="N94" s="12">
        <f>IF($B94="§","",N(N93)+SUMIFS(Estação!$O$2:$O$50000,Estação!$A$2:$A$50000,$B94))</f>
        <v/>
      </c>
      <c r="O94" s="12">
        <f>IF($B94="§","",N(O93)+SUMIFS(Estação!$P$2:$P$50000,Estação!$A$2:$A$50000,$B94))</f>
        <v/>
      </c>
      <c r="P94" s="12">
        <f>IF($B94="§","",N(P93)+SUMIFS(Estação!$Q$2:$Q$50000,Estação!$A$2:$A$50000,$B94))</f>
        <v/>
      </c>
      <c r="Q94" s="12">
        <f>IF($B94="§","",IFERROR(AVERAGEIFS(Estação!$AA$2:$AA$50000,Estação!$A$2:$A$50000,$B94,Estação!$AA$2:$AA$50000,"&gt;-50"),""))</f>
        <v/>
      </c>
      <c r="R94" s="12">
        <f>IF($B94="§","",IFERROR(AVERAGEIFS(Estação!$AB$2:$AB$50000,Estação!$A$2:$A$50000,$B94,Estação!$AB$2:$AB$50000,"&gt;-50"),""))</f>
        <v/>
      </c>
      <c r="S94" s="12">
        <f>IF($B94="§","",IFERROR(AVERAGEIFS(Estação!$Y$2:$Y$50000,Estação!$A$2:$A$50000,$B94,Estação!$Y$2:$Y$50000,"&gt;-50"),""))</f>
        <v/>
      </c>
      <c r="T94" s="12">
        <f>IF($B94="§","",IFERROR(AVERAGEIFS(Estação!$C$2:$C$50000,Estação!$A$2:$A$50000,$B94,Estação!$C$2:$C$50000,"&gt;-50"),""))</f>
        <v/>
      </c>
    </row>
    <row r="95">
      <c r="A95" s="12">
        <f>IF($C95&gt;DATE(YEAR($B$1),MONTH($B$1),1),"",RIGHT("0"&amp;MONTH($C95),2)&amp;"/"&amp;YEAR($C95))</f>
        <v/>
      </c>
      <c r="B95" s="12">
        <f>IF($C95&gt;DATE(YEAR($B$1),MONTH($B$1),1),"§",YEAR($C95)&amp;"-"&amp;RIGHT("0"&amp;MONTH($C95),2)&amp;"*")</f>
        <v/>
      </c>
      <c r="C95" s="12">
        <f>EDATE(DATE(YEAR($C$1),MONTH($C$1),1),4)</f>
        <v/>
      </c>
      <c r="D95" s="12">
        <f>IF($B95="§","",IFERROR(AVERAGEIFS(Estação!$S$2:$S$50000,Estação!$A$2:$A$50000,$B95,Estação!$S$2:$S$50000,"&gt;-50"),""))</f>
        <v/>
      </c>
      <c r="E95" s="12">
        <f>IF($B95="§","",IFERROR(AVERAGEIFS(Estação!$T$2:$T$50000,Estação!$A$2:$A$50000,$B95,Estação!$T$2:$T$50000,"&gt;-50"),""))</f>
        <v/>
      </c>
      <c r="F95" s="12">
        <f>IF($B95="§","",IFERROR(AVERAGEIFS(Estação!$F$2:$F$50000,Estação!$A$2:$A$50000,$B95,Estação!$F$2:$F$50000,"&gt;-50"),""))</f>
        <v/>
      </c>
      <c r="G95" s="12">
        <f>IF($B95="§","",IFERROR(AVERAGEIFS(Estação!$G$2:$G$50000,Estação!$A$2:$A$50000,$B95,Estação!$G$2:$G$50000,"&gt;-50"),""))</f>
        <v/>
      </c>
      <c r="H95" s="12">
        <f>IF($B95="§","",IFERROR(AVERAGEIFS(Estação!$Z$2:$Z$50000,Estação!$A$2:$A$50000,$B95,Estação!$Z$2:$Z$50000,"&gt;-50"),""))</f>
        <v/>
      </c>
      <c r="I95" s="12">
        <f>IF($B95="§","",IFERROR(AVERAGEIFS(Estação!$E$2:$E$50000,Estação!$A$2:$A$50000,$B95,Estação!$E$2:$E$50000,"&gt;-50"),""))</f>
        <v/>
      </c>
      <c r="J95" s="12">
        <f>IF($B95="§","",IFERROR(AVERAGEIFS(Estação!$H$2:$H$50000,Estação!$A$2:$A$50000,$B95,Estação!$H$2:$H$50000,"&gt;-50"),""))</f>
        <v/>
      </c>
      <c r="K95" s="12">
        <f>IF($B95="§","",IFERROR(AVERAGEIFS(Estação!$L$2:$L$50000,Estação!$A$2:$A$50000,$B95,Estação!$L$2:$L$50000,"&gt;-50"),""))</f>
        <v/>
      </c>
      <c r="L95" s="12">
        <f>IF($B95="§","",IFERROR(AVERAGEIFS(Estação!$B$2:$B$50000,Estação!$A$2:$A$50000,$B95,Estação!$B$2:$B$50000,"&gt;-50"),""))</f>
        <v/>
      </c>
      <c r="M95" s="12">
        <f>IF($B95="§","",IFERROR(AVERAGEIFS(Estação!$M$2:$M$50000,Estação!$A$2:$A$50000,$B95,Estação!$M$2:$M$50000,"&gt;-50"),""))</f>
        <v/>
      </c>
      <c r="N95" s="12">
        <f>IF($B95="§","",N(N94)+SUMIFS(Estação!$O$2:$O$50000,Estação!$A$2:$A$50000,$B95))</f>
        <v/>
      </c>
      <c r="O95" s="12">
        <f>IF($B95="§","",N(O94)+SUMIFS(Estação!$P$2:$P$50000,Estação!$A$2:$A$50000,$B95))</f>
        <v/>
      </c>
      <c r="P95" s="12">
        <f>IF($B95="§","",N(P94)+SUMIFS(Estação!$Q$2:$Q$50000,Estação!$A$2:$A$50000,$B95))</f>
        <v/>
      </c>
      <c r="Q95" s="12">
        <f>IF($B95="§","",IFERROR(AVERAGEIFS(Estação!$AA$2:$AA$50000,Estação!$A$2:$A$50000,$B95,Estação!$AA$2:$AA$50000,"&gt;-50"),""))</f>
        <v/>
      </c>
      <c r="R95" s="12">
        <f>IF($B95="§","",IFERROR(AVERAGEIFS(Estação!$AB$2:$AB$50000,Estação!$A$2:$A$50000,$B95,Estação!$AB$2:$AB$50000,"&gt;-50"),""))</f>
        <v/>
      </c>
      <c r="S95" s="12">
        <f>IF($B95="§","",IFERROR(AVERAGEIFS(Estação!$Y$2:$Y$50000,Estação!$A$2:$A$50000,$B95,Estação!$Y$2:$Y$50000,"&gt;-50"),""))</f>
        <v/>
      </c>
      <c r="T95" s="12">
        <f>IF($B95="§","",IFERROR(AVERAGEIFS(Estação!$C$2:$C$50000,Estação!$A$2:$A$50000,$B95,Estação!$C$2:$C$50000,"&gt;-50"),""))</f>
        <v/>
      </c>
    </row>
    <row r="96">
      <c r="A96" s="12">
        <f>IF($C96&gt;DATE(YEAR($B$1),MONTH($B$1),1),"",RIGHT("0"&amp;MONTH($C96),2)&amp;"/"&amp;YEAR($C96))</f>
        <v/>
      </c>
      <c r="B96" s="12">
        <f>IF($C96&gt;DATE(YEAR($B$1),MONTH($B$1),1),"§",YEAR($C96)&amp;"-"&amp;RIGHT("0"&amp;MONTH($C96),2)&amp;"*")</f>
        <v/>
      </c>
      <c r="C96" s="12">
        <f>EDATE(DATE(YEAR($C$1),MONTH($C$1),1),5)</f>
        <v/>
      </c>
      <c r="D96" s="12">
        <f>IF($B96="§","",IFERROR(AVERAGEIFS(Estação!$S$2:$S$50000,Estação!$A$2:$A$50000,$B96,Estação!$S$2:$S$50000,"&gt;-50"),""))</f>
        <v/>
      </c>
      <c r="E96" s="12">
        <f>IF($B96="§","",IFERROR(AVERAGEIFS(Estação!$T$2:$T$50000,Estação!$A$2:$A$50000,$B96,Estação!$T$2:$T$50000,"&gt;-50"),""))</f>
        <v/>
      </c>
      <c r="F96" s="12">
        <f>IF($B96="§","",IFERROR(AVERAGEIFS(Estação!$F$2:$F$50000,Estação!$A$2:$A$50000,$B96,Estação!$F$2:$F$50000,"&gt;-50"),""))</f>
        <v/>
      </c>
      <c r="G96" s="12">
        <f>IF($B96="§","",IFERROR(AVERAGEIFS(Estação!$G$2:$G$50000,Estação!$A$2:$A$50000,$B96,Estação!$G$2:$G$50000,"&gt;-50"),""))</f>
        <v/>
      </c>
      <c r="H96" s="12">
        <f>IF($B96="§","",IFERROR(AVERAGEIFS(Estação!$Z$2:$Z$50000,Estação!$A$2:$A$50000,$B96,Estação!$Z$2:$Z$50000,"&gt;-50"),""))</f>
        <v/>
      </c>
      <c r="I96" s="12">
        <f>IF($B96="§","",IFERROR(AVERAGEIFS(Estação!$E$2:$E$50000,Estação!$A$2:$A$50000,$B96,Estação!$E$2:$E$50000,"&gt;-50"),""))</f>
        <v/>
      </c>
      <c r="J96" s="12">
        <f>IF($B96="§","",IFERROR(AVERAGEIFS(Estação!$H$2:$H$50000,Estação!$A$2:$A$50000,$B96,Estação!$H$2:$H$50000,"&gt;-50"),""))</f>
        <v/>
      </c>
      <c r="K96" s="12">
        <f>IF($B96="§","",IFERROR(AVERAGEIFS(Estação!$L$2:$L$50000,Estação!$A$2:$A$50000,$B96,Estação!$L$2:$L$50000,"&gt;-50"),""))</f>
        <v/>
      </c>
      <c r="L96" s="12">
        <f>IF($B96="§","",IFERROR(AVERAGEIFS(Estação!$B$2:$B$50000,Estação!$A$2:$A$50000,$B96,Estação!$B$2:$B$50000,"&gt;-50"),""))</f>
        <v/>
      </c>
      <c r="M96" s="12">
        <f>IF($B96="§","",IFERROR(AVERAGEIFS(Estação!$M$2:$M$50000,Estação!$A$2:$A$50000,$B96,Estação!$M$2:$M$50000,"&gt;-50"),""))</f>
        <v/>
      </c>
      <c r="N96" s="12">
        <f>IF($B96="§","",N(N95)+SUMIFS(Estação!$O$2:$O$50000,Estação!$A$2:$A$50000,$B96))</f>
        <v/>
      </c>
      <c r="O96" s="12">
        <f>IF($B96="§","",N(O95)+SUMIFS(Estação!$P$2:$P$50000,Estação!$A$2:$A$50000,$B96))</f>
        <v/>
      </c>
      <c r="P96" s="12">
        <f>IF($B96="§","",N(P95)+SUMIFS(Estação!$Q$2:$Q$50000,Estação!$A$2:$A$50000,$B96))</f>
        <v/>
      </c>
      <c r="Q96" s="12">
        <f>IF($B96="§","",IFERROR(AVERAGEIFS(Estação!$AA$2:$AA$50000,Estação!$A$2:$A$50000,$B96,Estação!$AA$2:$AA$50000,"&gt;-50"),""))</f>
        <v/>
      </c>
      <c r="R96" s="12">
        <f>IF($B96="§","",IFERROR(AVERAGEIFS(Estação!$AB$2:$AB$50000,Estação!$A$2:$A$50000,$B96,Estação!$AB$2:$AB$50000,"&gt;-50"),""))</f>
        <v/>
      </c>
      <c r="S96" s="12">
        <f>IF($B96="§","",IFERROR(AVERAGEIFS(Estação!$Y$2:$Y$50000,Estação!$A$2:$A$50000,$B96,Estação!$Y$2:$Y$50000,"&gt;-50"),""))</f>
        <v/>
      </c>
      <c r="T96" s="12">
        <f>IF($B96="§","",IFERROR(AVERAGEIFS(Estação!$C$2:$C$50000,Estação!$A$2:$A$50000,$B96,Estação!$C$2:$C$50000,"&gt;-50"),""))</f>
        <v/>
      </c>
    </row>
    <row r="97">
      <c r="A97" s="12">
        <f>IF($C97&gt;DATE(YEAR($B$1),MONTH($B$1),1),"",RIGHT("0"&amp;MONTH($C97),2)&amp;"/"&amp;YEAR($C97))</f>
        <v/>
      </c>
      <c r="B97" s="12">
        <f>IF($C97&gt;DATE(YEAR($B$1),MONTH($B$1),1),"§",YEAR($C97)&amp;"-"&amp;RIGHT("0"&amp;MONTH($C97),2)&amp;"*")</f>
        <v/>
      </c>
      <c r="C97" s="12">
        <f>EDATE(DATE(YEAR($C$1),MONTH($C$1),1),6)</f>
        <v/>
      </c>
      <c r="D97" s="12">
        <f>IF($B97="§","",IFERROR(AVERAGEIFS(Estação!$S$2:$S$50000,Estação!$A$2:$A$50000,$B97,Estação!$S$2:$S$50000,"&gt;-50"),""))</f>
        <v/>
      </c>
      <c r="E97" s="12">
        <f>IF($B97="§","",IFERROR(AVERAGEIFS(Estação!$T$2:$T$50000,Estação!$A$2:$A$50000,$B97,Estação!$T$2:$T$50000,"&gt;-50"),""))</f>
        <v/>
      </c>
      <c r="F97" s="12">
        <f>IF($B97="§","",IFERROR(AVERAGEIFS(Estação!$F$2:$F$50000,Estação!$A$2:$A$50000,$B97,Estação!$F$2:$F$50000,"&gt;-50"),""))</f>
        <v/>
      </c>
      <c r="G97" s="12">
        <f>IF($B97="§","",IFERROR(AVERAGEIFS(Estação!$G$2:$G$50000,Estação!$A$2:$A$50000,$B97,Estação!$G$2:$G$50000,"&gt;-50"),""))</f>
        <v/>
      </c>
      <c r="H97" s="12">
        <f>IF($B97="§","",IFERROR(AVERAGEIFS(Estação!$Z$2:$Z$50000,Estação!$A$2:$A$50000,$B97,Estação!$Z$2:$Z$50000,"&gt;-50"),""))</f>
        <v/>
      </c>
      <c r="I97" s="12">
        <f>IF($B97="§","",IFERROR(AVERAGEIFS(Estação!$E$2:$E$50000,Estação!$A$2:$A$50000,$B97,Estação!$E$2:$E$50000,"&gt;-50"),""))</f>
        <v/>
      </c>
      <c r="J97" s="12">
        <f>IF($B97="§","",IFERROR(AVERAGEIFS(Estação!$H$2:$H$50000,Estação!$A$2:$A$50000,$B97,Estação!$H$2:$H$50000,"&gt;-50"),""))</f>
        <v/>
      </c>
      <c r="K97" s="12">
        <f>IF($B97="§","",IFERROR(AVERAGEIFS(Estação!$L$2:$L$50000,Estação!$A$2:$A$50000,$B97,Estação!$L$2:$L$50000,"&gt;-50"),""))</f>
        <v/>
      </c>
      <c r="L97" s="12">
        <f>IF($B97="§","",IFERROR(AVERAGEIFS(Estação!$B$2:$B$50000,Estação!$A$2:$A$50000,$B97,Estação!$B$2:$B$50000,"&gt;-50"),""))</f>
        <v/>
      </c>
      <c r="M97" s="12">
        <f>IF($B97="§","",IFERROR(AVERAGEIFS(Estação!$M$2:$M$50000,Estação!$A$2:$A$50000,$B97,Estação!$M$2:$M$50000,"&gt;-50"),""))</f>
        <v/>
      </c>
      <c r="N97" s="12">
        <f>IF($B97="§","",N(N96)+SUMIFS(Estação!$O$2:$O$50000,Estação!$A$2:$A$50000,$B97))</f>
        <v/>
      </c>
      <c r="O97" s="12">
        <f>IF($B97="§","",N(O96)+SUMIFS(Estação!$P$2:$P$50000,Estação!$A$2:$A$50000,$B97))</f>
        <v/>
      </c>
      <c r="P97" s="12">
        <f>IF($B97="§","",N(P96)+SUMIFS(Estação!$Q$2:$Q$50000,Estação!$A$2:$A$50000,$B97))</f>
        <v/>
      </c>
      <c r="Q97" s="12">
        <f>IF($B97="§","",IFERROR(AVERAGEIFS(Estação!$AA$2:$AA$50000,Estação!$A$2:$A$50000,$B97,Estação!$AA$2:$AA$50000,"&gt;-50"),""))</f>
        <v/>
      </c>
      <c r="R97" s="12">
        <f>IF($B97="§","",IFERROR(AVERAGEIFS(Estação!$AB$2:$AB$50000,Estação!$A$2:$A$50000,$B97,Estação!$AB$2:$AB$50000,"&gt;-50"),""))</f>
        <v/>
      </c>
      <c r="S97" s="12">
        <f>IF($B97="§","",IFERROR(AVERAGEIFS(Estação!$Y$2:$Y$50000,Estação!$A$2:$A$50000,$B97,Estação!$Y$2:$Y$50000,"&gt;-50"),""))</f>
        <v/>
      </c>
      <c r="T97" s="12">
        <f>IF($B97="§","",IFERROR(AVERAGEIFS(Estação!$C$2:$C$50000,Estação!$A$2:$A$50000,$B97,Estação!$C$2:$C$50000,"&gt;-50"),""))</f>
        <v/>
      </c>
    </row>
    <row r="98">
      <c r="A98" s="12">
        <f>IF($C98&gt;DATE(YEAR($B$1),MONTH($B$1),1),"",RIGHT("0"&amp;MONTH($C98),2)&amp;"/"&amp;YEAR($C98))</f>
        <v/>
      </c>
      <c r="B98" s="12">
        <f>IF($C98&gt;DATE(YEAR($B$1),MONTH($B$1),1),"§",YEAR($C98)&amp;"-"&amp;RIGHT("0"&amp;MONTH($C98),2)&amp;"*")</f>
        <v/>
      </c>
      <c r="C98" s="12">
        <f>EDATE(DATE(YEAR($C$1),MONTH($C$1),1),7)</f>
        <v/>
      </c>
      <c r="D98" s="12">
        <f>IF($B98="§","",IFERROR(AVERAGEIFS(Estação!$S$2:$S$50000,Estação!$A$2:$A$50000,$B98,Estação!$S$2:$S$50000,"&gt;-50"),""))</f>
        <v/>
      </c>
      <c r="E98" s="12">
        <f>IF($B98="§","",IFERROR(AVERAGEIFS(Estação!$T$2:$T$50000,Estação!$A$2:$A$50000,$B98,Estação!$T$2:$T$50000,"&gt;-50"),""))</f>
        <v/>
      </c>
      <c r="F98" s="12">
        <f>IF($B98="§","",IFERROR(AVERAGEIFS(Estação!$F$2:$F$50000,Estação!$A$2:$A$50000,$B98,Estação!$F$2:$F$50000,"&gt;-50"),""))</f>
        <v/>
      </c>
      <c r="G98" s="12">
        <f>IF($B98="§","",IFERROR(AVERAGEIFS(Estação!$G$2:$G$50000,Estação!$A$2:$A$50000,$B98,Estação!$G$2:$G$50000,"&gt;-50"),""))</f>
        <v/>
      </c>
      <c r="H98" s="12">
        <f>IF($B98="§","",IFERROR(AVERAGEIFS(Estação!$Z$2:$Z$50000,Estação!$A$2:$A$50000,$B98,Estação!$Z$2:$Z$50000,"&gt;-50"),""))</f>
        <v/>
      </c>
      <c r="I98" s="12">
        <f>IF($B98="§","",IFERROR(AVERAGEIFS(Estação!$E$2:$E$50000,Estação!$A$2:$A$50000,$B98,Estação!$E$2:$E$50000,"&gt;-50"),""))</f>
        <v/>
      </c>
      <c r="J98" s="12">
        <f>IF($B98="§","",IFERROR(AVERAGEIFS(Estação!$H$2:$H$50000,Estação!$A$2:$A$50000,$B98,Estação!$H$2:$H$50000,"&gt;-50"),""))</f>
        <v/>
      </c>
      <c r="K98" s="12">
        <f>IF($B98="§","",IFERROR(AVERAGEIFS(Estação!$L$2:$L$50000,Estação!$A$2:$A$50000,$B98,Estação!$L$2:$L$50000,"&gt;-50"),""))</f>
        <v/>
      </c>
      <c r="L98" s="12">
        <f>IF($B98="§","",IFERROR(AVERAGEIFS(Estação!$B$2:$B$50000,Estação!$A$2:$A$50000,$B98,Estação!$B$2:$B$50000,"&gt;-50"),""))</f>
        <v/>
      </c>
      <c r="M98" s="12">
        <f>IF($B98="§","",IFERROR(AVERAGEIFS(Estação!$M$2:$M$50000,Estação!$A$2:$A$50000,$B98,Estação!$M$2:$M$50000,"&gt;-50"),""))</f>
        <v/>
      </c>
      <c r="N98" s="12">
        <f>IF($B98="§","",N(N97)+SUMIFS(Estação!$O$2:$O$50000,Estação!$A$2:$A$50000,$B98))</f>
        <v/>
      </c>
      <c r="O98" s="12">
        <f>IF($B98="§","",N(O97)+SUMIFS(Estação!$P$2:$P$50000,Estação!$A$2:$A$50000,$B98))</f>
        <v/>
      </c>
      <c r="P98" s="12">
        <f>IF($B98="§","",N(P97)+SUMIFS(Estação!$Q$2:$Q$50000,Estação!$A$2:$A$50000,$B98))</f>
        <v/>
      </c>
      <c r="Q98" s="12">
        <f>IF($B98="§","",IFERROR(AVERAGEIFS(Estação!$AA$2:$AA$50000,Estação!$A$2:$A$50000,$B98,Estação!$AA$2:$AA$50000,"&gt;-50"),""))</f>
        <v/>
      </c>
      <c r="R98" s="12">
        <f>IF($B98="§","",IFERROR(AVERAGEIFS(Estação!$AB$2:$AB$50000,Estação!$A$2:$A$50000,$B98,Estação!$AB$2:$AB$50000,"&gt;-50"),""))</f>
        <v/>
      </c>
      <c r="S98" s="12">
        <f>IF($B98="§","",IFERROR(AVERAGEIFS(Estação!$Y$2:$Y$50000,Estação!$A$2:$A$50000,$B98,Estação!$Y$2:$Y$50000,"&gt;-50"),""))</f>
        <v/>
      </c>
      <c r="T98" s="12">
        <f>IF($B98="§","",IFERROR(AVERAGEIFS(Estação!$C$2:$C$50000,Estação!$A$2:$A$50000,$B98,Estação!$C$2:$C$50000,"&gt;-50"),""))</f>
        <v/>
      </c>
    </row>
    <row r="99">
      <c r="A99" s="12">
        <f>IF($C99&gt;DATE(YEAR($B$1),MONTH($B$1),1),"",RIGHT("0"&amp;MONTH($C99),2)&amp;"/"&amp;YEAR($C99))</f>
        <v/>
      </c>
      <c r="B99" s="12">
        <f>IF($C99&gt;DATE(YEAR($B$1),MONTH($B$1),1),"§",YEAR($C99)&amp;"-"&amp;RIGHT("0"&amp;MONTH($C99),2)&amp;"*")</f>
        <v/>
      </c>
      <c r="C99" s="12">
        <f>EDATE(DATE(YEAR($C$1),MONTH($C$1),1),8)</f>
        <v/>
      </c>
      <c r="D99" s="12">
        <f>IF($B99="§","",IFERROR(AVERAGEIFS(Estação!$S$2:$S$50000,Estação!$A$2:$A$50000,$B99,Estação!$S$2:$S$50000,"&gt;-50"),""))</f>
        <v/>
      </c>
      <c r="E99" s="12">
        <f>IF($B99="§","",IFERROR(AVERAGEIFS(Estação!$T$2:$T$50000,Estação!$A$2:$A$50000,$B99,Estação!$T$2:$T$50000,"&gt;-50"),""))</f>
        <v/>
      </c>
      <c r="F99" s="12">
        <f>IF($B99="§","",IFERROR(AVERAGEIFS(Estação!$F$2:$F$50000,Estação!$A$2:$A$50000,$B99,Estação!$F$2:$F$50000,"&gt;-50"),""))</f>
        <v/>
      </c>
      <c r="G99" s="12">
        <f>IF($B99="§","",IFERROR(AVERAGEIFS(Estação!$G$2:$G$50000,Estação!$A$2:$A$50000,$B99,Estação!$G$2:$G$50000,"&gt;-50"),""))</f>
        <v/>
      </c>
      <c r="H99" s="12">
        <f>IF($B99="§","",IFERROR(AVERAGEIFS(Estação!$Z$2:$Z$50000,Estação!$A$2:$A$50000,$B99,Estação!$Z$2:$Z$50000,"&gt;-50"),""))</f>
        <v/>
      </c>
      <c r="I99" s="12">
        <f>IF($B99="§","",IFERROR(AVERAGEIFS(Estação!$E$2:$E$50000,Estação!$A$2:$A$50000,$B99,Estação!$E$2:$E$50000,"&gt;-50"),""))</f>
        <v/>
      </c>
      <c r="J99" s="12">
        <f>IF($B99="§","",IFERROR(AVERAGEIFS(Estação!$H$2:$H$50000,Estação!$A$2:$A$50000,$B99,Estação!$H$2:$H$50000,"&gt;-50"),""))</f>
        <v/>
      </c>
      <c r="K99" s="12">
        <f>IF($B99="§","",IFERROR(AVERAGEIFS(Estação!$L$2:$L$50000,Estação!$A$2:$A$50000,$B99,Estação!$L$2:$L$50000,"&gt;-50"),""))</f>
        <v/>
      </c>
      <c r="L99" s="12">
        <f>IF($B99="§","",IFERROR(AVERAGEIFS(Estação!$B$2:$B$50000,Estação!$A$2:$A$50000,$B99,Estação!$B$2:$B$50000,"&gt;-50"),""))</f>
        <v/>
      </c>
      <c r="M99" s="12">
        <f>IF($B99="§","",IFERROR(AVERAGEIFS(Estação!$M$2:$M$50000,Estação!$A$2:$A$50000,$B99,Estação!$M$2:$M$50000,"&gt;-50"),""))</f>
        <v/>
      </c>
      <c r="N99" s="12">
        <f>IF($B99="§","",N(N98)+SUMIFS(Estação!$O$2:$O$50000,Estação!$A$2:$A$50000,$B99))</f>
        <v/>
      </c>
      <c r="O99" s="12">
        <f>IF($B99="§","",N(O98)+SUMIFS(Estação!$P$2:$P$50000,Estação!$A$2:$A$50000,$B99))</f>
        <v/>
      </c>
      <c r="P99" s="12">
        <f>IF($B99="§","",N(P98)+SUMIFS(Estação!$Q$2:$Q$50000,Estação!$A$2:$A$50000,$B99))</f>
        <v/>
      </c>
      <c r="Q99" s="12">
        <f>IF($B99="§","",IFERROR(AVERAGEIFS(Estação!$AA$2:$AA$50000,Estação!$A$2:$A$50000,$B99,Estação!$AA$2:$AA$50000,"&gt;-50"),""))</f>
        <v/>
      </c>
      <c r="R99" s="12">
        <f>IF($B99="§","",IFERROR(AVERAGEIFS(Estação!$AB$2:$AB$50000,Estação!$A$2:$A$50000,$B99,Estação!$AB$2:$AB$50000,"&gt;-50"),""))</f>
        <v/>
      </c>
      <c r="S99" s="12">
        <f>IF($B99="§","",IFERROR(AVERAGEIFS(Estação!$Y$2:$Y$50000,Estação!$A$2:$A$50000,$B99,Estação!$Y$2:$Y$50000,"&gt;-50"),""))</f>
        <v/>
      </c>
      <c r="T99" s="12">
        <f>IF($B99="§","",IFERROR(AVERAGEIFS(Estação!$C$2:$C$50000,Estação!$A$2:$A$50000,$B99,Estação!$C$2:$C$50000,"&gt;-50"),""))</f>
        <v/>
      </c>
    </row>
    <row r="100">
      <c r="A100" s="12">
        <f>IF($C100&gt;DATE(YEAR($B$1),MONTH($B$1),1),"",RIGHT("0"&amp;MONTH($C100),2)&amp;"/"&amp;YEAR($C100))</f>
        <v/>
      </c>
      <c r="B100" s="12">
        <f>IF($C100&gt;DATE(YEAR($B$1),MONTH($B$1),1),"§",YEAR($C100)&amp;"-"&amp;RIGHT("0"&amp;MONTH($C100),2)&amp;"*")</f>
        <v/>
      </c>
      <c r="C100" s="12">
        <f>EDATE(DATE(YEAR($C$1),MONTH($C$1),1),9)</f>
        <v/>
      </c>
      <c r="D100" s="12">
        <f>IF($B100="§","",IFERROR(AVERAGEIFS(Estação!$S$2:$S$50000,Estação!$A$2:$A$50000,$B100,Estação!$S$2:$S$50000,"&gt;-50"),""))</f>
        <v/>
      </c>
      <c r="E100" s="12">
        <f>IF($B100="§","",IFERROR(AVERAGEIFS(Estação!$T$2:$T$50000,Estação!$A$2:$A$50000,$B100,Estação!$T$2:$T$50000,"&gt;-50"),""))</f>
        <v/>
      </c>
      <c r="F100" s="12">
        <f>IF($B100="§","",IFERROR(AVERAGEIFS(Estação!$F$2:$F$50000,Estação!$A$2:$A$50000,$B100,Estação!$F$2:$F$50000,"&gt;-50"),""))</f>
        <v/>
      </c>
      <c r="G100" s="12">
        <f>IF($B100="§","",IFERROR(AVERAGEIFS(Estação!$G$2:$G$50000,Estação!$A$2:$A$50000,$B100,Estação!$G$2:$G$50000,"&gt;-50"),""))</f>
        <v/>
      </c>
      <c r="H100" s="12">
        <f>IF($B100="§","",IFERROR(AVERAGEIFS(Estação!$Z$2:$Z$50000,Estação!$A$2:$A$50000,$B100,Estação!$Z$2:$Z$50000,"&gt;-50"),""))</f>
        <v/>
      </c>
      <c r="I100" s="12">
        <f>IF($B100="§","",IFERROR(AVERAGEIFS(Estação!$E$2:$E$50000,Estação!$A$2:$A$50000,$B100,Estação!$E$2:$E$50000,"&gt;-50"),""))</f>
        <v/>
      </c>
      <c r="J100" s="12">
        <f>IF($B100="§","",IFERROR(AVERAGEIFS(Estação!$H$2:$H$50000,Estação!$A$2:$A$50000,$B100,Estação!$H$2:$H$50000,"&gt;-50"),""))</f>
        <v/>
      </c>
      <c r="K100" s="12">
        <f>IF($B100="§","",IFERROR(AVERAGEIFS(Estação!$L$2:$L$50000,Estação!$A$2:$A$50000,$B100,Estação!$L$2:$L$50000,"&gt;-50"),""))</f>
        <v/>
      </c>
      <c r="L100" s="12">
        <f>IF($B100="§","",IFERROR(AVERAGEIFS(Estação!$B$2:$B$50000,Estação!$A$2:$A$50000,$B100,Estação!$B$2:$B$50000,"&gt;-50"),""))</f>
        <v/>
      </c>
      <c r="M100" s="12">
        <f>IF($B100="§","",IFERROR(AVERAGEIFS(Estação!$M$2:$M$50000,Estação!$A$2:$A$50000,$B100,Estação!$M$2:$M$50000,"&gt;-50"),""))</f>
        <v/>
      </c>
      <c r="N100" s="12">
        <f>IF($B100="§","",N(N99)+SUMIFS(Estação!$O$2:$O$50000,Estação!$A$2:$A$50000,$B100))</f>
        <v/>
      </c>
      <c r="O100" s="12">
        <f>IF($B100="§","",N(O99)+SUMIFS(Estação!$P$2:$P$50000,Estação!$A$2:$A$50000,$B100))</f>
        <v/>
      </c>
      <c r="P100" s="12">
        <f>IF($B100="§","",N(P99)+SUMIFS(Estação!$Q$2:$Q$50000,Estação!$A$2:$A$50000,$B100))</f>
        <v/>
      </c>
      <c r="Q100" s="12">
        <f>IF($B100="§","",IFERROR(AVERAGEIFS(Estação!$AA$2:$AA$50000,Estação!$A$2:$A$50000,$B100,Estação!$AA$2:$AA$50000,"&gt;-50"),""))</f>
        <v/>
      </c>
      <c r="R100" s="12">
        <f>IF($B100="§","",IFERROR(AVERAGEIFS(Estação!$AB$2:$AB$50000,Estação!$A$2:$A$50000,$B100,Estação!$AB$2:$AB$50000,"&gt;-50"),""))</f>
        <v/>
      </c>
      <c r="S100" s="12">
        <f>IF($B100="§","",IFERROR(AVERAGEIFS(Estação!$Y$2:$Y$50000,Estação!$A$2:$A$50000,$B100,Estação!$Y$2:$Y$50000,"&gt;-50"),""))</f>
        <v/>
      </c>
      <c r="T100" s="12">
        <f>IF($B100="§","",IFERROR(AVERAGEIFS(Estação!$C$2:$C$50000,Estação!$A$2:$A$50000,$B100,Estação!$C$2:$C$50000,"&gt;-50"),""))</f>
        <v/>
      </c>
    </row>
    <row r="101">
      <c r="A101" s="12">
        <f>IF($C101&gt;DATE(YEAR($B$1),MONTH($B$1),1),"",RIGHT("0"&amp;MONTH($C101),2)&amp;"/"&amp;YEAR($C101))</f>
        <v/>
      </c>
      <c r="B101" s="12">
        <f>IF($C101&gt;DATE(YEAR($B$1),MONTH($B$1),1),"§",YEAR($C101)&amp;"-"&amp;RIGHT("0"&amp;MONTH($C101),2)&amp;"*")</f>
        <v/>
      </c>
      <c r="C101" s="12">
        <f>EDATE(DATE(YEAR($C$1),MONTH($C$1),1),10)</f>
        <v/>
      </c>
      <c r="D101" s="12">
        <f>IF($B101="§","",IFERROR(AVERAGEIFS(Estação!$S$2:$S$50000,Estação!$A$2:$A$50000,$B101,Estação!$S$2:$S$50000,"&gt;-50"),""))</f>
        <v/>
      </c>
      <c r="E101" s="12">
        <f>IF($B101="§","",IFERROR(AVERAGEIFS(Estação!$T$2:$T$50000,Estação!$A$2:$A$50000,$B101,Estação!$T$2:$T$50000,"&gt;-50"),""))</f>
        <v/>
      </c>
      <c r="F101" s="12">
        <f>IF($B101="§","",IFERROR(AVERAGEIFS(Estação!$F$2:$F$50000,Estação!$A$2:$A$50000,$B101,Estação!$F$2:$F$50000,"&gt;-50"),""))</f>
        <v/>
      </c>
      <c r="G101" s="12">
        <f>IF($B101="§","",IFERROR(AVERAGEIFS(Estação!$G$2:$G$50000,Estação!$A$2:$A$50000,$B101,Estação!$G$2:$G$50000,"&gt;-50"),""))</f>
        <v/>
      </c>
      <c r="H101" s="12">
        <f>IF($B101="§","",IFERROR(AVERAGEIFS(Estação!$Z$2:$Z$50000,Estação!$A$2:$A$50000,$B101,Estação!$Z$2:$Z$50000,"&gt;-50"),""))</f>
        <v/>
      </c>
      <c r="I101" s="12">
        <f>IF($B101="§","",IFERROR(AVERAGEIFS(Estação!$E$2:$E$50000,Estação!$A$2:$A$50000,$B101,Estação!$E$2:$E$50000,"&gt;-50"),""))</f>
        <v/>
      </c>
      <c r="J101" s="12">
        <f>IF($B101="§","",IFERROR(AVERAGEIFS(Estação!$H$2:$H$50000,Estação!$A$2:$A$50000,$B101,Estação!$H$2:$H$50000,"&gt;-50"),""))</f>
        <v/>
      </c>
      <c r="K101" s="12">
        <f>IF($B101="§","",IFERROR(AVERAGEIFS(Estação!$L$2:$L$50000,Estação!$A$2:$A$50000,$B101,Estação!$L$2:$L$50000,"&gt;-50"),""))</f>
        <v/>
      </c>
      <c r="L101" s="12">
        <f>IF($B101="§","",IFERROR(AVERAGEIFS(Estação!$B$2:$B$50000,Estação!$A$2:$A$50000,$B101,Estação!$B$2:$B$50000,"&gt;-50"),""))</f>
        <v/>
      </c>
      <c r="M101" s="12">
        <f>IF($B101="§","",IFERROR(AVERAGEIFS(Estação!$M$2:$M$50000,Estação!$A$2:$A$50000,$B101,Estação!$M$2:$M$50000,"&gt;-50"),""))</f>
        <v/>
      </c>
      <c r="N101" s="12">
        <f>IF($B101="§","",N(N100)+SUMIFS(Estação!$O$2:$O$50000,Estação!$A$2:$A$50000,$B101))</f>
        <v/>
      </c>
      <c r="O101" s="12">
        <f>IF($B101="§","",N(O100)+SUMIFS(Estação!$P$2:$P$50000,Estação!$A$2:$A$50000,$B101))</f>
        <v/>
      </c>
      <c r="P101" s="12">
        <f>IF($B101="§","",N(P100)+SUMIFS(Estação!$Q$2:$Q$50000,Estação!$A$2:$A$50000,$B101))</f>
        <v/>
      </c>
      <c r="Q101" s="12">
        <f>IF($B101="§","",IFERROR(AVERAGEIFS(Estação!$AA$2:$AA$50000,Estação!$A$2:$A$50000,$B101,Estação!$AA$2:$AA$50000,"&gt;-50"),""))</f>
        <v/>
      </c>
      <c r="R101" s="12">
        <f>IF($B101="§","",IFERROR(AVERAGEIFS(Estação!$AB$2:$AB$50000,Estação!$A$2:$A$50000,$B101,Estação!$AB$2:$AB$50000,"&gt;-50"),""))</f>
        <v/>
      </c>
      <c r="S101" s="12">
        <f>IF($B101="§","",IFERROR(AVERAGEIFS(Estação!$Y$2:$Y$50000,Estação!$A$2:$A$50000,$B101,Estação!$Y$2:$Y$50000,"&gt;-50"),""))</f>
        <v/>
      </c>
      <c r="T101" s="12">
        <f>IF($B101="§","",IFERROR(AVERAGEIFS(Estação!$C$2:$C$50000,Estação!$A$2:$A$50000,$B101,Estação!$C$2:$C$50000,"&gt;-50"),""))</f>
        <v/>
      </c>
    </row>
    <row r="102">
      <c r="A102" s="12">
        <f>IF($C102&gt;DATE(YEAR($B$1),MONTH($B$1),1),"",RIGHT("0"&amp;MONTH($C102),2)&amp;"/"&amp;YEAR($C102))</f>
        <v/>
      </c>
      <c r="B102" s="12">
        <f>IF($C102&gt;DATE(YEAR($B$1),MONTH($B$1),1),"§",YEAR($C102)&amp;"-"&amp;RIGHT("0"&amp;MONTH($C102),2)&amp;"*")</f>
        <v/>
      </c>
      <c r="C102" s="12">
        <f>EDATE(DATE(YEAR($C$1),MONTH($C$1),1),11)</f>
        <v/>
      </c>
      <c r="D102" s="12">
        <f>IF($B102="§","",IFERROR(AVERAGEIFS(Estação!$S$2:$S$50000,Estação!$A$2:$A$50000,$B102,Estação!$S$2:$S$50000,"&gt;-50"),""))</f>
        <v/>
      </c>
      <c r="E102" s="12">
        <f>IF($B102="§","",IFERROR(AVERAGEIFS(Estação!$T$2:$T$50000,Estação!$A$2:$A$50000,$B102,Estação!$T$2:$T$50000,"&gt;-50"),""))</f>
        <v/>
      </c>
      <c r="F102" s="12">
        <f>IF($B102="§","",IFERROR(AVERAGEIFS(Estação!$F$2:$F$50000,Estação!$A$2:$A$50000,$B102,Estação!$F$2:$F$50000,"&gt;-50"),""))</f>
        <v/>
      </c>
      <c r="G102" s="12">
        <f>IF($B102="§","",IFERROR(AVERAGEIFS(Estação!$G$2:$G$50000,Estação!$A$2:$A$50000,$B102,Estação!$G$2:$G$50000,"&gt;-50"),""))</f>
        <v/>
      </c>
      <c r="H102" s="12">
        <f>IF($B102="§","",IFERROR(AVERAGEIFS(Estação!$Z$2:$Z$50000,Estação!$A$2:$A$50000,$B102,Estação!$Z$2:$Z$50000,"&gt;-50"),""))</f>
        <v/>
      </c>
      <c r="I102" s="12">
        <f>IF($B102="§","",IFERROR(AVERAGEIFS(Estação!$E$2:$E$50000,Estação!$A$2:$A$50000,$B102,Estação!$E$2:$E$50000,"&gt;-50"),""))</f>
        <v/>
      </c>
      <c r="J102" s="12">
        <f>IF($B102="§","",IFERROR(AVERAGEIFS(Estação!$H$2:$H$50000,Estação!$A$2:$A$50000,$B102,Estação!$H$2:$H$50000,"&gt;-50"),""))</f>
        <v/>
      </c>
      <c r="K102" s="12">
        <f>IF($B102="§","",IFERROR(AVERAGEIFS(Estação!$L$2:$L$50000,Estação!$A$2:$A$50000,$B102,Estação!$L$2:$L$50000,"&gt;-50"),""))</f>
        <v/>
      </c>
      <c r="L102" s="12">
        <f>IF($B102="§","",IFERROR(AVERAGEIFS(Estação!$B$2:$B$50000,Estação!$A$2:$A$50000,$B102,Estação!$B$2:$B$50000,"&gt;-50"),""))</f>
        <v/>
      </c>
      <c r="M102" s="12">
        <f>IF($B102="§","",IFERROR(AVERAGEIFS(Estação!$M$2:$M$50000,Estação!$A$2:$A$50000,$B102,Estação!$M$2:$M$50000,"&gt;-50"),""))</f>
        <v/>
      </c>
      <c r="N102" s="12">
        <f>IF($B102="§","",N(N101)+SUMIFS(Estação!$O$2:$O$50000,Estação!$A$2:$A$50000,$B102))</f>
        <v/>
      </c>
      <c r="O102" s="12">
        <f>IF($B102="§","",N(O101)+SUMIFS(Estação!$P$2:$P$50000,Estação!$A$2:$A$50000,$B102))</f>
        <v/>
      </c>
      <c r="P102" s="12">
        <f>IF($B102="§","",N(P101)+SUMIFS(Estação!$Q$2:$Q$50000,Estação!$A$2:$A$50000,$B102))</f>
        <v/>
      </c>
      <c r="Q102" s="12">
        <f>IF($B102="§","",IFERROR(AVERAGEIFS(Estação!$AA$2:$AA$50000,Estação!$A$2:$A$50000,$B102,Estação!$AA$2:$AA$50000,"&gt;-50"),""))</f>
        <v/>
      </c>
      <c r="R102" s="12">
        <f>IF($B102="§","",IFERROR(AVERAGEIFS(Estação!$AB$2:$AB$50000,Estação!$A$2:$A$50000,$B102,Estação!$AB$2:$AB$50000,"&gt;-50"),""))</f>
        <v/>
      </c>
      <c r="S102" s="12">
        <f>IF($B102="§","",IFERROR(AVERAGEIFS(Estação!$Y$2:$Y$50000,Estação!$A$2:$A$50000,$B102,Estação!$Y$2:$Y$50000,"&gt;-50"),""))</f>
        <v/>
      </c>
      <c r="T102" s="12">
        <f>IF($B102="§","",IFERROR(AVERAGEIFS(Estação!$C$2:$C$50000,Estação!$A$2:$A$50000,$B102,Estação!$C$2:$C$50000,"&gt;-50"),""))</f>
        <v/>
      </c>
    </row>
    <row r="103">
      <c r="A103" s="12">
        <f>IF($C103&gt;DATE(YEAR($B$1),MONTH($B$1),1),"",RIGHT("0"&amp;MONTH($C103),2)&amp;"/"&amp;YEAR($C103))</f>
        <v/>
      </c>
      <c r="B103" s="12">
        <f>IF($C103&gt;DATE(YEAR($B$1),MONTH($B$1),1),"§",YEAR($C103)&amp;"-"&amp;RIGHT("0"&amp;MONTH($C103),2)&amp;"*")</f>
        <v/>
      </c>
      <c r="C103" s="12">
        <f>EDATE(DATE(YEAR($C$1),MONTH($C$1),1),12)</f>
        <v/>
      </c>
      <c r="D103" s="12">
        <f>IF($B103="§","",IFERROR(AVERAGEIFS(Estação!$S$2:$S$50000,Estação!$A$2:$A$50000,$B103,Estação!$S$2:$S$50000,"&gt;-50"),""))</f>
        <v/>
      </c>
      <c r="E103" s="12">
        <f>IF($B103="§","",IFERROR(AVERAGEIFS(Estação!$T$2:$T$50000,Estação!$A$2:$A$50000,$B103,Estação!$T$2:$T$50000,"&gt;-50"),""))</f>
        <v/>
      </c>
      <c r="F103" s="12">
        <f>IF($B103="§","",IFERROR(AVERAGEIFS(Estação!$F$2:$F$50000,Estação!$A$2:$A$50000,$B103,Estação!$F$2:$F$50000,"&gt;-50"),""))</f>
        <v/>
      </c>
      <c r="G103" s="12">
        <f>IF($B103="§","",IFERROR(AVERAGEIFS(Estação!$G$2:$G$50000,Estação!$A$2:$A$50000,$B103,Estação!$G$2:$G$50000,"&gt;-50"),""))</f>
        <v/>
      </c>
      <c r="H103" s="12">
        <f>IF($B103="§","",IFERROR(AVERAGEIFS(Estação!$Z$2:$Z$50000,Estação!$A$2:$A$50000,$B103,Estação!$Z$2:$Z$50000,"&gt;-50"),""))</f>
        <v/>
      </c>
      <c r="I103" s="12">
        <f>IF($B103="§","",IFERROR(AVERAGEIFS(Estação!$E$2:$E$50000,Estação!$A$2:$A$50000,$B103,Estação!$E$2:$E$50000,"&gt;-50"),""))</f>
        <v/>
      </c>
      <c r="J103" s="12">
        <f>IF($B103="§","",IFERROR(AVERAGEIFS(Estação!$H$2:$H$50000,Estação!$A$2:$A$50000,$B103,Estação!$H$2:$H$50000,"&gt;-50"),""))</f>
        <v/>
      </c>
      <c r="K103" s="12">
        <f>IF($B103="§","",IFERROR(AVERAGEIFS(Estação!$L$2:$L$50000,Estação!$A$2:$A$50000,$B103,Estação!$L$2:$L$50000,"&gt;-50"),""))</f>
        <v/>
      </c>
      <c r="L103" s="12">
        <f>IF($B103="§","",IFERROR(AVERAGEIFS(Estação!$B$2:$B$50000,Estação!$A$2:$A$50000,$B103,Estação!$B$2:$B$50000,"&gt;-50"),""))</f>
        <v/>
      </c>
      <c r="M103" s="12">
        <f>IF($B103="§","",IFERROR(AVERAGEIFS(Estação!$M$2:$M$50000,Estação!$A$2:$A$50000,$B103,Estação!$M$2:$M$50000,"&gt;-50"),""))</f>
        <v/>
      </c>
      <c r="N103" s="12">
        <f>IF($B103="§","",N(N102)+SUMIFS(Estação!$O$2:$O$50000,Estação!$A$2:$A$50000,$B103))</f>
        <v/>
      </c>
      <c r="O103" s="12">
        <f>IF($B103="§","",N(O102)+SUMIFS(Estação!$P$2:$P$50000,Estação!$A$2:$A$50000,$B103))</f>
        <v/>
      </c>
      <c r="P103" s="12">
        <f>IF($B103="§","",N(P102)+SUMIFS(Estação!$Q$2:$Q$50000,Estação!$A$2:$A$50000,$B103))</f>
        <v/>
      </c>
      <c r="Q103" s="12">
        <f>IF($B103="§","",IFERROR(AVERAGEIFS(Estação!$AA$2:$AA$50000,Estação!$A$2:$A$50000,$B103,Estação!$AA$2:$AA$50000,"&gt;-50"),""))</f>
        <v/>
      </c>
      <c r="R103" s="12">
        <f>IF($B103="§","",IFERROR(AVERAGEIFS(Estação!$AB$2:$AB$50000,Estação!$A$2:$A$50000,$B103,Estação!$AB$2:$AB$50000,"&gt;-50"),""))</f>
        <v/>
      </c>
      <c r="S103" s="12">
        <f>IF($B103="§","",IFERROR(AVERAGEIFS(Estação!$Y$2:$Y$50000,Estação!$A$2:$A$50000,$B103,Estação!$Y$2:$Y$50000,"&gt;-50"),""))</f>
        <v/>
      </c>
      <c r="T103" s="12">
        <f>IF($B103="§","",IFERROR(AVERAGEIFS(Estação!$C$2:$C$50000,Estação!$A$2:$A$50000,$B103,Estação!$C$2:$C$50000,"&gt;-50"),""))</f>
        <v/>
      </c>
    </row>
    <row r="104">
      <c r="A104" s="12">
        <f>IF($C104&gt;DATE(YEAR($B$1),MONTH($B$1),1),"",RIGHT("0"&amp;MONTH($C104),2)&amp;"/"&amp;YEAR($C104))</f>
        <v/>
      </c>
      <c r="B104" s="12">
        <f>IF($C104&gt;DATE(YEAR($B$1),MONTH($B$1),1),"§",YEAR($C104)&amp;"-"&amp;RIGHT("0"&amp;MONTH($C104),2)&amp;"*")</f>
        <v/>
      </c>
      <c r="C104" s="12">
        <f>EDATE(DATE(YEAR($C$1),MONTH($C$1),1),13)</f>
        <v/>
      </c>
      <c r="D104" s="12">
        <f>IF($B104="§","",IFERROR(AVERAGEIFS(Estação!$S$2:$S$50000,Estação!$A$2:$A$50000,$B104,Estação!$S$2:$S$50000,"&gt;-50"),""))</f>
        <v/>
      </c>
      <c r="E104" s="12">
        <f>IF($B104="§","",IFERROR(AVERAGEIFS(Estação!$T$2:$T$50000,Estação!$A$2:$A$50000,$B104,Estação!$T$2:$T$50000,"&gt;-50"),""))</f>
        <v/>
      </c>
      <c r="F104" s="12">
        <f>IF($B104="§","",IFERROR(AVERAGEIFS(Estação!$F$2:$F$50000,Estação!$A$2:$A$50000,$B104,Estação!$F$2:$F$50000,"&gt;-50"),""))</f>
        <v/>
      </c>
      <c r="G104" s="12">
        <f>IF($B104="§","",IFERROR(AVERAGEIFS(Estação!$G$2:$G$50000,Estação!$A$2:$A$50000,$B104,Estação!$G$2:$G$50000,"&gt;-50"),""))</f>
        <v/>
      </c>
      <c r="H104" s="12">
        <f>IF($B104="§","",IFERROR(AVERAGEIFS(Estação!$Z$2:$Z$50000,Estação!$A$2:$A$50000,$B104,Estação!$Z$2:$Z$50000,"&gt;-50"),""))</f>
        <v/>
      </c>
      <c r="I104" s="12">
        <f>IF($B104="§","",IFERROR(AVERAGEIFS(Estação!$E$2:$E$50000,Estação!$A$2:$A$50000,$B104,Estação!$E$2:$E$50000,"&gt;-50"),""))</f>
        <v/>
      </c>
      <c r="J104" s="12">
        <f>IF($B104="§","",IFERROR(AVERAGEIFS(Estação!$H$2:$H$50000,Estação!$A$2:$A$50000,$B104,Estação!$H$2:$H$50000,"&gt;-50"),""))</f>
        <v/>
      </c>
      <c r="K104" s="12">
        <f>IF($B104="§","",IFERROR(AVERAGEIFS(Estação!$L$2:$L$50000,Estação!$A$2:$A$50000,$B104,Estação!$L$2:$L$50000,"&gt;-50"),""))</f>
        <v/>
      </c>
      <c r="L104" s="12">
        <f>IF($B104="§","",IFERROR(AVERAGEIFS(Estação!$B$2:$B$50000,Estação!$A$2:$A$50000,$B104,Estação!$B$2:$B$50000,"&gt;-50"),""))</f>
        <v/>
      </c>
      <c r="M104" s="12">
        <f>IF($B104="§","",IFERROR(AVERAGEIFS(Estação!$M$2:$M$50000,Estação!$A$2:$A$50000,$B104,Estação!$M$2:$M$50000,"&gt;-50"),""))</f>
        <v/>
      </c>
      <c r="N104" s="12">
        <f>IF($B104="§","",N(N103)+SUMIFS(Estação!$O$2:$O$50000,Estação!$A$2:$A$50000,$B104))</f>
        <v/>
      </c>
      <c r="O104" s="12">
        <f>IF($B104="§","",N(O103)+SUMIFS(Estação!$P$2:$P$50000,Estação!$A$2:$A$50000,$B104))</f>
        <v/>
      </c>
      <c r="P104" s="12">
        <f>IF($B104="§","",N(P103)+SUMIFS(Estação!$Q$2:$Q$50000,Estação!$A$2:$A$50000,$B104))</f>
        <v/>
      </c>
      <c r="Q104" s="12">
        <f>IF($B104="§","",IFERROR(AVERAGEIFS(Estação!$AA$2:$AA$50000,Estação!$A$2:$A$50000,$B104,Estação!$AA$2:$AA$50000,"&gt;-50"),""))</f>
        <v/>
      </c>
      <c r="R104" s="12">
        <f>IF($B104="§","",IFERROR(AVERAGEIFS(Estação!$AB$2:$AB$50000,Estação!$A$2:$A$50000,$B104,Estação!$AB$2:$AB$50000,"&gt;-50"),""))</f>
        <v/>
      </c>
      <c r="S104" s="12">
        <f>IF($B104="§","",IFERROR(AVERAGEIFS(Estação!$Y$2:$Y$50000,Estação!$A$2:$A$50000,$B104,Estação!$Y$2:$Y$50000,"&gt;-50"),""))</f>
        <v/>
      </c>
      <c r="T104" s="12">
        <f>IF($B104="§","",IFERROR(AVERAGEIFS(Estação!$C$2:$C$50000,Estação!$A$2:$A$50000,$B104,Estação!$C$2:$C$50000,"&gt;-50"),""))</f>
        <v/>
      </c>
    </row>
    <row r="105">
      <c r="A105" s="12">
        <f>IF($C105&gt;DATE(YEAR($B$1),MONTH($B$1),1),"",RIGHT("0"&amp;MONTH($C105),2)&amp;"/"&amp;YEAR($C105))</f>
        <v/>
      </c>
      <c r="B105" s="12">
        <f>IF($C105&gt;DATE(YEAR($B$1),MONTH($B$1),1),"§",YEAR($C105)&amp;"-"&amp;RIGHT("0"&amp;MONTH($C105),2)&amp;"*")</f>
        <v/>
      </c>
      <c r="C105" s="12">
        <f>EDATE(DATE(YEAR($C$1),MONTH($C$1),1),14)</f>
        <v/>
      </c>
      <c r="D105" s="12">
        <f>IF($B105="§","",IFERROR(AVERAGEIFS(Estação!$S$2:$S$50000,Estação!$A$2:$A$50000,$B105,Estação!$S$2:$S$50000,"&gt;-50"),""))</f>
        <v/>
      </c>
      <c r="E105" s="12">
        <f>IF($B105="§","",IFERROR(AVERAGEIFS(Estação!$T$2:$T$50000,Estação!$A$2:$A$50000,$B105,Estação!$T$2:$T$50000,"&gt;-50"),""))</f>
        <v/>
      </c>
      <c r="F105" s="12">
        <f>IF($B105="§","",IFERROR(AVERAGEIFS(Estação!$F$2:$F$50000,Estação!$A$2:$A$50000,$B105,Estação!$F$2:$F$50000,"&gt;-50"),""))</f>
        <v/>
      </c>
      <c r="G105" s="12">
        <f>IF($B105="§","",IFERROR(AVERAGEIFS(Estação!$G$2:$G$50000,Estação!$A$2:$A$50000,$B105,Estação!$G$2:$G$50000,"&gt;-50"),""))</f>
        <v/>
      </c>
      <c r="H105" s="12">
        <f>IF($B105="§","",IFERROR(AVERAGEIFS(Estação!$Z$2:$Z$50000,Estação!$A$2:$A$50000,$B105,Estação!$Z$2:$Z$50000,"&gt;-50"),""))</f>
        <v/>
      </c>
      <c r="I105" s="12">
        <f>IF($B105="§","",IFERROR(AVERAGEIFS(Estação!$E$2:$E$50000,Estação!$A$2:$A$50000,$B105,Estação!$E$2:$E$50000,"&gt;-50"),""))</f>
        <v/>
      </c>
      <c r="J105" s="12">
        <f>IF($B105="§","",IFERROR(AVERAGEIFS(Estação!$H$2:$H$50000,Estação!$A$2:$A$50000,$B105,Estação!$H$2:$H$50000,"&gt;-50"),""))</f>
        <v/>
      </c>
      <c r="K105" s="12">
        <f>IF($B105="§","",IFERROR(AVERAGEIFS(Estação!$L$2:$L$50000,Estação!$A$2:$A$50000,$B105,Estação!$L$2:$L$50000,"&gt;-50"),""))</f>
        <v/>
      </c>
      <c r="L105" s="12">
        <f>IF($B105="§","",IFERROR(AVERAGEIFS(Estação!$B$2:$B$50000,Estação!$A$2:$A$50000,$B105,Estação!$B$2:$B$50000,"&gt;-50"),""))</f>
        <v/>
      </c>
      <c r="M105" s="12">
        <f>IF($B105="§","",IFERROR(AVERAGEIFS(Estação!$M$2:$M$50000,Estação!$A$2:$A$50000,$B105,Estação!$M$2:$M$50000,"&gt;-50"),""))</f>
        <v/>
      </c>
      <c r="N105" s="12">
        <f>IF($B105="§","",N(N104)+SUMIFS(Estação!$O$2:$O$50000,Estação!$A$2:$A$50000,$B105))</f>
        <v/>
      </c>
      <c r="O105" s="12">
        <f>IF($B105="§","",N(O104)+SUMIFS(Estação!$P$2:$P$50000,Estação!$A$2:$A$50000,$B105))</f>
        <v/>
      </c>
      <c r="P105" s="12">
        <f>IF($B105="§","",N(P104)+SUMIFS(Estação!$Q$2:$Q$50000,Estação!$A$2:$A$50000,$B105))</f>
        <v/>
      </c>
      <c r="Q105" s="12">
        <f>IF($B105="§","",IFERROR(AVERAGEIFS(Estação!$AA$2:$AA$50000,Estação!$A$2:$A$50000,$B105,Estação!$AA$2:$AA$50000,"&gt;-50"),""))</f>
        <v/>
      </c>
      <c r="R105" s="12">
        <f>IF($B105="§","",IFERROR(AVERAGEIFS(Estação!$AB$2:$AB$50000,Estação!$A$2:$A$50000,$B105,Estação!$AB$2:$AB$50000,"&gt;-50"),""))</f>
        <v/>
      </c>
      <c r="S105" s="12">
        <f>IF($B105="§","",IFERROR(AVERAGEIFS(Estação!$Y$2:$Y$50000,Estação!$A$2:$A$50000,$B105,Estação!$Y$2:$Y$50000,"&gt;-50"),""))</f>
        <v/>
      </c>
      <c r="T105" s="12">
        <f>IF($B105="§","",IFERROR(AVERAGEIFS(Estação!$C$2:$C$50000,Estação!$A$2:$A$50000,$B105,Estação!$C$2:$C$50000,"&gt;-50"),""))</f>
        <v/>
      </c>
    </row>
    <row r="106">
      <c r="A106" s="12">
        <f>IF($C106&gt;DATE(YEAR($B$1),MONTH($B$1),1),"",RIGHT("0"&amp;MONTH($C106),2)&amp;"/"&amp;YEAR($C106))</f>
        <v/>
      </c>
      <c r="B106" s="12">
        <f>IF($C106&gt;DATE(YEAR($B$1),MONTH($B$1),1),"§",YEAR($C106)&amp;"-"&amp;RIGHT("0"&amp;MONTH($C106),2)&amp;"*")</f>
        <v/>
      </c>
      <c r="C106" s="12">
        <f>EDATE(DATE(YEAR($C$1),MONTH($C$1),1),15)</f>
        <v/>
      </c>
      <c r="D106" s="12">
        <f>IF($B106="§","",IFERROR(AVERAGEIFS(Estação!$S$2:$S$50000,Estação!$A$2:$A$50000,$B106,Estação!$S$2:$S$50000,"&gt;-50"),""))</f>
        <v/>
      </c>
      <c r="E106" s="12">
        <f>IF($B106="§","",IFERROR(AVERAGEIFS(Estação!$T$2:$T$50000,Estação!$A$2:$A$50000,$B106,Estação!$T$2:$T$50000,"&gt;-50"),""))</f>
        <v/>
      </c>
      <c r="F106" s="12">
        <f>IF($B106="§","",IFERROR(AVERAGEIFS(Estação!$F$2:$F$50000,Estação!$A$2:$A$50000,$B106,Estação!$F$2:$F$50000,"&gt;-50"),""))</f>
        <v/>
      </c>
      <c r="G106" s="12">
        <f>IF($B106="§","",IFERROR(AVERAGEIFS(Estação!$G$2:$G$50000,Estação!$A$2:$A$50000,$B106,Estação!$G$2:$G$50000,"&gt;-50"),""))</f>
        <v/>
      </c>
      <c r="H106" s="12">
        <f>IF($B106="§","",IFERROR(AVERAGEIFS(Estação!$Z$2:$Z$50000,Estação!$A$2:$A$50000,$B106,Estação!$Z$2:$Z$50000,"&gt;-50"),""))</f>
        <v/>
      </c>
      <c r="I106" s="12">
        <f>IF($B106="§","",IFERROR(AVERAGEIFS(Estação!$E$2:$E$50000,Estação!$A$2:$A$50000,$B106,Estação!$E$2:$E$50000,"&gt;-50"),""))</f>
        <v/>
      </c>
      <c r="J106" s="12">
        <f>IF($B106="§","",IFERROR(AVERAGEIFS(Estação!$H$2:$H$50000,Estação!$A$2:$A$50000,$B106,Estação!$H$2:$H$50000,"&gt;-50"),""))</f>
        <v/>
      </c>
      <c r="K106" s="12">
        <f>IF($B106="§","",IFERROR(AVERAGEIFS(Estação!$L$2:$L$50000,Estação!$A$2:$A$50000,$B106,Estação!$L$2:$L$50000,"&gt;-50"),""))</f>
        <v/>
      </c>
      <c r="L106" s="12">
        <f>IF($B106="§","",IFERROR(AVERAGEIFS(Estação!$B$2:$B$50000,Estação!$A$2:$A$50000,$B106,Estação!$B$2:$B$50000,"&gt;-50"),""))</f>
        <v/>
      </c>
      <c r="M106" s="12">
        <f>IF($B106="§","",IFERROR(AVERAGEIFS(Estação!$M$2:$M$50000,Estação!$A$2:$A$50000,$B106,Estação!$M$2:$M$50000,"&gt;-50"),""))</f>
        <v/>
      </c>
      <c r="N106" s="12">
        <f>IF($B106="§","",N(N105)+SUMIFS(Estação!$O$2:$O$50000,Estação!$A$2:$A$50000,$B106))</f>
        <v/>
      </c>
      <c r="O106" s="12">
        <f>IF($B106="§","",N(O105)+SUMIFS(Estação!$P$2:$P$50000,Estação!$A$2:$A$50000,$B106))</f>
        <v/>
      </c>
      <c r="P106" s="12">
        <f>IF($B106="§","",N(P105)+SUMIFS(Estação!$Q$2:$Q$50000,Estação!$A$2:$A$50000,$B106))</f>
        <v/>
      </c>
      <c r="Q106" s="12">
        <f>IF($B106="§","",IFERROR(AVERAGEIFS(Estação!$AA$2:$AA$50000,Estação!$A$2:$A$50000,$B106,Estação!$AA$2:$AA$50000,"&gt;-50"),""))</f>
        <v/>
      </c>
      <c r="R106" s="12">
        <f>IF($B106="§","",IFERROR(AVERAGEIFS(Estação!$AB$2:$AB$50000,Estação!$A$2:$A$50000,$B106,Estação!$AB$2:$AB$50000,"&gt;-50"),""))</f>
        <v/>
      </c>
      <c r="S106" s="12">
        <f>IF($B106="§","",IFERROR(AVERAGEIFS(Estação!$Y$2:$Y$50000,Estação!$A$2:$A$50000,$B106,Estação!$Y$2:$Y$50000,"&gt;-50"),""))</f>
        <v/>
      </c>
      <c r="T106" s="12">
        <f>IF($B106="§","",IFERROR(AVERAGEIFS(Estação!$C$2:$C$50000,Estação!$A$2:$A$50000,$B106,Estação!$C$2:$C$50000,"&gt;-50"),""))</f>
        <v/>
      </c>
    </row>
    <row r="107">
      <c r="A107" s="12">
        <f>IF($C107&gt;DATE(YEAR($B$1),MONTH($B$1),1),"",RIGHT("0"&amp;MONTH($C107),2)&amp;"/"&amp;YEAR($C107))</f>
        <v/>
      </c>
      <c r="B107" s="12">
        <f>IF($C107&gt;DATE(YEAR($B$1),MONTH($B$1),1),"§",YEAR($C107)&amp;"-"&amp;RIGHT("0"&amp;MONTH($C107),2)&amp;"*")</f>
        <v/>
      </c>
      <c r="C107" s="12">
        <f>EDATE(DATE(YEAR($C$1),MONTH($C$1),1),16)</f>
        <v/>
      </c>
      <c r="D107" s="12">
        <f>IF($B107="§","",IFERROR(AVERAGEIFS(Estação!$S$2:$S$50000,Estação!$A$2:$A$50000,$B107,Estação!$S$2:$S$50000,"&gt;-50"),""))</f>
        <v/>
      </c>
      <c r="E107" s="12">
        <f>IF($B107="§","",IFERROR(AVERAGEIFS(Estação!$T$2:$T$50000,Estação!$A$2:$A$50000,$B107,Estação!$T$2:$T$50000,"&gt;-50"),""))</f>
        <v/>
      </c>
      <c r="F107" s="12">
        <f>IF($B107="§","",IFERROR(AVERAGEIFS(Estação!$F$2:$F$50000,Estação!$A$2:$A$50000,$B107,Estação!$F$2:$F$50000,"&gt;-50"),""))</f>
        <v/>
      </c>
      <c r="G107" s="12">
        <f>IF($B107="§","",IFERROR(AVERAGEIFS(Estação!$G$2:$G$50000,Estação!$A$2:$A$50000,$B107,Estação!$G$2:$G$50000,"&gt;-50"),""))</f>
        <v/>
      </c>
      <c r="H107" s="12">
        <f>IF($B107="§","",IFERROR(AVERAGEIFS(Estação!$Z$2:$Z$50000,Estação!$A$2:$A$50000,$B107,Estação!$Z$2:$Z$50000,"&gt;-50"),""))</f>
        <v/>
      </c>
      <c r="I107" s="12">
        <f>IF($B107="§","",IFERROR(AVERAGEIFS(Estação!$E$2:$E$50000,Estação!$A$2:$A$50000,$B107,Estação!$E$2:$E$50000,"&gt;-50"),""))</f>
        <v/>
      </c>
      <c r="J107" s="12">
        <f>IF($B107="§","",IFERROR(AVERAGEIFS(Estação!$H$2:$H$50000,Estação!$A$2:$A$50000,$B107,Estação!$H$2:$H$50000,"&gt;-50"),""))</f>
        <v/>
      </c>
      <c r="K107" s="12">
        <f>IF($B107="§","",IFERROR(AVERAGEIFS(Estação!$L$2:$L$50000,Estação!$A$2:$A$50000,$B107,Estação!$L$2:$L$50000,"&gt;-50"),""))</f>
        <v/>
      </c>
      <c r="L107" s="12">
        <f>IF($B107="§","",IFERROR(AVERAGEIFS(Estação!$B$2:$B$50000,Estação!$A$2:$A$50000,$B107,Estação!$B$2:$B$50000,"&gt;-50"),""))</f>
        <v/>
      </c>
      <c r="M107" s="12">
        <f>IF($B107="§","",IFERROR(AVERAGEIFS(Estação!$M$2:$M$50000,Estação!$A$2:$A$50000,$B107,Estação!$M$2:$M$50000,"&gt;-50"),""))</f>
        <v/>
      </c>
      <c r="N107" s="12">
        <f>IF($B107="§","",N(N106)+SUMIFS(Estação!$O$2:$O$50000,Estação!$A$2:$A$50000,$B107))</f>
        <v/>
      </c>
      <c r="O107" s="12">
        <f>IF($B107="§","",N(O106)+SUMIFS(Estação!$P$2:$P$50000,Estação!$A$2:$A$50000,$B107))</f>
        <v/>
      </c>
      <c r="P107" s="12">
        <f>IF($B107="§","",N(P106)+SUMIFS(Estação!$Q$2:$Q$50000,Estação!$A$2:$A$50000,$B107))</f>
        <v/>
      </c>
      <c r="Q107" s="12">
        <f>IF($B107="§","",IFERROR(AVERAGEIFS(Estação!$AA$2:$AA$50000,Estação!$A$2:$A$50000,$B107,Estação!$AA$2:$AA$50000,"&gt;-50"),""))</f>
        <v/>
      </c>
      <c r="R107" s="12">
        <f>IF($B107="§","",IFERROR(AVERAGEIFS(Estação!$AB$2:$AB$50000,Estação!$A$2:$A$50000,$B107,Estação!$AB$2:$AB$50000,"&gt;-50"),""))</f>
        <v/>
      </c>
      <c r="S107" s="12">
        <f>IF($B107="§","",IFERROR(AVERAGEIFS(Estação!$Y$2:$Y$50000,Estação!$A$2:$A$50000,$B107,Estação!$Y$2:$Y$50000,"&gt;-50"),""))</f>
        <v/>
      </c>
      <c r="T107" s="12">
        <f>IF($B107="§","",IFERROR(AVERAGEIFS(Estação!$C$2:$C$50000,Estação!$A$2:$A$50000,$B107,Estação!$C$2:$C$50000,"&gt;-50"),""))</f>
        <v/>
      </c>
    </row>
    <row r="108">
      <c r="A108" s="12">
        <f>IF($C108&gt;DATE(YEAR($B$1),MONTH($B$1),1),"",RIGHT("0"&amp;MONTH($C108),2)&amp;"/"&amp;YEAR($C108))</f>
        <v/>
      </c>
      <c r="B108" s="12">
        <f>IF($C108&gt;DATE(YEAR($B$1),MONTH($B$1),1),"§",YEAR($C108)&amp;"-"&amp;RIGHT("0"&amp;MONTH($C108),2)&amp;"*")</f>
        <v/>
      </c>
      <c r="C108" s="12">
        <f>EDATE(DATE(YEAR($C$1),MONTH($C$1),1),17)</f>
        <v/>
      </c>
      <c r="D108" s="12">
        <f>IF($B108="§","",IFERROR(AVERAGEIFS(Estação!$S$2:$S$50000,Estação!$A$2:$A$50000,$B108,Estação!$S$2:$S$50000,"&gt;-50"),""))</f>
        <v/>
      </c>
      <c r="E108" s="12">
        <f>IF($B108="§","",IFERROR(AVERAGEIFS(Estação!$T$2:$T$50000,Estação!$A$2:$A$50000,$B108,Estação!$T$2:$T$50000,"&gt;-50"),""))</f>
        <v/>
      </c>
      <c r="F108" s="12">
        <f>IF($B108="§","",IFERROR(AVERAGEIFS(Estação!$F$2:$F$50000,Estação!$A$2:$A$50000,$B108,Estação!$F$2:$F$50000,"&gt;-50"),""))</f>
        <v/>
      </c>
      <c r="G108" s="12">
        <f>IF($B108="§","",IFERROR(AVERAGEIFS(Estação!$G$2:$G$50000,Estação!$A$2:$A$50000,$B108,Estação!$G$2:$G$50000,"&gt;-50"),""))</f>
        <v/>
      </c>
      <c r="H108" s="12">
        <f>IF($B108="§","",IFERROR(AVERAGEIFS(Estação!$Z$2:$Z$50000,Estação!$A$2:$A$50000,$B108,Estação!$Z$2:$Z$50000,"&gt;-50"),""))</f>
        <v/>
      </c>
      <c r="I108" s="12">
        <f>IF($B108="§","",IFERROR(AVERAGEIFS(Estação!$E$2:$E$50000,Estação!$A$2:$A$50000,$B108,Estação!$E$2:$E$50000,"&gt;-50"),""))</f>
        <v/>
      </c>
      <c r="J108" s="12">
        <f>IF($B108="§","",IFERROR(AVERAGEIFS(Estação!$H$2:$H$50000,Estação!$A$2:$A$50000,$B108,Estação!$H$2:$H$50000,"&gt;-50"),""))</f>
        <v/>
      </c>
      <c r="K108" s="12">
        <f>IF($B108="§","",IFERROR(AVERAGEIFS(Estação!$L$2:$L$50000,Estação!$A$2:$A$50000,$B108,Estação!$L$2:$L$50000,"&gt;-50"),""))</f>
        <v/>
      </c>
      <c r="L108" s="12">
        <f>IF($B108="§","",IFERROR(AVERAGEIFS(Estação!$B$2:$B$50000,Estação!$A$2:$A$50000,$B108,Estação!$B$2:$B$50000,"&gt;-50"),""))</f>
        <v/>
      </c>
      <c r="M108" s="12">
        <f>IF($B108="§","",IFERROR(AVERAGEIFS(Estação!$M$2:$M$50000,Estação!$A$2:$A$50000,$B108,Estação!$M$2:$M$50000,"&gt;-50"),""))</f>
        <v/>
      </c>
      <c r="N108" s="12">
        <f>IF($B108="§","",N(N107)+SUMIFS(Estação!$O$2:$O$50000,Estação!$A$2:$A$50000,$B108))</f>
        <v/>
      </c>
      <c r="O108" s="12">
        <f>IF($B108="§","",N(O107)+SUMIFS(Estação!$P$2:$P$50000,Estação!$A$2:$A$50000,$B108))</f>
        <v/>
      </c>
      <c r="P108" s="12">
        <f>IF($B108="§","",N(P107)+SUMIFS(Estação!$Q$2:$Q$50000,Estação!$A$2:$A$50000,$B108))</f>
        <v/>
      </c>
      <c r="Q108" s="12">
        <f>IF($B108="§","",IFERROR(AVERAGEIFS(Estação!$AA$2:$AA$50000,Estação!$A$2:$A$50000,$B108,Estação!$AA$2:$AA$50000,"&gt;-50"),""))</f>
        <v/>
      </c>
      <c r="R108" s="12">
        <f>IF($B108="§","",IFERROR(AVERAGEIFS(Estação!$AB$2:$AB$50000,Estação!$A$2:$A$50000,$B108,Estação!$AB$2:$AB$50000,"&gt;-50"),""))</f>
        <v/>
      </c>
      <c r="S108" s="12">
        <f>IF($B108="§","",IFERROR(AVERAGEIFS(Estação!$Y$2:$Y$50000,Estação!$A$2:$A$50000,$B108,Estação!$Y$2:$Y$50000,"&gt;-50"),""))</f>
        <v/>
      </c>
      <c r="T108" s="12">
        <f>IF($B108="§","",IFERROR(AVERAGEIFS(Estação!$C$2:$C$50000,Estação!$A$2:$A$50000,$B108,Estação!$C$2:$C$50000,"&gt;-50"),""))</f>
        <v/>
      </c>
    </row>
    <row r="109">
      <c r="A109" s="12">
        <f>IF($C109&gt;DATE(YEAR($B$1),MONTH($B$1),1),"",RIGHT("0"&amp;MONTH($C109),2)&amp;"/"&amp;YEAR($C109))</f>
        <v/>
      </c>
      <c r="B109" s="12">
        <f>IF($C109&gt;DATE(YEAR($B$1),MONTH($B$1),1),"§",YEAR($C109)&amp;"-"&amp;RIGHT("0"&amp;MONTH($C109),2)&amp;"*")</f>
        <v/>
      </c>
      <c r="C109" s="12">
        <f>EDATE(DATE(YEAR($C$1),MONTH($C$1),1),18)</f>
        <v/>
      </c>
      <c r="D109" s="12">
        <f>IF($B109="§","",IFERROR(AVERAGEIFS(Estação!$S$2:$S$50000,Estação!$A$2:$A$50000,$B109,Estação!$S$2:$S$50000,"&gt;-50"),""))</f>
        <v/>
      </c>
      <c r="E109" s="12">
        <f>IF($B109="§","",IFERROR(AVERAGEIFS(Estação!$T$2:$T$50000,Estação!$A$2:$A$50000,$B109,Estação!$T$2:$T$50000,"&gt;-50"),""))</f>
        <v/>
      </c>
      <c r="F109" s="12">
        <f>IF($B109="§","",IFERROR(AVERAGEIFS(Estação!$F$2:$F$50000,Estação!$A$2:$A$50000,$B109,Estação!$F$2:$F$50000,"&gt;-50"),""))</f>
        <v/>
      </c>
      <c r="G109" s="12">
        <f>IF($B109="§","",IFERROR(AVERAGEIFS(Estação!$G$2:$G$50000,Estação!$A$2:$A$50000,$B109,Estação!$G$2:$G$50000,"&gt;-50"),""))</f>
        <v/>
      </c>
      <c r="H109" s="12">
        <f>IF($B109="§","",IFERROR(AVERAGEIFS(Estação!$Z$2:$Z$50000,Estação!$A$2:$A$50000,$B109,Estação!$Z$2:$Z$50000,"&gt;-50"),""))</f>
        <v/>
      </c>
      <c r="I109" s="12">
        <f>IF($B109="§","",IFERROR(AVERAGEIFS(Estação!$E$2:$E$50000,Estação!$A$2:$A$50000,$B109,Estação!$E$2:$E$50000,"&gt;-50"),""))</f>
        <v/>
      </c>
      <c r="J109" s="12">
        <f>IF($B109="§","",IFERROR(AVERAGEIFS(Estação!$H$2:$H$50000,Estação!$A$2:$A$50000,$B109,Estação!$H$2:$H$50000,"&gt;-50"),""))</f>
        <v/>
      </c>
      <c r="K109" s="12">
        <f>IF($B109="§","",IFERROR(AVERAGEIFS(Estação!$L$2:$L$50000,Estação!$A$2:$A$50000,$B109,Estação!$L$2:$L$50000,"&gt;-50"),""))</f>
        <v/>
      </c>
      <c r="L109" s="12">
        <f>IF($B109="§","",IFERROR(AVERAGEIFS(Estação!$B$2:$B$50000,Estação!$A$2:$A$50000,$B109,Estação!$B$2:$B$50000,"&gt;-50"),""))</f>
        <v/>
      </c>
      <c r="M109" s="12">
        <f>IF($B109="§","",IFERROR(AVERAGEIFS(Estação!$M$2:$M$50000,Estação!$A$2:$A$50000,$B109,Estação!$M$2:$M$50000,"&gt;-50"),""))</f>
        <v/>
      </c>
      <c r="N109" s="12">
        <f>IF($B109="§","",N(N108)+SUMIFS(Estação!$O$2:$O$50000,Estação!$A$2:$A$50000,$B109))</f>
        <v/>
      </c>
      <c r="O109" s="12">
        <f>IF($B109="§","",N(O108)+SUMIFS(Estação!$P$2:$P$50000,Estação!$A$2:$A$50000,$B109))</f>
        <v/>
      </c>
      <c r="P109" s="12">
        <f>IF($B109="§","",N(P108)+SUMIFS(Estação!$Q$2:$Q$50000,Estação!$A$2:$A$50000,$B109))</f>
        <v/>
      </c>
      <c r="Q109" s="12">
        <f>IF($B109="§","",IFERROR(AVERAGEIFS(Estação!$AA$2:$AA$50000,Estação!$A$2:$A$50000,$B109,Estação!$AA$2:$AA$50000,"&gt;-50"),""))</f>
        <v/>
      </c>
      <c r="R109" s="12">
        <f>IF($B109="§","",IFERROR(AVERAGEIFS(Estação!$AB$2:$AB$50000,Estação!$A$2:$A$50000,$B109,Estação!$AB$2:$AB$50000,"&gt;-50"),""))</f>
        <v/>
      </c>
      <c r="S109" s="12">
        <f>IF($B109="§","",IFERROR(AVERAGEIFS(Estação!$Y$2:$Y$50000,Estação!$A$2:$A$50000,$B109,Estação!$Y$2:$Y$50000,"&gt;-50"),""))</f>
        <v/>
      </c>
      <c r="T109" s="12">
        <f>IF($B109="§","",IFERROR(AVERAGEIFS(Estação!$C$2:$C$50000,Estação!$A$2:$A$50000,$B109,Estação!$C$2:$C$50000,"&gt;-50"),""))</f>
        <v/>
      </c>
    </row>
    <row r="110">
      <c r="A110" s="12">
        <f>IF($C110&gt;DATE(YEAR($B$1),MONTH($B$1),1),"",RIGHT("0"&amp;MONTH($C110),2)&amp;"/"&amp;YEAR($C110))</f>
        <v/>
      </c>
      <c r="B110" s="12">
        <f>IF($C110&gt;DATE(YEAR($B$1),MONTH($B$1),1),"§",YEAR($C110)&amp;"-"&amp;RIGHT("0"&amp;MONTH($C110),2)&amp;"*")</f>
        <v/>
      </c>
      <c r="C110" s="12">
        <f>EDATE(DATE(YEAR($C$1),MONTH($C$1),1),19)</f>
        <v/>
      </c>
      <c r="D110" s="12">
        <f>IF($B110="§","",IFERROR(AVERAGEIFS(Estação!$S$2:$S$50000,Estação!$A$2:$A$50000,$B110,Estação!$S$2:$S$50000,"&gt;-50"),""))</f>
        <v/>
      </c>
      <c r="E110" s="12">
        <f>IF($B110="§","",IFERROR(AVERAGEIFS(Estação!$T$2:$T$50000,Estação!$A$2:$A$50000,$B110,Estação!$T$2:$T$50000,"&gt;-50"),""))</f>
        <v/>
      </c>
      <c r="F110" s="12">
        <f>IF($B110="§","",IFERROR(AVERAGEIFS(Estação!$F$2:$F$50000,Estação!$A$2:$A$50000,$B110,Estação!$F$2:$F$50000,"&gt;-50"),""))</f>
        <v/>
      </c>
      <c r="G110" s="12">
        <f>IF($B110="§","",IFERROR(AVERAGEIFS(Estação!$G$2:$G$50000,Estação!$A$2:$A$50000,$B110,Estação!$G$2:$G$50000,"&gt;-50"),""))</f>
        <v/>
      </c>
      <c r="H110" s="12">
        <f>IF($B110="§","",IFERROR(AVERAGEIFS(Estação!$Z$2:$Z$50000,Estação!$A$2:$A$50000,$B110,Estação!$Z$2:$Z$50000,"&gt;-50"),""))</f>
        <v/>
      </c>
      <c r="I110" s="12">
        <f>IF($B110="§","",IFERROR(AVERAGEIFS(Estação!$E$2:$E$50000,Estação!$A$2:$A$50000,$B110,Estação!$E$2:$E$50000,"&gt;-50"),""))</f>
        <v/>
      </c>
      <c r="J110" s="12">
        <f>IF($B110="§","",IFERROR(AVERAGEIFS(Estação!$H$2:$H$50000,Estação!$A$2:$A$50000,$B110,Estação!$H$2:$H$50000,"&gt;-50"),""))</f>
        <v/>
      </c>
      <c r="K110" s="12">
        <f>IF($B110="§","",IFERROR(AVERAGEIFS(Estação!$L$2:$L$50000,Estação!$A$2:$A$50000,$B110,Estação!$L$2:$L$50000,"&gt;-50"),""))</f>
        <v/>
      </c>
      <c r="L110" s="12">
        <f>IF($B110="§","",IFERROR(AVERAGEIFS(Estação!$B$2:$B$50000,Estação!$A$2:$A$50000,$B110,Estação!$B$2:$B$50000,"&gt;-50"),""))</f>
        <v/>
      </c>
      <c r="M110" s="12">
        <f>IF($B110="§","",IFERROR(AVERAGEIFS(Estação!$M$2:$M$50000,Estação!$A$2:$A$50000,$B110,Estação!$M$2:$M$50000,"&gt;-50"),""))</f>
        <v/>
      </c>
      <c r="N110" s="12">
        <f>IF($B110="§","",N(N109)+SUMIFS(Estação!$O$2:$O$50000,Estação!$A$2:$A$50000,$B110))</f>
        <v/>
      </c>
      <c r="O110" s="12">
        <f>IF($B110="§","",N(O109)+SUMIFS(Estação!$P$2:$P$50000,Estação!$A$2:$A$50000,$B110))</f>
        <v/>
      </c>
      <c r="P110" s="12">
        <f>IF($B110="§","",N(P109)+SUMIFS(Estação!$Q$2:$Q$50000,Estação!$A$2:$A$50000,$B110))</f>
        <v/>
      </c>
      <c r="Q110" s="12">
        <f>IF($B110="§","",IFERROR(AVERAGEIFS(Estação!$AA$2:$AA$50000,Estação!$A$2:$A$50000,$B110,Estação!$AA$2:$AA$50000,"&gt;-50"),""))</f>
        <v/>
      </c>
      <c r="R110" s="12">
        <f>IF($B110="§","",IFERROR(AVERAGEIFS(Estação!$AB$2:$AB$50000,Estação!$A$2:$A$50000,$B110,Estação!$AB$2:$AB$50000,"&gt;-50"),""))</f>
        <v/>
      </c>
      <c r="S110" s="12">
        <f>IF($B110="§","",IFERROR(AVERAGEIFS(Estação!$Y$2:$Y$50000,Estação!$A$2:$A$50000,$B110,Estação!$Y$2:$Y$50000,"&gt;-50"),""))</f>
        <v/>
      </c>
      <c r="T110" s="12">
        <f>IF($B110="§","",IFERROR(AVERAGEIFS(Estação!$C$2:$C$50000,Estação!$A$2:$A$50000,$B110,Estação!$C$2:$C$50000,"&gt;-50"),""))</f>
        <v/>
      </c>
    </row>
    <row r="111">
      <c r="A111" s="12">
        <f>IF($C111&gt;DATE(YEAR($B$1),MONTH($B$1),1),"",RIGHT("0"&amp;MONTH($C111),2)&amp;"/"&amp;YEAR($C111))</f>
        <v/>
      </c>
      <c r="B111" s="12">
        <f>IF($C111&gt;DATE(YEAR($B$1),MONTH($B$1),1),"§",YEAR($C111)&amp;"-"&amp;RIGHT("0"&amp;MONTH($C111),2)&amp;"*")</f>
        <v/>
      </c>
      <c r="C111" s="12">
        <f>EDATE(DATE(YEAR($C$1),MONTH($C$1),1),20)</f>
        <v/>
      </c>
      <c r="D111" s="12">
        <f>IF($B111="§","",IFERROR(AVERAGEIFS(Estação!$S$2:$S$50000,Estação!$A$2:$A$50000,$B111,Estação!$S$2:$S$50000,"&gt;-50"),""))</f>
        <v/>
      </c>
      <c r="E111" s="12">
        <f>IF($B111="§","",IFERROR(AVERAGEIFS(Estação!$T$2:$T$50000,Estação!$A$2:$A$50000,$B111,Estação!$T$2:$T$50000,"&gt;-50"),""))</f>
        <v/>
      </c>
      <c r="F111" s="12">
        <f>IF($B111="§","",IFERROR(AVERAGEIFS(Estação!$F$2:$F$50000,Estação!$A$2:$A$50000,$B111,Estação!$F$2:$F$50000,"&gt;-50"),""))</f>
        <v/>
      </c>
      <c r="G111" s="12">
        <f>IF($B111="§","",IFERROR(AVERAGEIFS(Estação!$G$2:$G$50000,Estação!$A$2:$A$50000,$B111,Estação!$G$2:$G$50000,"&gt;-50"),""))</f>
        <v/>
      </c>
      <c r="H111" s="12">
        <f>IF($B111="§","",IFERROR(AVERAGEIFS(Estação!$Z$2:$Z$50000,Estação!$A$2:$A$50000,$B111,Estação!$Z$2:$Z$50000,"&gt;-50"),""))</f>
        <v/>
      </c>
      <c r="I111" s="12">
        <f>IF($B111="§","",IFERROR(AVERAGEIFS(Estação!$E$2:$E$50000,Estação!$A$2:$A$50000,$B111,Estação!$E$2:$E$50000,"&gt;-50"),""))</f>
        <v/>
      </c>
      <c r="J111" s="12">
        <f>IF($B111="§","",IFERROR(AVERAGEIFS(Estação!$H$2:$H$50000,Estação!$A$2:$A$50000,$B111,Estação!$H$2:$H$50000,"&gt;-50"),""))</f>
        <v/>
      </c>
      <c r="K111" s="12">
        <f>IF($B111="§","",IFERROR(AVERAGEIFS(Estação!$L$2:$L$50000,Estação!$A$2:$A$50000,$B111,Estação!$L$2:$L$50000,"&gt;-50"),""))</f>
        <v/>
      </c>
      <c r="L111" s="12">
        <f>IF($B111="§","",IFERROR(AVERAGEIFS(Estação!$B$2:$B$50000,Estação!$A$2:$A$50000,$B111,Estação!$B$2:$B$50000,"&gt;-50"),""))</f>
        <v/>
      </c>
      <c r="M111" s="12">
        <f>IF($B111="§","",IFERROR(AVERAGEIFS(Estação!$M$2:$M$50000,Estação!$A$2:$A$50000,$B111,Estação!$M$2:$M$50000,"&gt;-50"),""))</f>
        <v/>
      </c>
      <c r="N111" s="12">
        <f>IF($B111="§","",N(N110)+SUMIFS(Estação!$O$2:$O$50000,Estação!$A$2:$A$50000,$B111))</f>
        <v/>
      </c>
      <c r="O111" s="12">
        <f>IF($B111="§","",N(O110)+SUMIFS(Estação!$P$2:$P$50000,Estação!$A$2:$A$50000,$B111))</f>
        <v/>
      </c>
      <c r="P111" s="12">
        <f>IF($B111="§","",N(P110)+SUMIFS(Estação!$Q$2:$Q$50000,Estação!$A$2:$A$50000,$B111))</f>
        <v/>
      </c>
      <c r="Q111" s="12">
        <f>IF($B111="§","",IFERROR(AVERAGEIFS(Estação!$AA$2:$AA$50000,Estação!$A$2:$A$50000,$B111,Estação!$AA$2:$AA$50000,"&gt;-50"),""))</f>
        <v/>
      </c>
      <c r="R111" s="12">
        <f>IF($B111="§","",IFERROR(AVERAGEIFS(Estação!$AB$2:$AB$50000,Estação!$A$2:$A$50000,$B111,Estação!$AB$2:$AB$50000,"&gt;-50"),""))</f>
        <v/>
      </c>
      <c r="S111" s="12">
        <f>IF($B111="§","",IFERROR(AVERAGEIFS(Estação!$Y$2:$Y$50000,Estação!$A$2:$A$50000,$B111,Estação!$Y$2:$Y$50000,"&gt;-50"),""))</f>
        <v/>
      </c>
      <c r="T111" s="12">
        <f>IF($B111="§","",IFERROR(AVERAGEIFS(Estação!$C$2:$C$50000,Estação!$A$2:$A$50000,$B111,Estação!$C$2:$C$50000,"&gt;-50"),""))</f>
        <v/>
      </c>
    </row>
    <row r="112">
      <c r="A112" s="12">
        <f>IF($C112&gt;DATE(YEAR($B$1),MONTH($B$1),1),"",RIGHT("0"&amp;MONTH($C112),2)&amp;"/"&amp;YEAR($C112))</f>
        <v/>
      </c>
      <c r="B112" s="12">
        <f>IF($C112&gt;DATE(YEAR($B$1),MONTH($B$1),1),"§",YEAR($C112)&amp;"-"&amp;RIGHT("0"&amp;MONTH($C112),2)&amp;"*")</f>
        <v/>
      </c>
      <c r="C112" s="12">
        <f>EDATE(DATE(YEAR($C$1),MONTH($C$1),1),21)</f>
        <v/>
      </c>
      <c r="D112" s="12">
        <f>IF($B112="§","",IFERROR(AVERAGEIFS(Estação!$S$2:$S$50000,Estação!$A$2:$A$50000,$B112,Estação!$S$2:$S$50000,"&gt;-50"),""))</f>
        <v/>
      </c>
      <c r="E112" s="12">
        <f>IF($B112="§","",IFERROR(AVERAGEIFS(Estação!$T$2:$T$50000,Estação!$A$2:$A$50000,$B112,Estação!$T$2:$T$50000,"&gt;-50"),""))</f>
        <v/>
      </c>
      <c r="F112" s="12">
        <f>IF($B112="§","",IFERROR(AVERAGEIFS(Estação!$F$2:$F$50000,Estação!$A$2:$A$50000,$B112,Estação!$F$2:$F$50000,"&gt;-50"),""))</f>
        <v/>
      </c>
      <c r="G112" s="12">
        <f>IF($B112="§","",IFERROR(AVERAGEIFS(Estação!$G$2:$G$50000,Estação!$A$2:$A$50000,$B112,Estação!$G$2:$G$50000,"&gt;-50"),""))</f>
        <v/>
      </c>
      <c r="H112" s="12">
        <f>IF($B112="§","",IFERROR(AVERAGEIFS(Estação!$Z$2:$Z$50000,Estação!$A$2:$A$50000,$B112,Estação!$Z$2:$Z$50000,"&gt;-50"),""))</f>
        <v/>
      </c>
      <c r="I112" s="12">
        <f>IF($B112="§","",IFERROR(AVERAGEIFS(Estação!$E$2:$E$50000,Estação!$A$2:$A$50000,$B112,Estação!$E$2:$E$50000,"&gt;-50"),""))</f>
        <v/>
      </c>
      <c r="J112" s="12">
        <f>IF($B112="§","",IFERROR(AVERAGEIFS(Estação!$H$2:$H$50000,Estação!$A$2:$A$50000,$B112,Estação!$H$2:$H$50000,"&gt;-50"),""))</f>
        <v/>
      </c>
      <c r="K112" s="12">
        <f>IF($B112="§","",IFERROR(AVERAGEIFS(Estação!$L$2:$L$50000,Estação!$A$2:$A$50000,$B112,Estação!$L$2:$L$50000,"&gt;-50"),""))</f>
        <v/>
      </c>
      <c r="L112" s="12">
        <f>IF($B112="§","",IFERROR(AVERAGEIFS(Estação!$B$2:$B$50000,Estação!$A$2:$A$50000,$B112,Estação!$B$2:$B$50000,"&gt;-50"),""))</f>
        <v/>
      </c>
      <c r="M112" s="12">
        <f>IF($B112="§","",IFERROR(AVERAGEIFS(Estação!$M$2:$M$50000,Estação!$A$2:$A$50000,$B112,Estação!$M$2:$M$50000,"&gt;-50"),""))</f>
        <v/>
      </c>
      <c r="N112" s="12">
        <f>IF($B112="§","",N(N111)+SUMIFS(Estação!$O$2:$O$50000,Estação!$A$2:$A$50000,$B112))</f>
        <v/>
      </c>
      <c r="O112" s="12">
        <f>IF($B112="§","",N(O111)+SUMIFS(Estação!$P$2:$P$50000,Estação!$A$2:$A$50000,$B112))</f>
        <v/>
      </c>
      <c r="P112" s="12">
        <f>IF($B112="§","",N(P111)+SUMIFS(Estação!$Q$2:$Q$50000,Estação!$A$2:$A$50000,$B112))</f>
        <v/>
      </c>
      <c r="Q112" s="12">
        <f>IF($B112="§","",IFERROR(AVERAGEIFS(Estação!$AA$2:$AA$50000,Estação!$A$2:$A$50000,$B112,Estação!$AA$2:$AA$50000,"&gt;-50"),""))</f>
        <v/>
      </c>
      <c r="R112" s="12">
        <f>IF($B112="§","",IFERROR(AVERAGEIFS(Estação!$AB$2:$AB$50000,Estação!$A$2:$A$50000,$B112,Estação!$AB$2:$AB$50000,"&gt;-50"),""))</f>
        <v/>
      </c>
      <c r="S112" s="12">
        <f>IF($B112="§","",IFERROR(AVERAGEIFS(Estação!$Y$2:$Y$50000,Estação!$A$2:$A$50000,$B112,Estação!$Y$2:$Y$50000,"&gt;-50"),""))</f>
        <v/>
      </c>
      <c r="T112" s="12">
        <f>IF($B112="§","",IFERROR(AVERAGEIFS(Estação!$C$2:$C$50000,Estação!$A$2:$A$50000,$B112,Estação!$C$2:$C$50000,"&gt;-50"),""))</f>
        <v/>
      </c>
    </row>
    <row r="113">
      <c r="A113" s="12">
        <f>IF($C113&gt;DATE(YEAR($B$1),MONTH($B$1),1),"",RIGHT("0"&amp;MONTH($C113),2)&amp;"/"&amp;YEAR($C113))</f>
        <v/>
      </c>
      <c r="B113" s="12">
        <f>IF($C113&gt;DATE(YEAR($B$1),MONTH($B$1),1),"§",YEAR($C113)&amp;"-"&amp;RIGHT("0"&amp;MONTH($C113),2)&amp;"*")</f>
        <v/>
      </c>
      <c r="C113" s="12">
        <f>EDATE(DATE(YEAR($C$1),MONTH($C$1),1),22)</f>
        <v/>
      </c>
      <c r="D113" s="12">
        <f>IF($B113="§","",IFERROR(AVERAGEIFS(Estação!$S$2:$S$50000,Estação!$A$2:$A$50000,$B113,Estação!$S$2:$S$50000,"&gt;-50"),""))</f>
        <v/>
      </c>
      <c r="E113" s="12">
        <f>IF($B113="§","",IFERROR(AVERAGEIFS(Estação!$T$2:$T$50000,Estação!$A$2:$A$50000,$B113,Estação!$T$2:$T$50000,"&gt;-50"),""))</f>
        <v/>
      </c>
      <c r="F113" s="12">
        <f>IF($B113="§","",IFERROR(AVERAGEIFS(Estação!$F$2:$F$50000,Estação!$A$2:$A$50000,$B113,Estação!$F$2:$F$50000,"&gt;-50"),""))</f>
        <v/>
      </c>
      <c r="G113" s="12">
        <f>IF($B113="§","",IFERROR(AVERAGEIFS(Estação!$G$2:$G$50000,Estação!$A$2:$A$50000,$B113,Estação!$G$2:$G$50000,"&gt;-50"),""))</f>
        <v/>
      </c>
      <c r="H113" s="12">
        <f>IF($B113="§","",IFERROR(AVERAGEIFS(Estação!$Z$2:$Z$50000,Estação!$A$2:$A$50000,$B113,Estação!$Z$2:$Z$50000,"&gt;-50"),""))</f>
        <v/>
      </c>
      <c r="I113" s="12">
        <f>IF($B113="§","",IFERROR(AVERAGEIFS(Estação!$E$2:$E$50000,Estação!$A$2:$A$50000,$B113,Estação!$E$2:$E$50000,"&gt;-50"),""))</f>
        <v/>
      </c>
      <c r="J113" s="12">
        <f>IF($B113="§","",IFERROR(AVERAGEIFS(Estação!$H$2:$H$50000,Estação!$A$2:$A$50000,$B113,Estação!$H$2:$H$50000,"&gt;-50"),""))</f>
        <v/>
      </c>
      <c r="K113" s="12">
        <f>IF($B113="§","",IFERROR(AVERAGEIFS(Estação!$L$2:$L$50000,Estação!$A$2:$A$50000,$B113,Estação!$L$2:$L$50000,"&gt;-50"),""))</f>
        <v/>
      </c>
      <c r="L113" s="12">
        <f>IF($B113="§","",IFERROR(AVERAGEIFS(Estação!$B$2:$B$50000,Estação!$A$2:$A$50000,$B113,Estação!$B$2:$B$50000,"&gt;-50"),""))</f>
        <v/>
      </c>
      <c r="M113" s="12">
        <f>IF($B113="§","",IFERROR(AVERAGEIFS(Estação!$M$2:$M$50000,Estação!$A$2:$A$50000,$B113,Estação!$M$2:$M$50000,"&gt;-50"),""))</f>
        <v/>
      </c>
      <c r="N113" s="12">
        <f>IF($B113="§","",N(N112)+SUMIFS(Estação!$O$2:$O$50000,Estação!$A$2:$A$50000,$B113))</f>
        <v/>
      </c>
      <c r="O113" s="12">
        <f>IF($B113="§","",N(O112)+SUMIFS(Estação!$P$2:$P$50000,Estação!$A$2:$A$50000,$B113))</f>
        <v/>
      </c>
      <c r="P113" s="12">
        <f>IF($B113="§","",N(P112)+SUMIFS(Estação!$Q$2:$Q$50000,Estação!$A$2:$A$50000,$B113))</f>
        <v/>
      </c>
      <c r="Q113" s="12">
        <f>IF($B113="§","",IFERROR(AVERAGEIFS(Estação!$AA$2:$AA$50000,Estação!$A$2:$A$50000,$B113,Estação!$AA$2:$AA$50000,"&gt;-50"),""))</f>
        <v/>
      </c>
      <c r="R113" s="12">
        <f>IF($B113="§","",IFERROR(AVERAGEIFS(Estação!$AB$2:$AB$50000,Estação!$A$2:$A$50000,$B113,Estação!$AB$2:$AB$50000,"&gt;-50"),""))</f>
        <v/>
      </c>
      <c r="S113" s="12">
        <f>IF($B113="§","",IFERROR(AVERAGEIFS(Estação!$Y$2:$Y$50000,Estação!$A$2:$A$50000,$B113,Estação!$Y$2:$Y$50000,"&gt;-50"),""))</f>
        <v/>
      </c>
      <c r="T113" s="12">
        <f>IF($B113="§","",IFERROR(AVERAGEIFS(Estação!$C$2:$C$50000,Estação!$A$2:$A$50000,$B113,Estação!$C$2:$C$50000,"&gt;-50"),""))</f>
        <v/>
      </c>
    </row>
    <row r="114">
      <c r="A114" s="12">
        <f>IF($C114&gt;DATE(YEAR($B$1),MONTH($B$1),1),"",RIGHT("0"&amp;MONTH($C114),2)&amp;"/"&amp;YEAR($C114))</f>
        <v/>
      </c>
      <c r="B114" s="12">
        <f>IF($C114&gt;DATE(YEAR($B$1),MONTH($B$1),1),"§",YEAR($C114)&amp;"-"&amp;RIGHT("0"&amp;MONTH($C114),2)&amp;"*")</f>
        <v/>
      </c>
      <c r="C114" s="12">
        <f>EDATE(DATE(YEAR($C$1),MONTH($C$1),1),23)</f>
        <v/>
      </c>
      <c r="D114" s="12">
        <f>IF($B114="§","",IFERROR(AVERAGEIFS(Estação!$S$2:$S$50000,Estação!$A$2:$A$50000,$B114,Estação!$S$2:$S$50000,"&gt;-50"),""))</f>
        <v/>
      </c>
      <c r="E114" s="12">
        <f>IF($B114="§","",IFERROR(AVERAGEIFS(Estação!$T$2:$T$50000,Estação!$A$2:$A$50000,$B114,Estação!$T$2:$T$50000,"&gt;-50"),""))</f>
        <v/>
      </c>
      <c r="F114" s="12">
        <f>IF($B114="§","",IFERROR(AVERAGEIFS(Estação!$F$2:$F$50000,Estação!$A$2:$A$50000,$B114,Estação!$F$2:$F$50000,"&gt;-50"),""))</f>
        <v/>
      </c>
      <c r="G114" s="12">
        <f>IF($B114="§","",IFERROR(AVERAGEIFS(Estação!$G$2:$G$50000,Estação!$A$2:$A$50000,$B114,Estação!$G$2:$G$50000,"&gt;-50"),""))</f>
        <v/>
      </c>
      <c r="H114" s="12">
        <f>IF($B114="§","",IFERROR(AVERAGEIFS(Estação!$Z$2:$Z$50000,Estação!$A$2:$A$50000,$B114,Estação!$Z$2:$Z$50000,"&gt;-50"),""))</f>
        <v/>
      </c>
      <c r="I114" s="12">
        <f>IF($B114="§","",IFERROR(AVERAGEIFS(Estação!$E$2:$E$50000,Estação!$A$2:$A$50000,$B114,Estação!$E$2:$E$50000,"&gt;-50"),""))</f>
        <v/>
      </c>
      <c r="J114" s="12">
        <f>IF($B114="§","",IFERROR(AVERAGEIFS(Estação!$H$2:$H$50000,Estação!$A$2:$A$50000,$B114,Estação!$H$2:$H$50000,"&gt;-50"),""))</f>
        <v/>
      </c>
      <c r="K114" s="12">
        <f>IF($B114="§","",IFERROR(AVERAGEIFS(Estação!$L$2:$L$50000,Estação!$A$2:$A$50000,$B114,Estação!$L$2:$L$50000,"&gt;-50"),""))</f>
        <v/>
      </c>
      <c r="L114" s="12">
        <f>IF($B114="§","",IFERROR(AVERAGEIFS(Estação!$B$2:$B$50000,Estação!$A$2:$A$50000,$B114,Estação!$B$2:$B$50000,"&gt;-50"),""))</f>
        <v/>
      </c>
      <c r="M114" s="12">
        <f>IF($B114="§","",IFERROR(AVERAGEIFS(Estação!$M$2:$M$50000,Estação!$A$2:$A$50000,$B114,Estação!$M$2:$M$50000,"&gt;-50"),""))</f>
        <v/>
      </c>
      <c r="N114" s="12">
        <f>IF($B114="§","",N(N113)+SUMIFS(Estação!$O$2:$O$50000,Estação!$A$2:$A$50000,$B114))</f>
        <v/>
      </c>
      <c r="O114" s="12">
        <f>IF($B114="§","",N(O113)+SUMIFS(Estação!$P$2:$P$50000,Estação!$A$2:$A$50000,$B114))</f>
        <v/>
      </c>
      <c r="P114" s="12">
        <f>IF($B114="§","",N(P113)+SUMIFS(Estação!$Q$2:$Q$50000,Estação!$A$2:$A$50000,$B114))</f>
        <v/>
      </c>
      <c r="Q114" s="12">
        <f>IF($B114="§","",IFERROR(AVERAGEIFS(Estação!$AA$2:$AA$50000,Estação!$A$2:$A$50000,$B114,Estação!$AA$2:$AA$50000,"&gt;-50"),""))</f>
        <v/>
      </c>
      <c r="R114" s="12">
        <f>IF($B114="§","",IFERROR(AVERAGEIFS(Estação!$AB$2:$AB$50000,Estação!$A$2:$A$50000,$B114,Estação!$AB$2:$AB$50000,"&gt;-50"),""))</f>
        <v/>
      </c>
      <c r="S114" s="12">
        <f>IF($B114="§","",IFERROR(AVERAGEIFS(Estação!$Y$2:$Y$50000,Estação!$A$2:$A$50000,$B114,Estação!$Y$2:$Y$50000,"&gt;-50"),""))</f>
        <v/>
      </c>
      <c r="T114" s="12">
        <f>IF($B114="§","",IFERROR(AVERAGEIFS(Estação!$C$2:$C$50000,Estação!$A$2:$A$50000,$B114,Estação!$C$2:$C$50000,"&gt;-50"),""))</f>
        <v/>
      </c>
    </row>
    <row r="115">
      <c r="A115" s="12">
        <f>IF($C115&gt;DATE(YEAR($B$1),MONTH($B$1),1),"",RIGHT("0"&amp;MONTH($C115),2)&amp;"/"&amp;YEAR($C115))</f>
        <v/>
      </c>
      <c r="B115" s="12">
        <f>IF($C115&gt;DATE(YEAR($B$1),MONTH($B$1),1),"§",YEAR($C115)&amp;"-"&amp;RIGHT("0"&amp;MONTH($C115),2)&amp;"*")</f>
        <v/>
      </c>
      <c r="C115" s="12">
        <f>EDATE(DATE(YEAR($C$1),MONTH($C$1),1),24)</f>
        <v/>
      </c>
      <c r="D115" s="12">
        <f>IF($B115="§","",IFERROR(AVERAGEIFS(Estação!$S$2:$S$50000,Estação!$A$2:$A$50000,$B115,Estação!$S$2:$S$50000,"&gt;-50"),""))</f>
        <v/>
      </c>
      <c r="E115" s="12">
        <f>IF($B115="§","",IFERROR(AVERAGEIFS(Estação!$T$2:$T$50000,Estação!$A$2:$A$50000,$B115,Estação!$T$2:$T$50000,"&gt;-50"),""))</f>
        <v/>
      </c>
      <c r="F115" s="12">
        <f>IF($B115="§","",IFERROR(AVERAGEIFS(Estação!$F$2:$F$50000,Estação!$A$2:$A$50000,$B115,Estação!$F$2:$F$50000,"&gt;-50"),""))</f>
        <v/>
      </c>
      <c r="G115" s="12">
        <f>IF($B115="§","",IFERROR(AVERAGEIFS(Estação!$G$2:$G$50000,Estação!$A$2:$A$50000,$B115,Estação!$G$2:$G$50000,"&gt;-50"),""))</f>
        <v/>
      </c>
      <c r="H115" s="12">
        <f>IF($B115="§","",IFERROR(AVERAGEIFS(Estação!$Z$2:$Z$50000,Estação!$A$2:$A$50000,$B115,Estação!$Z$2:$Z$50000,"&gt;-50"),""))</f>
        <v/>
      </c>
      <c r="I115" s="12">
        <f>IF($B115="§","",IFERROR(AVERAGEIFS(Estação!$E$2:$E$50000,Estação!$A$2:$A$50000,$B115,Estação!$E$2:$E$50000,"&gt;-50"),""))</f>
        <v/>
      </c>
      <c r="J115" s="12">
        <f>IF($B115="§","",IFERROR(AVERAGEIFS(Estação!$H$2:$H$50000,Estação!$A$2:$A$50000,$B115,Estação!$H$2:$H$50000,"&gt;-50"),""))</f>
        <v/>
      </c>
      <c r="K115" s="12">
        <f>IF($B115="§","",IFERROR(AVERAGEIFS(Estação!$L$2:$L$50000,Estação!$A$2:$A$50000,$B115,Estação!$L$2:$L$50000,"&gt;-50"),""))</f>
        <v/>
      </c>
      <c r="L115" s="12">
        <f>IF($B115="§","",IFERROR(AVERAGEIFS(Estação!$B$2:$B$50000,Estação!$A$2:$A$50000,$B115,Estação!$B$2:$B$50000,"&gt;-50"),""))</f>
        <v/>
      </c>
      <c r="M115" s="12">
        <f>IF($B115="§","",IFERROR(AVERAGEIFS(Estação!$M$2:$M$50000,Estação!$A$2:$A$50000,$B115,Estação!$M$2:$M$50000,"&gt;-50"),""))</f>
        <v/>
      </c>
      <c r="N115" s="12">
        <f>IF($B115="§","",N(N114)+SUMIFS(Estação!$O$2:$O$50000,Estação!$A$2:$A$50000,$B115))</f>
        <v/>
      </c>
      <c r="O115" s="12">
        <f>IF($B115="§","",N(O114)+SUMIFS(Estação!$P$2:$P$50000,Estação!$A$2:$A$50000,$B115))</f>
        <v/>
      </c>
      <c r="P115" s="12">
        <f>IF($B115="§","",N(P114)+SUMIFS(Estação!$Q$2:$Q$50000,Estação!$A$2:$A$50000,$B115))</f>
        <v/>
      </c>
      <c r="Q115" s="12">
        <f>IF($B115="§","",IFERROR(AVERAGEIFS(Estação!$AA$2:$AA$50000,Estação!$A$2:$A$50000,$B115,Estação!$AA$2:$AA$50000,"&gt;-50"),""))</f>
        <v/>
      </c>
      <c r="R115" s="12">
        <f>IF($B115="§","",IFERROR(AVERAGEIFS(Estação!$AB$2:$AB$50000,Estação!$A$2:$A$50000,$B115,Estação!$AB$2:$AB$50000,"&gt;-50"),""))</f>
        <v/>
      </c>
      <c r="S115" s="12">
        <f>IF($B115="§","",IFERROR(AVERAGEIFS(Estação!$Y$2:$Y$50000,Estação!$A$2:$A$50000,$B115,Estação!$Y$2:$Y$50000,"&gt;-50"),""))</f>
        <v/>
      </c>
      <c r="T115" s="12">
        <f>IF($B115="§","",IFERROR(AVERAGEIFS(Estação!$C$2:$C$50000,Estação!$A$2:$A$50000,$B115,Estação!$C$2:$C$50000,"&gt;-50"),""))</f>
        <v/>
      </c>
    </row>
    <row r="116">
      <c r="A116" s="12">
        <f>IF($C116&gt;DATE(YEAR($B$1),MONTH($B$1),1),"",RIGHT("0"&amp;MONTH($C116),2)&amp;"/"&amp;YEAR($C116))</f>
        <v/>
      </c>
      <c r="B116" s="12">
        <f>IF($C116&gt;DATE(YEAR($B$1),MONTH($B$1),1),"§",YEAR($C116)&amp;"-"&amp;RIGHT("0"&amp;MONTH($C116),2)&amp;"*")</f>
        <v/>
      </c>
      <c r="C116" s="12">
        <f>EDATE(DATE(YEAR($C$1),MONTH($C$1),1),25)</f>
        <v/>
      </c>
      <c r="D116" s="12">
        <f>IF($B116="§","",IFERROR(AVERAGEIFS(Estação!$S$2:$S$50000,Estação!$A$2:$A$50000,$B116,Estação!$S$2:$S$50000,"&gt;-50"),""))</f>
        <v/>
      </c>
      <c r="E116" s="12">
        <f>IF($B116="§","",IFERROR(AVERAGEIFS(Estação!$T$2:$T$50000,Estação!$A$2:$A$50000,$B116,Estação!$T$2:$T$50000,"&gt;-50"),""))</f>
        <v/>
      </c>
      <c r="F116" s="12">
        <f>IF($B116="§","",IFERROR(AVERAGEIFS(Estação!$F$2:$F$50000,Estação!$A$2:$A$50000,$B116,Estação!$F$2:$F$50000,"&gt;-50"),""))</f>
        <v/>
      </c>
      <c r="G116" s="12">
        <f>IF($B116="§","",IFERROR(AVERAGEIFS(Estação!$G$2:$G$50000,Estação!$A$2:$A$50000,$B116,Estação!$G$2:$G$50000,"&gt;-50"),""))</f>
        <v/>
      </c>
      <c r="H116" s="12">
        <f>IF($B116="§","",IFERROR(AVERAGEIFS(Estação!$Z$2:$Z$50000,Estação!$A$2:$A$50000,$B116,Estação!$Z$2:$Z$50000,"&gt;-50"),""))</f>
        <v/>
      </c>
      <c r="I116" s="12">
        <f>IF($B116="§","",IFERROR(AVERAGEIFS(Estação!$E$2:$E$50000,Estação!$A$2:$A$50000,$B116,Estação!$E$2:$E$50000,"&gt;-50"),""))</f>
        <v/>
      </c>
      <c r="J116" s="12">
        <f>IF($B116="§","",IFERROR(AVERAGEIFS(Estação!$H$2:$H$50000,Estação!$A$2:$A$50000,$B116,Estação!$H$2:$H$50000,"&gt;-50"),""))</f>
        <v/>
      </c>
      <c r="K116" s="12">
        <f>IF($B116="§","",IFERROR(AVERAGEIFS(Estação!$L$2:$L$50000,Estação!$A$2:$A$50000,$B116,Estação!$L$2:$L$50000,"&gt;-50"),""))</f>
        <v/>
      </c>
      <c r="L116" s="12">
        <f>IF($B116="§","",IFERROR(AVERAGEIFS(Estação!$B$2:$B$50000,Estação!$A$2:$A$50000,$B116,Estação!$B$2:$B$50000,"&gt;-50"),""))</f>
        <v/>
      </c>
      <c r="M116" s="12">
        <f>IF($B116="§","",IFERROR(AVERAGEIFS(Estação!$M$2:$M$50000,Estação!$A$2:$A$50000,$B116,Estação!$M$2:$M$50000,"&gt;-50"),""))</f>
        <v/>
      </c>
      <c r="N116" s="12">
        <f>IF($B116="§","",N(N115)+SUMIFS(Estação!$O$2:$O$50000,Estação!$A$2:$A$50000,$B116))</f>
        <v/>
      </c>
      <c r="O116" s="12">
        <f>IF($B116="§","",N(O115)+SUMIFS(Estação!$P$2:$P$50000,Estação!$A$2:$A$50000,$B116))</f>
        <v/>
      </c>
      <c r="P116" s="12">
        <f>IF($B116="§","",N(P115)+SUMIFS(Estação!$Q$2:$Q$50000,Estação!$A$2:$A$50000,$B116))</f>
        <v/>
      </c>
      <c r="Q116" s="12">
        <f>IF($B116="§","",IFERROR(AVERAGEIFS(Estação!$AA$2:$AA$50000,Estação!$A$2:$A$50000,$B116,Estação!$AA$2:$AA$50000,"&gt;-50"),""))</f>
        <v/>
      </c>
      <c r="R116" s="12">
        <f>IF($B116="§","",IFERROR(AVERAGEIFS(Estação!$AB$2:$AB$50000,Estação!$A$2:$A$50000,$B116,Estação!$AB$2:$AB$50000,"&gt;-50"),""))</f>
        <v/>
      </c>
      <c r="S116" s="12">
        <f>IF($B116="§","",IFERROR(AVERAGEIFS(Estação!$Y$2:$Y$50000,Estação!$A$2:$A$50000,$B116,Estação!$Y$2:$Y$50000,"&gt;-50"),""))</f>
        <v/>
      </c>
      <c r="T116" s="12">
        <f>IF($B116="§","",IFERROR(AVERAGEIFS(Estação!$C$2:$C$50000,Estação!$A$2:$A$50000,$B116,Estação!$C$2:$C$50000,"&gt;-50"),""))</f>
        <v/>
      </c>
    </row>
    <row r="117">
      <c r="A117" s="12">
        <f>IF($C117&gt;DATE(YEAR($B$1),MONTH($B$1),1),"",RIGHT("0"&amp;MONTH($C117),2)&amp;"/"&amp;YEAR($C117))</f>
        <v/>
      </c>
      <c r="B117" s="12">
        <f>IF($C117&gt;DATE(YEAR($B$1),MONTH($B$1),1),"§",YEAR($C117)&amp;"-"&amp;RIGHT("0"&amp;MONTH($C117),2)&amp;"*")</f>
        <v/>
      </c>
      <c r="C117" s="12">
        <f>EDATE(DATE(YEAR($C$1),MONTH($C$1),1),26)</f>
        <v/>
      </c>
      <c r="D117" s="12">
        <f>IF($B117="§","",IFERROR(AVERAGEIFS(Estação!$S$2:$S$50000,Estação!$A$2:$A$50000,$B117,Estação!$S$2:$S$50000,"&gt;-50"),""))</f>
        <v/>
      </c>
      <c r="E117" s="12">
        <f>IF($B117="§","",IFERROR(AVERAGEIFS(Estação!$T$2:$T$50000,Estação!$A$2:$A$50000,$B117,Estação!$T$2:$T$50000,"&gt;-50"),""))</f>
        <v/>
      </c>
      <c r="F117" s="12">
        <f>IF($B117="§","",IFERROR(AVERAGEIFS(Estação!$F$2:$F$50000,Estação!$A$2:$A$50000,$B117,Estação!$F$2:$F$50000,"&gt;-50"),""))</f>
        <v/>
      </c>
      <c r="G117" s="12">
        <f>IF($B117="§","",IFERROR(AVERAGEIFS(Estação!$G$2:$G$50000,Estação!$A$2:$A$50000,$B117,Estação!$G$2:$G$50000,"&gt;-50"),""))</f>
        <v/>
      </c>
      <c r="H117" s="12">
        <f>IF($B117="§","",IFERROR(AVERAGEIFS(Estação!$Z$2:$Z$50000,Estação!$A$2:$A$50000,$B117,Estação!$Z$2:$Z$50000,"&gt;-50"),""))</f>
        <v/>
      </c>
      <c r="I117" s="12">
        <f>IF($B117="§","",IFERROR(AVERAGEIFS(Estação!$E$2:$E$50000,Estação!$A$2:$A$50000,$B117,Estação!$E$2:$E$50000,"&gt;-50"),""))</f>
        <v/>
      </c>
      <c r="J117" s="12">
        <f>IF($B117="§","",IFERROR(AVERAGEIFS(Estação!$H$2:$H$50000,Estação!$A$2:$A$50000,$B117,Estação!$H$2:$H$50000,"&gt;-50"),""))</f>
        <v/>
      </c>
      <c r="K117" s="12">
        <f>IF($B117="§","",IFERROR(AVERAGEIFS(Estação!$L$2:$L$50000,Estação!$A$2:$A$50000,$B117,Estação!$L$2:$L$50000,"&gt;-50"),""))</f>
        <v/>
      </c>
      <c r="L117" s="12">
        <f>IF($B117="§","",IFERROR(AVERAGEIFS(Estação!$B$2:$B$50000,Estação!$A$2:$A$50000,$B117,Estação!$B$2:$B$50000,"&gt;-50"),""))</f>
        <v/>
      </c>
      <c r="M117" s="12">
        <f>IF($B117="§","",IFERROR(AVERAGEIFS(Estação!$M$2:$M$50000,Estação!$A$2:$A$50000,$B117,Estação!$M$2:$M$50000,"&gt;-50"),""))</f>
        <v/>
      </c>
      <c r="N117" s="12">
        <f>IF($B117="§","",N(N116)+SUMIFS(Estação!$O$2:$O$50000,Estação!$A$2:$A$50000,$B117))</f>
        <v/>
      </c>
      <c r="O117" s="12">
        <f>IF($B117="§","",N(O116)+SUMIFS(Estação!$P$2:$P$50000,Estação!$A$2:$A$50000,$B117))</f>
        <v/>
      </c>
      <c r="P117" s="12">
        <f>IF($B117="§","",N(P116)+SUMIFS(Estação!$Q$2:$Q$50000,Estação!$A$2:$A$50000,$B117))</f>
        <v/>
      </c>
      <c r="Q117" s="12">
        <f>IF($B117="§","",IFERROR(AVERAGEIFS(Estação!$AA$2:$AA$50000,Estação!$A$2:$A$50000,$B117,Estação!$AA$2:$AA$50000,"&gt;-50"),""))</f>
        <v/>
      </c>
      <c r="R117" s="12">
        <f>IF($B117="§","",IFERROR(AVERAGEIFS(Estação!$AB$2:$AB$50000,Estação!$A$2:$A$50000,$B117,Estação!$AB$2:$AB$50000,"&gt;-50"),""))</f>
        <v/>
      </c>
      <c r="S117" s="12">
        <f>IF($B117="§","",IFERROR(AVERAGEIFS(Estação!$Y$2:$Y$50000,Estação!$A$2:$A$50000,$B117,Estação!$Y$2:$Y$50000,"&gt;-50"),""))</f>
        <v/>
      </c>
      <c r="T117" s="12">
        <f>IF($B117="§","",IFERROR(AVERAGEIFS(Estação!$C$2:$C$50000,Estação!$A$2:$A$50000,$B117,Estação!$C$2:$C$50000,"&gt;-50"),""))</f>
        <v/>
      </c>
    </row>
    <row r="118">
      <c r="A118" s="12">
        <f>IF($C118&gt;DATE(YEAR($B$1),MONTH($B$1),1),"",RIGHT("0"&amp;MONTH($C118),2)&amp;"/"&amp;YEAR($C118))</f>
        <v/>
      </c>
      <c r="B118" s="12">
        <f>IF($C118&gt;DATE(YEAR($B$1),MONTH($B$1),1),"§",YEAR($C118)&amp;"-"&amp;RIGHT("0"&amp;MONTH($C118),2)&amp;"*")</f>
        <v/>
      </c>
      <c r="C118" s="12">
        <f>EDATE(DATE(YEAR($C$1),MONTH($C$1),1),27)</f>
        <v/>
      </c>
      <c r="D118" s="12">
        <f>IF($B118="§","",IFERROR(AVERAGEIFS(Estação!$S$2:$S$50000,Estação!$A$2:$A$50000,$B118,Estação!$S$2:$S$50000,"&gt;-50"),""))</f>
        <v/>
      </c>
      <c r="E118" s="12">
        <f>IF($B118="§","",IFERROR(AVERAGEIFS(Estação!$T$2:$T$50000,Estação!$A$2:$A$50000,$B118,Estação!$T$2:$T$50000,"&gt;-50"),""))</f>
        <v/>
      </c>
      <c r="F118" s="12">
        <f>IF($B118="§","",IFERROR(AVERAGEIFS(Estação!$F$2:$F$50000,Estação!$A$2:$A$50000,$B118,Estação!$F$2:$F$50000,"&gt;-50"),""))</f>
        <v/>
      </c>
      <c r="G118" s="12">
        <f>IF($B118="§","",IFERROR(AVERAGEIFS(Estação!$G$2:$G$50000,Estação!$A$2:$A$50000,$B118,Estação!$G$2:$G$50000,"&gt;-50"),""))</f>
        <v/>
      </c>
      <c r="H118" s="12">
        <f>IF($B118="§","",IFERROR(AVERAGEIFS(Estação!$Z$2:$Z$50000,Estação!$A$2:$A$50000,$B118,Estação!$Z$2:$Z$50000,"&gt;-50"),""))</f>
        <v/>
      </c>
      <c r="I118" s="12">
        <f>IF($B118="§","",IFERROR(AVERAGEIFS(Estação!$E$2:$E$50000,Estação!$A$2:$A$50000,$B118,Estação!$E$2:$E$50000,"&gt;-50"),""))</f>
        <v/>
      </c>
      <c r="J118" s="12">
        <f>IF($B118="§","",IFERROR(AVERAGEIFS(Estação!$H$2:$H$50000,Estação!$A$2:$A$50000,$B118,Estação!$H$2:$H$50000,"&gt;-50"),""))</f>
        <v/>
      </c>
      <c r="K118" s="12">
        <f>IF($B118="§","",IFERROR(AVERAGEIFS(Estação!$L$2:$L$50000,Estação!$A$2:$A$50000,$B118,Estação!$L$2:$L$50000,"&gt;-50"),""))</f>
        <v/>
      </c>
      <c r="L118" s="12">
        <f>IF($B118="§","",IFERROR(AVERAGEIFS(Estação!$B$2:$B$50000,Estação!$A$2:$A$50000,$B118,Estação!$B$2:$B$50000,"&gt;-50"),""))</f>
        <v/>
      </c>
      <c r="M118" s="12">
        <f>IF($B118="§","",IFERROR(AVERAGEIFS(Estação!$M$2:$M$50000,Estação!$A$2:$A$50000,$B118,Estação!$M$2:$M$50000,"&gt;-50"),""))</f>
        <v/>
      </c>
      <c r="N118" s="12">
        <f>IF($B118="§","",N(N117)+SUMIFS(Estação!$O$2:$O$50000,Estação!$A$2:$A$50000,$B118))</f>
        <v/>
      </c>
      <c r="O118" s="12">
        <f>IF($B118="§","",N(O117)+SUMIFS(Estação!$P$2:$P$50000,Estação!$A$2:$A$50000,$B118))</f>
        <v/>
      </c>
      <c r="P118" s="12">
        <f>IF($B118="§","",N(P117)+SUMIFS(Estação!$Q$2:$Q$50000,Estação!$A$2:$A$50000,$B118))</f>
        <v/>
      </c>
      <c r="Q118" s="12">
        <f>IF($B118="§","",IFERROR(AVERAGEIFS(Estação!$AA$2:$AA$50000,Estação!$A$2:$A$50000,$B118,Estação!$AA$2:$AA$50000,"&gt;-50"),""))</f>
        <v/>
      </c>
      <c r="R118" s="12">
        <f>IF($B118="§","",IFERROR(AVERAGEIFS(Estação!$AB$2:$AB$50000,Estação!$A$2:$A$50000,$B118,Estação!$AB$2:$AB$50000,"&gt;-50"),""))</f>
        <v/>
      </c>
      <c r="S118" s="12">
        <f>IF($B118="§","",IFERROR(AVERAGEIFS(Estação!$Y$2:$Y$50000,Estação!$A$2:$A$50000,$B118,Estação!$Y$2:$Y$50000,"&gt;-50"),""))</f>
        <v/>
      </c>
      <c r="T118" s="12">
        <f>IF($B118="§","",IFERROR(AVERAGEIFS(Estação!$C$2:$C$50000,Estação!$A$2:$A$50000,$B118,Estação!$C$2:$C$50000,"&gt;-50"),""))</f>
        <v/>
      </c>
    </row>
    <row r="119">
      <c r="A119" s="12">
        <f>IF($C119&gt;DATE(YEAR($B$1),MONTH($B$1),1),"",RIGHT("0"&amp;MONTH($C119),2)&amp;"/"&amp;YEAR($C119))</f>
        <v/>
      </c>
      <c r="B119" s="12">
        <f>IF($C119&gt;DATE(YEAR($B$1),MONTH($B$1),1),"§",YEAR($C119)&amp;"-"&amp;RIGHT("0"&amp;MONTH($C119),2)&amp;"*")</f>
        <v/>
      </c>
      <c r="C119" s="12">
        <f>EDATE(DATE(YEAR($C$1),MONTH($C$1),1),28)</f>
        <v/>
      </c>
      <c r="D119" s="12">
        <f>IF($B119="§","",IFERROR(AVERAGEIFS(Estação!$S$2:$S$50000,Estação!$A$2:$A$50000,$B119,Estação!$S$2:$S$50000,"&gt;-50"),""))</f>
        <v/>
      </c>
      <c r="E119" s="12">
        <f>IF($B119="§","",IFERROR(AVERAGEIFS(Estação!$T$2:$T$50000,Estação!$A$2:$A$50000,$B119,Estação!$T$2:$T$50000,"&gt;-50"),""))</f>
        <v/>
      </c>
      <c r="F119" s="12">
        <f>IF($B119="§","",IFERROR(AVERAGEIFS(Estação!$F$2:$F$50000,Estação!$A$2:$A$50000,$B119,Estação!$F$2:$F$50000,"&gt;-50"),""))</f>
        <v/>
      </c>
      <c r="G119" s="12">
        <f>IF($B119="§","",IFERROR(AVERAGEIFS(Estação!$G$2:$G$50000,Estação!$A$2:$A$50000,$B119,Estação!$G$2:$G$50000,"&gt;-50"),""))</f>
        <v/>
      </c>
      <c r="H119" s="12">
        <f>IF($B119="§","",IFERROR(AVERAGEIFS(Estação!$Z$2:$Z$50000,Estação!$A$2:$A$50000,$B119,Estação!$Z$2:$Z$50000,"&gt;-50"),""))</f>
        <v/>
      </c>
      <c r="I119" s="12">
        <f>IF($B119="§","",IFERROR(AVERAGEIFS(Estação!$E$2:$E$50000,Estação!$A$2:$A$50000,$B119,Estação!$E$2:$E$50000,"&gt;-50"),""))</f>
        <v/>
      </c>
      <c r="J119" s="12">
        <f>IF($B119="§","",IFERROR(AVERAGEIFS(Estação!$H$2:$H$50000,Estação!$A$2:$A$50000,$B119,Estação!$H$2:$H$50000,"&gt;-50"),""))</f>
        <v/>
      </c>
      <c r="K119" s="12">
        <f>IF($B119="§","",IFERROR(AVERAGEIFS(Estação!$L$2:$L$50000,Estação!$A$2:$A$50000,$B119,Estação!$L$2:$L$50000,"&gt;-50"),""))</f>
        <v/>
      </c>
      <c r="L119" s="12">
        <f>IF($B119="§","",IFERROR(AVERAGEIFS(Estação!$B$2:$B$50000,Estação!$A$2:$A$50000,$B119,Estação!$B$2:$B$50000,"&gt;-50"),""))</f>
        <v/>
      </c>
      <c r="M119" s="12">
        <f>IF($B119="§","",IFERROR(AVERAGEIFS(Estação!$M$2:$M$50000,Estação!$A$2:$A$50000,$B119,Estação!$M$2:$M$50000,"&gt;-50"),""))</f>
        <v/>
      </c>
      <c r="N119" s="12">
        <f>IF($B119="§","",N(N118)+SUMIFS(Estação!$O$2:$O$50000,Estação!$A$2:$A$50000,$B119))</f>
        <v/>
      </c>
      <c r="O119" s="12">
        <f>IF($B119="§","",N(O118)+SUMIFS(Estação!$P$2:$P$50000,Estação!$A$2:$A$50000,$B119))</f>
        <v/>
      </c>
      <c r="P119" s="12">
        <f>IF($B119="§","",N(P118)+SUMIFS(Estação!$Q$2:$Q$50000,Estação!$A$2:$A$50000,$B119))</f>
        <v/>
      </c>
      <c r="Q119" s="12">
        <f>IF($B119="§","",IFERROR(AVERAGEIFS(Estação!$AA$2:$AA$50000,Estação!$A$2:$A$50000,$B119,Estação!$AA$2:$AA$50000,"&gt;-50"),""))</f>
        <v/>
      </c>
      <c r="R119" s="12">
        <f>IF($B119="§","",IFERROR(AVERAGEIFS(Estação!$AB$2:$AB$50000,Estação!$A$2:$A$50000,$B119,Estação!$AB$2:$AB$50000,"&gt;-50"),""))</f>
        <v/>
      </c>
      <c r="S119" s="12">
        <f>IF($B119="§","",IFERROR(AVERAGEIFS(Estação!$Y$2:$Y$50000,Estação!$A$2:$A$50000,$B119,Estação!$Y$2:$Y$50000,"&gt;-50"),""))</f>
        <v/>
      </c>
      <c r="T119" s="12">
        <f>IF($B119="§","",IFERROR(AVERAGEIFS(Estação!$C$2:$C$50000,Estação!$A$2:$A$50000,$B119,Estação!$C$2:$C$50000,"&gt;-50"),""))</f>
        <v/>
      </c>
    </row>
    <row r="120">
      <c r="A120" s="12">
        <f>IF($C120&gt;DATE(YEAR($B$1),MONTH($B$1),1),"",RIGHT("0"&amp;MONTH($C120),2)&amp;"/"&amp;YEAR($C120))</f>
        <v/>
      </c>
      <c r="B120" s="12">
        <f>IF($C120&gt;DATE(YEAR($B$1),MONTH($B$1),1),"§",YEAR($C120)&amp;"-"&amp;RIGHT("0"&amp;MONTH($C120),2)&amp;"*")</f>
        <v/>
      </c>
      <c r="C120" s="12">
        <f>EDATE(DATE(YEAR($C$1),MONTH($C$1),1),29)</f>
        <v/>
      </c>
      <c r="D120" s="12">
        <f>IF($B120="§","",IFERROR(AVERAGEIFS(Estação!$S$2:$S$50000,Estação!$A$2:$A$50000,$B120,Estação!$S$2:$S$50000,"&gt;-50"),""))</f>
        <v/>
      </c>
      <c r="E120" s="12">
        <f>IF($B120="§","",IFERROR(AVERAGEIFS(Estação!$T$2:$T$50000,Estação!$A$2:$A$50000,$B120,Estação!$T$2:$T$50000,"&gt;-50"),""))</f>
        <v/>
      </c>
      <c r="F120" s="12">
        <f>IF($B120="§","",IFERROR(AVERAGEIFS(Estação!$F$2:$F$50000,Estação!$A$2:$A$50000,$B120,Estação!$F$2:$F$50000,"&gt;-50"),""))</f>
        <v/>
      </c>
      <c r="G120" s="12">
        <f>IF($B120="§","",IFERROR(AVERAGEIFS(Estação!$G$2:$G$50000,Estação!$A$2:$A$50000,$B120,Estação!$G$2:$G$50000,"&gt;-50"),""))</f>
        <v/>
      </c>
      <c r="H120" s="12">
        <f>IF($B120="§","",IFERROR(AVERAGEIFS(Estação!$Z$2:$Z$50000,Estação!$A$2:$A$50000,$B120,Estação!$Z$2:$Z$50000,"&gt;-50"),""))</f>
        <v/>
      </c>
      <c r="I120" s="12">
        <f>IF($B120="§","",IFERROR(AVERAGEIFS(Estação!$E$2:$E$50000,Estação!$A$2:$A$50000,$B120,Estação!$E$2:$E$50000,"&gt;-50"),""))</f>
        <v/>
      </c>
      <c r="J120" s="12">
        <f>IF($B120="§","",IFERROR(AVERAGEIFS(Estação!$H$2:$H$50000,Estação!$A$2:$A$50000,$B120,Estação!$H$2:$H$50000,"&gt;-50"),""))</f>
        <v/>
      </c>
      <c r="K120" s="12">
        <f>IF($B120="§","",IFERROR(AVERAGEIFS(Estação!$L$2:$L$50000,Estação!$A$2:$A$50000,$B120,Estação!$L$2:$L$50000,"&gt;-50"),""))</f>
        <v/>
      </c>
      <c r="L120" s="12">
        <f>IF($B120="§","",IFERROR(AVERAGEIFS(Estação!$B$2:$B$50000,Estação!$A$2:$A$50000,$B120,Estação!$B$2:$B$50000,"&gt;-50"),""))</f>
        <v/>
      </c>
      <c r="M120" s="12">
        <f>IF($B120="§","",IFERROR(AVERAGEIFS(Estação!$M$2:$M$50000,Estação!$A$2:$A$50000,$B120,Estação!$M$2:$M$50000,"&gt;-50"),""))</f>
        <v/>
      </c>
      <c r="N120" s="12">
        <f>IF($B120="§","",N(N119)+SUMIFS(Estação!$O$2:$O$50000,Estação!$A$2:$A$50000,$B120))</f>
        <v/>
      </c>
      <c r="O120" s="12">
        <f>IF($B120="§","",N(O119)+SUMIFS(Estação!$P$2:$P$50000,Estação!$A$2:$A$50000,$B120))</f>
        <v/>
      </c>
      <c r="P120" s="12">
        <f>IF($B120="§","",N(P119)+SUMIFS(Estação!$Q$2:$Q$50000,Estação!$A$2:$A$50000,$B120))</f>
        <v/>
      </c>
      <c r="Q120" s="12">
        <f>IF($B120="§","",IFERROR(AVERAGEIFS(Estação!$AA$2:$AA$50000,Estação!$A$2:$A$50000,$B120,Estação!$AA$2:$AA$50000,"&gt;-50"),""))</f>
        <v/>
      </c>
      <c r="R120" s="12">
        <f>IF($B120="§","",IFERROR(AVERAGEIFS(Estação!$AB$2:$AB$50000,Estação!$A$2:$A$50000,$B120,Estação!$AB$2:$AB$50000,"&gt;-50"),""))</f>
        <v/>
      </c>
      <c r="S120" s="12">
        <f>IF($B120="§","",IFERROR(AVERAGEIFS(Estação!$Y$2:$Y$50000,Estação!$A$2:$A$50000,$B120,Estação!$Y$2:$Y$50000,"&gt;-50"),""))</f>
        <v/>
      </c>
      <c r="T120" s="12">
        <f>IF($B120="§","",IFERROR(AVERAGEIFS(Estação!$C$2:$C$50000,Estação!$A$2:$A$50000,$B120,Estação!$C$2:$C$50000,"&gt;-50"),""))</f>
        <v/>
      </c>
    </row>
    <row r="121">
      <c r="A121" s="12">
        <f>IF($C121&gt;DATE(YEAR($B$1),MONTH($B$1),1),"",RIGHT("0"&amp;MONTH($C121),2)&amp;"/"&amp;YEAR($C121))</f>
        <v/>
      </c>
      <c r="B121" s="12">
        <f>IF($C121&gt;DATE(YEAR($B$1),MONTH($B$1),1),"§",YEAR($C121)&amp;"-"&amp;RIGHT("0"&amp;MONTH($C121),2)&amp;"*")</f>
        <v/>
      </c>
      <c r="C121" s="12">
        <f>EDATE(DATE(YEAR($C$1),MONTH($C$1),1),30)</f>
        <v/>
      </c>
      <c r="D121" s="12">
        <f>IF($B121="§","",IFERROR(AVERAGEIFS(Estação!$S$2:$S$50000,Estação!$A$2:$A$50000,$B121,Estação!$S$2:$S$50000,"&gt;-50"),""))</f>
        <v/>
      </c>
      <c r="E121" s="12">
        <f>IF($B121="§","",IFERROR(AVERAGEIFS(Estação!$T$2:$T$50000,Estação!$A$2:$A$50000,$B121,Estação!$T$2:$T$50000,"&gt;-50"),""))</f>
        <v/>
      </c>
      <c r="F121" s="12">
        <f>IF($B121="§","",IFERROR(AVERAGEIFS(Estação!$F$2:$F$50000,Estação!$A$2:$A$50000,$B121,Estação!$F$2:$F$50000,"&gt;-50"),""))</f>
        <v/>
      </c>
      <c r="G121" s="12">
        <f>IF($B121="§","",IFERROR(AVERAGEIFS(Estação!$G$2:$G$50000,Estação!$A$2:$A$50000,$B121,Estação!$G$2:$G$50000,"&gt;-50"),""))</f>
        <v/>
      </c>
      <c r="H121" s="12">
        <f>IF($B121="§","",IFERROR(AVERAGEIFS(Estação!$Z$2:$Z$50000,Estação!$A$2:$A$50000,$B121,Estação!$Z$2:$Z$50000,"&gt;-50"),""))</f>
        <v/>
      </c>
      <c r="I121" s="12">
        <f>IF($B121="§","",IFERROR(AVERAGEIFS(Estação!$E$2:$E$50000,Estação!$A$2:$A$50000,$B121,Estação!$E$2:$E$50000,"&gt;-50"),""))</f>
        <v/>
      </c>
      <c r="J121" s="12">
        <f>IF($B121="§","",IFERROR(AVERAGEIFS(Estação!$H$2:$H$50000,Estação!$A$2:$A$50000,$B121,Estação!$H$2:$H$50000,"&gt;-50"),""))</f>
        <v/>
      </c>
      <c r="K121" s="12">
        <f>IF($B121="§","",IFERROR(AVERAGEIFS(Estação!$L$2:$L$50000,Estação!$A$2:$A$50000,$B121,Estação!$L$2:$L$50000,"&gt;-50"),""))</f>
        <v/>
      </c>
      <c r="L121" s="12">
        <f>IF($B121="§","",IFERROR(AVERAGEIFS(Estação!$B$2:$B$50000,Estação!$A$2:$A$50000,$B121,Estação!$B$2:$B$50000,"&gt;-50"),""))</f>
        <v/>
      </c>
      <c r="M121" s="12">
        <f>IF($B121="§","",IFERROR(AVERAGEIFS(Estação!$M$2:$M$50000,Estação!$A$2:$A$50000,$B121,Estação!$M$2:$M$50000,"&gt;-50"),""))</f>
        <v/>
      </c>
      <c r="N121" s="12">
        <f>IF($B121="§","",N(N120)+SUMIFS(Estação!$O$2:$O$50000,Estação!$A$2:$A$50000,$B121))</f>
        <v/>
      </c>
      <c r="O121" s="12">
        <f>IF($B121="§","",N(O120)+SUMIFS(Estação!$P$2:$P$50000,Estação!$A$2:$A$50000,$B121))</f>
        <v/>
      </c>
      <c r="P121" s="12">
        <f>IF($B121="§","",N(P120)+SUMIFS(Estação!$Q$2:$Q$50000,Estação!$A$2:$A$50000,$B121))</f>
        <v/>
      </c>
      <c r="Q121" s="12">
        <f>IF($B121="§","",IFERROR(AVERAGEIFS(Estação!$AA$2:$AA$50000,Estação!$A$2:$A$50000,$B121,Estação!$AA$2:$AA$50000,"&gt;-50"),""))</f>
        <v/>
      </c>
      <c r="R121" s="12">
        <f>IF($B121="§","",IFERROR(AVERAGEIFS(Estação!$AB$2:$AB$50000,Estação!$A$2:$A$50000,$B121,Estação!$AB$2:$AB$50000,"&gt;-50"),""))</f>
        <v/>
      </c>
      <c r="S121" s="12">
        <f>IF($B121="§","",IFERROR(AVERAGEIFS(Estação!$Y$2:$Y$50000,Estação!$A$2:$A$50000,$B121,Estação!$Y$2:$Y$50000,"&gt;-50"),""))</f>
        <v/>
      </c>
      <c r="T121" s="12">
        <f>IF($B121="§","",IFERROR(AVERAGEIFS(Estação!$C$2:$C$50000,Estação!$A$2:$A$50000,$B121,Estação!$C$2:$C$50000,"&gt;-50"),""))</f>
        <v/>
      </c>
    </row>
    <row r="122">
      <c r="A122" s="12">
        <f>IF($C122&gt;DATE(YEAR($B$1),MONTH($B$1),1),"",RIGHT("0"&amp;MONTH($C122),2)&amp;"/"&amp;YEAR($C122))</f>
        <v/>
      </c>
      <c r="B122" s="12">
        <f>IF($C122&gt;DATE(YEAR($B$1),MONTH($B$1),1),"§",YEAR($C122)&amp;"-"&amp;RIGHT("0"&amp;MONTH($C122),2)&amp;"*")</f>
        <v/>
      </c>
      <c r="C122" s="12">
        <f>EDATE(DATE(YEAR($C$1),MONTH($C$1),1),31)</f>
        <v/>
      </c>
      <c r="D122" s="12">
        <f>IF($B122="§","",IFERROR(AVERAGEIFS(Estação!$S$2:$S$50000,Estação!$A$2:$A$50000,$B122,Estação!$S$2:$S$50000,"&gt;-50"),""))</f>
        <v/>
      </c>
      <c r="E122" s="12">
        <f>IF($B122="§","",IFERROR(AVERAGEIFS(Estação!$T$2:$T$50000,Estação!$A$2:$A$50000,$B122,Estação!$T$2:$T$50000,"&gt;-50"),""))</f>
        <v/>
      </c>
      <c r="F122" s="12">
        <f>IF($B122="§","",IFERROR(AVERAGEIFS(Estação!$F$2:$F$50000,Estação!$A$2:$A$50000,$B122,Estação!$F$2:$F$50000,"&gt;-50"),""))</f>
        <v/>
      </c>
      <c r="G122" s="12">
        <f>IF($B122="§","",IFERROR(AVERAGEIFS(Estação!$G$2:$G$50000,Estação!$A$2:$A$50000,$B122,Estação!$G$2:$G$50000,"&gt;-50"),""))</f>
        <v/>
      </c>
      <c r="H122" s="12">
        <f>IF($B122="§","",IFERROR(AVERAGEIFS(Estação!$Z$2:$Z$50000,Estação!$A$2:$A$50000,$B122,Estação!$Z$2:$Z$50000,"&gt;-50"),""))</f>
        <v/>
      </c>
      <c r="I122" s="12">
        <f>IF($B122="§","",IFERROR(AVERAGEIFS(Estação!$E$2:$E$50000,Estação!$A$2:$A$50000,$B122,Estação!$E$2:$E$50000,"&gt;-50"),""))</f>
        <v/>
      </c>
      <c r="J122" s="12">
        <f>IF($B122="§","",IFERROR(AVERAGEIFS(Estação!$H$2:$H$50000,Estação!$A$2:$A$50000,$B122,Estação!$H$2:$H$50000,"&gt;-50"),""))</f>
        <v/>
      </c>
      <c r="K122" s="12">
        <f>IF($B122="§","",IFERROR(AVERAGEIFS(Estação!$L$2:$L$50000,Estação!$A$2:$A$50000,$B122,Estação!$L$2:$L$50000,"&gt;-50"),""))</f>
        <v/>
      </c>
      <c r="L122" s="12">
        <f>IF($B122="§","",IFERROR(AVERAGEIFS(Estação!$B$2:$B$50000,Estação!$A$2:$A$50000,$B122,Estação!$B$2:$B$50000,"&gt;-50"),""))</f>
        <v/>
      </c>
      <c r="M122" s="12">
        <f>IF($B122="§","",IFERROR(AVERAGEIFS(Estação!$M$2:$M$50000,Estação!$A$2:$A$50000,$B122,Estação!$M$2:$M$50000,"&gt;-50"),""))</f>
        <v/>
      </c>
      <c r="N122" s="12">
        <f>IF($B122="§","",N(N121)+SUMIFS(Estação!$O$2:$O$50000,Estação!$A$2:$A$50000,$B122))</f>
        <v/>
      </c>
      <c r="O122" s="12">
        <f>IF($B122="§","",N(O121)+SUMIFS(Estação!$P$2:$P$50000,Estação!$A$2:$A$50000,$B122))</f>
        <v/>
      </c>
      <c r="P122" s="12">
        <f>IF($B122="§","",N(P121)+SUMIFS(Estação!$Q$2:$Q$50000,Estação!$A$2:$A$50000,$B122))</f>
        <v/>
      </c>
      <c r="Q122" s="12">
        <f>IF($B122="§","",IFERROR(AVERAGEIFS(Estação!$AA$2:$AA$50000,Estação!$A$2:$A$50000,$B122,Estação!$AA$2:$AA$50000,"&gt;-50"),""))</f>
        <v/>
      </c>
      <c r="R122" s="12">
        <f>IF($B122="§","",IFERROR(AVERAGEIFS(Estação!$AB$2:$AB$50000,Estação!$A$2:$A$50000,$B122,Estação!$AB$2:$AB$50000,"&gt;-50"),""))</f>
        <v/>
      </c>
      <c r="S122" s="12">
        <f>IF($B122="§","",IFERROR(AVERAGEIFS(Estação!$Y$2:$Y$50000,Estação!$A$2:$A$50000,$B122,Estação!$Y$2:$Y$50000,"&gt;-50"),""))</f>
        <v/>
      </c>
      <c r="T122" s="12">
        <f>IF($B122="§","",IFERROR(AVERAGEIFS(Estação!$C$2:$C$50000,Estação!$A$2:$A$50000,$B122,Estação!$C$2:$C$50000,"&gt;-50"),""))</f>
        <v/>
      </c>
    </row>
    <row r="123">
      <c r="A123" s="12">
        <f>IF($C123&gt;DATE(YEAR($B$1),MONTH($B$1),1),"",RIGHT("0"&amp;MONTH($C123),2)&amp;"/"&amp;YEAR($C123))</f>
        <v/>
      </c>
      <c r="B123" s="12">
        <f>IF($C123&gt;DATE(YEAR($B$1),MONTH($B$1),1),"§",YEAR($C123)&amp;"-"&amp;RIGHT("0"&amp;MONTH($C123),2)&amp;"*")</f>
        <v/>
      </c>
      <c r="C123" s="12">
        <f>EDATE(DATE(YEAR($C$1),MONTH($C$1),1),32)</f>
        <v/>
      </c>
      <c r="D123" s="12">
        <f>IF($B123="§","",IFERROR(AVERAGEIFS(Estação!$S$2:$S$50000,Estação!$A$2:$A$50000,$B123,Estação!$S$2:$S$50000,"&gt;-50"),""))</f>
        <v/>
      </c>
      <c r="E123" s="12">
        <f>IF($B123="§","",IFERROR(AVERAGEIFS(Estação!$T$2:$T$50000,Estação!$A$2:$A$50000,$B123,Estação!$T$2:$T$50000,"&gt;-50"),""))</f>
        <v/>
      </c>
      <c r="F123" s="12">
        <f>IF($B123="§","",IFERROR(AVERAGEIFS(Estação!$F$2:$F$50000,Estação!$A$2:$A$50000,$B123,Estação!$F$2:$F$50000,"&gt;-50"),""))</f>
        <v/>
      </c>
      <c r="G123" s="12">
        <f>IF($B123="§","",IFERROR(AVERAGEIFS(Estação!$G$2:$G$50000,Estação!$A$2:$A$50000,$B123,Estação!$G$2:$G$50000,"&gt;-50"),""))</f>
        <v/>
      </c>
      <c r="H123" s="12">
        <f>IF($B123="§","",IFERROR(AVERAGEIFS(Estação!$Z$2:$Z$50000,Estação!$A$2:$A$50000,$B123,Estação!$Z$2:$Z$50000,"&gt;-50"),""))</f>
        <v/>
      </c>
      <c r="I123" s="12">
        <f>IF($B123="§","",IFERROR(AVERAGEIFS(Estação!$E$2:$E$50000,Estação!$A$2:$A$50000,$B123,Estação!$E$2:$E$50000,"&gt;-50"),""))</f>
        <v/>
      </c>
      <c r="J123" s="12">
        <f>IF($B123="§","",IFERROR(AVERAGEIFS(Estação!$H$2:$H$50000,Estação!$A$2:$A$50000,$B123,Estação!$H$2:$H$50000,"&gt;-50"),""))</f>
        <v/>
      </c>
      <c r="K123" s="12">
        <f>IF($B123="§","",IFERROR(AVERAGEIFS(Estação!$L$2:$L$50000,Estação!$A$2:$A$50000,$B123,Estação!$L$2:$L$50000,"&gt;-50"),""))</f>
        <v/>
      </c>
      <c r="L123" s="12">
        <f>IF($B123="§","",IFERROR(AVERAGEIFS(Estação!$B$2:$B$50000,Estação!$A$2:$A$50000,$B123,Estação!$B$2:$B$50000,"&gt;-50"),""))</f>
        <v/>
      </c>
      <c r="M123" s="12">
        <f>IF($B123="§","",IFERROR(AVERAGEIFS(Estação!$M$2:$M$50000,Estação!$A$2:$A$50000,$B123,Estação!$M$2:$M$50000,"&gt;-50"),""))</f>
        <v/>
      </c>
      <c r="N123" s="12">
        <f>IF($B123="§","",N(N122)+SUMIFS(Estação!$O$2:$O$50000,Estação!$A$2:$A$50000,$B123))</f>
        <v/>
      </c>
      <c r="O123" s="12">
        <f>IF($B123="§","",N(O122)+SUMIFS(Estação!$P$2:$P$50000,Estação!$A$2:$A$50000,$B123))</f>
        <v/>
      </c>
      <c r="P123" s="12">
        <f>IF($B123="§","",N(P122)+SUMIFS(Estação!$Q$2:$Q$50000,Estação!$A$2:$A$50000,$B123))</f>
        <v/>
      </c>
      <c r="Q123" s="12">
        <f>IF($B123="§","",IFERROR(AVERAGEIFS(Estação!$AA$2:$AA$50000,Estação!$A$2:$A$50000,$B123,Estação!$AA$2:$AA$50000,"&gt;-50"),""))</f>
        <v/>
      </c>
      <c r="R123" s="12">
        <f>IF($B123="§","",IFERROR(AVERAGEIFS(Estação!$AB$2:$AB$50000,Estação!$A$2:$A$50000,$B123,Estação!$AB$2:$AB$50000,"&gt;-50"),""))</f>
        <v/>
      </c>
      <c r="S123" s="12">
        <f>IF($B123="§","",IFERROR(AVERAGEIFS(Estação!$Y$2:$Y$50000,Estação!$A$2:$A$50000,$B123,Estação!$Y$2:$Y$50000,"&gt;-50"),""))</f>
        <v/>
      </c>
      <c r="T123" s="12">
        <f>IF($B123="§","",IFERROR(AVERAGEIFS(Estação!$C$2:$C$50000,Estação!$A$2:$A$50000,$B123,Estação!$C$2:$C$50000,"&gt;-50"),""))</f>
        <v/>
      </c>
    </row>
    <row r="124">
      <c r="A124" s="12">
        <f>IF($C124&gt;DATE(YEAR($B$1),MONTH($B$1),1),"",RIGHT("0"&amp;MONTH($C124),2)&amp;"/"&amp;YEAR($C124))</f>
        <v/>
      </c>
      <c r="B124" s="12">
        <f>IF($C124&gt;DATE(YEAR($B$1),MONTH($B$1),1),"§",YEAR($C124)&amp;"-"&amp;RIGHT("0"&amp;MONTH($C124),2)&amp;"*")</f>
        <v/>
      </c>
      <c r="C124" s="12">
        <f>EDATE(DATE(YEAR($C$1),MONTH($C$1),1),33)</f>
        <v/>
      </c>
      <c r="D124" s="12">
        <f>IF($B124="§","",IFERROR(AVERAGEIFS(Estação!$S$2:$S$50000,Estação!$A$2:$A$50000,$B124,Estação!$S$2:$S$50000,"&gt;-50"),""))</f>
        <v/>
      </c>
      <c r="E124" s="12">
        <f>IF($B124="§","",IFERROR(AVERAGEIFS(Estação!$T$2:$T$50000,Estação!$A$2:$A$50000,$B124,Estação!$T$2:$T$50000,"&gt;-50"),""))</f>
        <v/>
      </c>
      <c r="F124" s="12">
        <f>IF($B124="§","",IFERROR(AVERAGEIFS(Estação!$F$2:$F$50000,Estação!$A$2:$A$50000,$B124,Estação!$F$2:$F$50000,"&gt;-50"),""))</f>
        <v/>
      </c>
      <c r="G124" s="12">
        <f>IF($B124="§","",IFERROR(AVERAGEIFS(Estação!$G$2:$G$50000,Estação!$A$2:$A$50000,$B124,Estação!$G$2:$G$50000,"&gt;-50"),""))</f>
        <v/>
      </c>
      <c r="H124" s="12">
        <f>IF($B124="§","",IFERROR(AVERAGEIFS(Estação!$Z$2:$Z$50000,Estação!$A$2:$A$50000,$B124,Estação!$Z$2:$Z$50000,"&gt;-50"),""))</f>
        <v/>
      </c>
      <c r="I124" s="12">
        <f>IF($B124="§","",IFERROR(AVERAGEIFS(Estação!$E$2:$E$50000,Estação!$A$2:$A$50000,$B124,Estação!$E$2:$E$50000,"&gt;-50"),""))</f>
        <v/>
      </c>
      <c r="J124" s="12">
        <f>IF($B124="§","",IFERROR(AVERAGEIFS(Estação!$H$2:$H$50000,Estação!$A$2:$A$50000,$B124,Estação!$H$2:$H$50000,"&gt;-50"),""))</f>
        <v/>
      </c>
      <c r="K124" s="12">
        <f>IF($B124="§","",IFERROR(AVERAGEIFS(Estação!$L$2:$L$50000,Estação!$A$2:$A$50000,$B124,Estação!$L$2:$L$50000,"&gt;-50"),""))</f>
        <v/>
      </c>
      <c r="L124" s="12">
        <f>IF($B124="§","",IFERROR(AVERAGEIFS(Estação!$B$2:$B$50000,Estação!$A$2:$A$50000,$B124,Estação!$B$2:$B$50000,"&gt;-50"),""))</f>
        <v/>
      </c>
      <c r="M124" s="12">
        <f>IF($B124="§","",IFERROR(AVERAGEIFS(Estação!$M$2:$M$50000,Estação!$A$2:$A$50000,$B124,Estação!$M$2:$M$50000,"&gt;-50"),""))</f>
        <v/>
      </c>
      <c r="N124" s="12">
        <f>IF($B124="§","",N(N123)+SUMIFS(Estação!$O$2:$O$50000,Estação!$A$2:$A$50000,$B124))</f>
        <v/>
      </c>
      <c r="O124" s="12">
        <f>IF($B124="§","",N(O123)+SUMIFS(Estação!$P$2:$P$50000,Estação!$A$2:$A$50000,$B124))</f>
        <v/>
      </c>
      <c r="P124" s="12">
        <f>IF($B124="§","",N(P123)+SUMIFS(Estação!$Q$2:$Q$50000,Estação!$A$2:$A$50000,$B124))</f>
        <v/>
      </c>
      <c r="Q124" s="12">
        <f>IF($B124="§","",IFERROR(AVERAGEIFS(Estação!$AA$2:$AA$50000,Estação!$A$2:$A$50000,$B124,Estação!$AA$2:$AA$50000,"&gt;-50"),""))</f>
        <v/>
      </c>
      <c r="R124" s="12">
        <f>IF($B124="§","",IFERROR(AVERAGEIFS(Estação!$AB$2:$AB$50000,Estação!$A$2:$A$50000,$B124,Estação!$AB$2:$AB$50000,"&gt;-50"),""))</f>
        <v/>
      </c>
      <c r="S124" s="12">
        <f>IF($B124="§","",IFERROR(AVERAGEIFS(Estação!$Y$2:$Y$50000,Estação!$A$2:$A$50000,$B124,Estação!$Y$2:$Y$50000,"&gt;-50"),""))</f>
        <v/>
      </c>
      <c r="T124" s="12">
        <f>IF($B124="§","",IFERROR(AVERAGEIFS(Estação!$C$2:$C$50000,Estação!$A$2:$A$50000,$B124,Estação!$C$2:$C$50000,"&gt;-50"),""))</f>
        <v/>
      </c>
    </row>
    <row r="125">
      <c r="A125" s="12">
        <f>IF($C125&gt;DATE(YEAR($B$1),MONTH($B$1),1),"",RIGHT("0"&amp;MONTH($C125),2)&amp;"/"&amp;YEAR($C125))</f>
        <v/>
      </c>
      <c r="B125" s="12">
        <f>IF($C125&gt;DATE(YEAR($B$1),MONTH($B$1),1),"§",YEAR($C125)&amp;"-"&amp;RIGHT("0"&amp;MONTH($C125),2)&amp;"*")</f>
        <v/>
      </c>
      <c r="C125" s="12">
        <f>EDATE(DATE(YEAR($C$1),MONTH($C$1),1),34)</f>
        <v/>
      </c>
      <c r="D125" s="12">
        <f>IF($B125="§","",IFERROR(AVERAGEIFS(Estação!$S$2:$S$50000,Estação!$A$2:$A$50000,$B125,Estação!$S$2:$S$50000,"&gt;-50"),""))</f>
        <v/>
      </c>
      <c r="E125" s="12">
        <f>IF($B125="§","",IFERROR(AVERAGEIFS(Estação!$T$2:$T$50000,Estação!$A$2:$A$50000,$B125,Estação!$T$2:$T$50000,"&gt;-50"),""))</f>
        <v/>
      </c>
      <c r="F125" s="12">
        <f>IF($B125="§","",IFERROR(AVERAGEIFS(Estação!$F$2:$F$50000,Estação!$A$2:$A$50000,$B125,Estação!$F$2:$F$50000,"&gt;-50"),""))</f>
        <v/>
      </c>
      <c r="G125" s="12">
        <f>IF($B125="§","",IFERROR(AVERAGEIFS(Estação!$G$2:$G$50000,Estação!$A$2:$A$50000,$B125,Estação!$G$2:$G$50000,"&gt;-50"),""))</f>
        <v/>
      </c>
      <c r="H125" s="12">
        <f>IF($B125="§","",IFERROR(AVERAGEIFS(Estação!$Z$2:$Z$50000,Estação!$A$2:$A$50000,$B125,Estação!$Z$2:$Z$50000,"&gt;-50"),""))</f>
        <v/>
      </c>
      <c r="I125" s="12">
        <f>IF($B125="§","",IFERROR(AVERAGEIFS(Estação!$E$2:$E$50000,Estação!$A$2:$A$50000,$B125,Estação!$E$2:$E$50000,"&gt;-50"),""))</f>
        <v/>
      </c>
      <c r="J125" s="12">
        <f>IF($B125="§","",IFERROR(AVERAGEIFS(Estação!$H$2:$H$50000,Estação!$A$2:$A$50000,$B125,Estação!$H$2:$H$50000,"&gt;-50"),""))</f>
        <v/>
      </c>
      <c r="K125" s="12">
        <f>IF($B125="§","",IFERROR(AVERAGEIFS(Estação!$L$2:$L$50000,Estação!$A$2:$A$50000,$B125,Estação!$L$2:$L$50000,"&gt;-50"),""))</f>
        <v/>
      </c>
      <c r="L125" s="12">
        <f>IF($B125="§","",IFERROR(AVERAGEIFS(Estação!$B$2:$B$50000,Estação!$A$2:$A$50000,$B125,Estação!$B$2:$B$50000,"&gt;-50"),""))</f>
        <v/>
      </c>
      <c r="M125" s="12">
        <f>IF($B125="§","",IFERROR(AVERAGEIFS(Estação!$M$2:$M$50000,Estação!$A$2:$A$50000,$B125,Estação!$M$2:$M$50000,"&gt;-50"),""))</f>
        <v/>
      </c>
      <c r="N125" s="12">
        <f>IF($B125="§","",N(N124)+SUMIFS(Estação!$O$2:$O$50000,Estação!$A$2:$A$50000,$B125))</f>
        <v/>
      </c>
      <c r="O125" s="12">
        <f>IF($B125="§","",N(O124)+SUMIFS(Estação!$P$2:$P$50000,Estação!$A$2:$A$50000,$B125))</f>
        <v/>
      </c>
      <c r="P125" s="12">
        <f>IF($B125="§","",N(P124)+SUMIFS(Estação!$Q$2:$Q$50000,Estação!$A$2:$A$50000,$B125))</f>
        <v/>
      </c>
      <c r="Q125" s="12">
        <f>IF($B125="§","",IFERROR(AVERAGEIFS(Estação!$AA$2:$AA$50000,Estação!$A$2:$A$50000,$B125,Estação!$AA$2:$AA$50000,"&gt;-50"),""))</f>
        <v/>
      </c>
      <c r="R125" s="12">
        <f>IF($B125="§","",IFERROR(AVERAGEIFS(Estação!$AB$2:$AB$50000,Estação!$A$2:$A$50000,$B125,Estação!$AB$2:$AB$50000,"&gt;-50"),""))</f>
        <v/>
      </c>
      <c r="S125" s="12">
        <f>IF($B125="§","",IFERROR(AVERAGEIFS(Estação!$Y$2:$Y$50000,Estação!$A$2:$A$50000,$B125,Estação!$Y$2:$Y$50000,"&gt;-50"),""))</f>
        <v/>
      </c>
      <c r="T125" s="12">
        <f>IF($B125="§","",IFERROR(AVERAGEIFS(Estação!$C$2:$C$50000,Estação!$A$2:$A$50000,$B125,Estação!$C$2:$C$50000,"&gt;-50"),""))</f>
        <v/>
      </c>
    </row>
    <row r="126">
      <c r="A126" s="12">
        <f>IF($C126&gt;DATE(YEAR($B$1),MONTH($B$1),1),"",RIGHT("0"&amp;MONTH($C126),2)&amp;"/"&amp;YEAR($C126))</f>
        <v/>
      </c>
      <c r="B126" s="12">
        <f>IF($C126&gt;DATE(YEAR($B$1),MONTH($B$1),1),"§",YEAR($C126)&amp;"-"&amp;RIGHT("0"&amp;MONTH($C126),2)&amp;"*")</f>
        <v/>
      </c>
      <c r="C126" s="12">
        <f>EDATE(DATE(YEAR($C$1),MONTH($C$1),1),35)</f>
        <v/>
      </c>
      <c r="D126" s="12">
        <f>IF($B126="§","",IFERROR(AVERAGEIFS(Estação!$S$2:$S$50000,Estação!$A$2:$A$50000,$B126,Estação!$S$2:$S$50000,"&gt;-50"),""))</f>
        <v/>
      </c>
      <c r="E126" s="12">
        <f>IF($B126="§","",IFERROR(AVERAGEIFS(Estação!$T$2:$T$50000,Estação!$A$2:$A$50000,$B126,Estação!$T$2:$T$50000,"&gt;-50"),""))</f>
        <v/>
      </c>
      <c r="F126" s="12">
        <f>IF($B126="§","",IFERROR(AVERAGEIFS(Estação!$F$2:$F$50000,Estação!$A$2:$A$50000,$B126,Estação!$F$2:$F$50000,"&gt;-50"),""))</f>
        <v/>
      </c>
      <c r="G126" s="12">
        <f>IF($B126="§","",IFERROR(AVERAGEIFS(Estação!$G$2:$G$50000,Estação!$A$2:$A$50000,$B126,Estação!$G$2:$G$50000,"&gt;-50"),""))</f>
        <v/>
      </c>
      <c r="H126" s="12">
        <f>IF($B126="§","",IFERROR(AVERAGEIFS(Estação!$Z$2:$Z$50000,Estação!$A$2:$A$50000,$B126,Estação!$Z$2:$Z$50000,"&gt;-50"),""))</f>
        <v/>
      </c>
      <c r="I126" s="12">
        <f>IF($B126="§","",IFERROR(AVERAGEIFS(Estação!$E$2:$E$50000,Estação!$A$2:$A$50000,$B126,Estação!$E$2:$E$50000,"&gt;-50"),""))</f>
        <v/>
      </c>
      <c r="J126" s="12">
        <f>IF($B126="§","",IFERROR(AVERAGEIFS(Estação!$H$2:$H$50000,Estação!$A$2:$A$50000,$B126,Estação!$H$2:$H$50000,"&gt;-50"),""))</f>
        <v/>
      </c>
      <c r="K126" s="12">
        <f>IF($B126="§","",IFERROR(AVERAGEIFS(Estação!$L$2:$L$50000,Estação!$A$2:$A$50000,$B126,Estação!$L$2:$L$50000,"&gt;-50"),""))</f>
        <v/>
      </c>
      <c r="L126" s="12">
        <f>IF($B126="§","",IFERROR(AVERAGEIFS(Estação!$B$2:$B$50000,Estação!$A$2:$A$50000,$B126,Estação!$B$2:$B$50000,"&gt;-50"),""))</f>
        <v/>
      </c>
      <c r="M126" s="12">
        <f>IF($B126="§","",IFERROR(AVERAGEIFS(Estação!$M$2:$M$50000,Estação!$A$2:$A$50000,$B126,Estação!$M$2:$M$50000,"&gt;-50"),""))</f>
        <v/>
      </c>
      <c r="N126" s="12">
        <f>IF($B126="§","",N(N125)+SUMIFS(Estação!$O$2:$O$50000,Estação!$A$2:$A$50000,$B126))</f>
        <v/>
      </c>
      <c r="O126" s="12">
        <f>IF($B126="§","",N(O125)+SUMIFS(Estação!$P$2:$P$50000,Estação!$A$2:$A$50000,$B126))</f>
        <v/>
      </c>
      <c r="P126" s="12">
        <f>IF($B126="§","",N(P125)+SUMIFS(Estação!$Q$2:$Q$50000,Estação!$A$2:$A$50000,$B126))</f>
        <v/>
      </c>
      <c r="Q126" s="12">
        <f>IF($B126="§","",IFERROR(AVERAGEIFS(Estação!$AA$2:$AA$50000,Estação!$A$2:$A$50000,$B126,Estação!$AA$2:$AA$50000,"&gt;-50"),""))</f>
        <v/>
      </c>
      <c r="R126" s="12">
        <f>IF($B126="§","",IFERROR(AVERAGEIFS(Estação!$AB$2:$AB$50000,Estação!$A$2:$A$50000,$B126,Estação!$AB$2:$AB$50000,"&gt;-50"),""))</f>
        <v/>
      </c>
      <c r="S126" s="12">
        <f>IF($B126="§","",IFERROR(AVERAGEIFS(Estação!$Y$2:$Y$50000,Estação!$A$2:$A$50000,$B126,Estação!$Y$2:$Y$50000,"&gt;-50"),""))</f>
        <v/>
      </c>
      <c r="T126" s="12">
        <f>IF($B126="§","",IFERROR(AVERAGEIFS(Estação!$C$2:$C$50000,Estação!$A$2:$A$50000,$B126,Estação!$C$2:$C$50000,"&gt;-50"),""))</f>
        <v/>
      </c>
    </row>
  </sheetData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2026-07-11T21:29:08Z</dcterms:created>
  <dcterms:modified xsi:type="dcterms:W3CDTF">2026-07-15T16:00:52Z</dcterms:modified>
  <cp:lastModifiedBy>Anibal Rosa Vargas</cp:lastModifiedBy>
  <cp:revision>1</cp:revision>
</cp:coreProperties>
</file>