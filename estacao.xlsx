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3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drawings/drawing4.xml" ContentType="application/vnd.openxmlformats-officedocument.drawing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5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C:\Temp\2026\Python\"/>
    </mc:Choice>
  </mc:AlternateContent>
  <xr:revisionPtr revIDLastSave="0" documentId="13_ncr:1_{37E16B95-D009-4E05-8E8D-26405A5D8626}" xr6:coauthVersionLast="41" xr6:coauthVersionMax="41" xr10:uidLastSave="{00000000-0000-0000-0000-000000000000}"/>
  <bookViews>
    <workbookView xWindow="-120" yWindow="-120" windowWidth="20730" windowHeight="11160" tabRatio="500" xr2:uid="{00000000-000D-0000-FFFF-FFFF00000000}"/>
  </bookViews>
  <sheets>
    <sheet name="Estação" sheetId="1" r:id="rId1"/>
    <sheet name="Valores Diários" sheetId="2" r:id="rId2"/>
    <sheet name="Valores Semanais" sheetId="3" r:id="rId3"/>
    <sheet name="Valores Mensais" sheetId="4" r:id="rId4"/>
    <sheet name="Valores Anuais" sheetId="5" r:id="rId5"/>
    <sheet name="Valores Totais" sheetId="6" r:id="rId6"/>
    <sheet name="Cálculos" sheetId="7" state="hidden" r:id="rId7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" i="7" l="1"/>
  <c r="C93" i="7" s="1"/>
  <c r="A1" i="7"/>
  <c r="B1" i="7" s="1"/>
  <c r="Q7" i="6"/>
  <c r="N7" i="6"/>
  <c r="K7" i="6"/>
  <c r="H7" i="6"/>
  <c r="E7" i="6"/>
  <c r="B7" i="6"/>
  <c r="B3" i="6"/>
  <c r="Q7" i="5"/>
  <c r="N7" i="5"/>
  <c r="K7" i="5"/>
  <c r="H7" i="5"/>
  <c r="E7" i="5"/>
  <c r="B7" i="5"/>
  <c r="Q7" i="4"/>
  <c r="N7" i="4"/>
  <c r="K7" i="4"/>
  <c r="H7" i="4"/>
  <c r="E7" i="4"/>
  <c r="B7" i="4"/>
  <c r="Q7" i="3"/>
  <c r="N7" i="3"/>
  <c r="K7" i="3"/>
  <c r="H7" i="3"/>
  <c r="E7" i="3"/>
  <c r="B7" i="3"/>
  <c r="Q7" i="2"/>
  <c r="N7" i="2"/>
  <c r="K7" i="2"/>
  <c r="H7" i="2"/>
  <c r="E7" i="2"/>
  <c r="B7" i="2"/>
  <c r="B93" i="7" l="1"/>
  <c r="A93" i="7"/>
  <c r="B87" i="7"/>
  <c r="B84" i="7"/>
  <c r="B79" i="7"/>
  <c r="B76" i="7"/>
  <c r="B85" i="7"/>
  <c r="B83" i="7"/>
  <c r="B81" i="7"/>
  <c r="C72" i="7"/>
  <c r="B86" i="7"/>
  <c r="C71" i="7"/>
  <c r="B82" i="7"/>
  <c r="B78" i="7"/>
  <c r="C68" i="7"/>
  <c r="B77" i="7"/>
  <c r="C69" i="7"/>
  <c r="C65" i="7"/>
  <c r="B80" i="7"/>
  <c r="C70" i="7"/>
  <c r="C66" i="7"/>
  <c r="C64" i="7"/>
  <c r="C63" i="7"/>
  <c r="C62" i="7"/>
  <c r="C61" i="7"/>
  <c r="C60" i="7"/>
  <c r="C59" i="7"/>
  <c r="C58" i="7"/>
  <c r="C57" i="7"/>
  <c r="C56" i="7"/>
  <c r="C55" i="7"/>
  <c r="C53" i="7"/>
  <c r="C51" i="7"/>
  <c r="C49" i="7"/>
  <c r="C47" i="7"/>
  <c r="C45" i="7"/>
  <c r="C43" i="7"/>
  <c r="B27" i="7"/>
  <c r="B25" i="7"/>
  <c r="B23" i="7"/>
  <c r="B21" i="7"/>
  <c r="B19" i="7"/>
  <c r="B17" i="7"/>
  <c r="C67" i="7"/>
  <c r="C52" i="7"/>
  <c r="C48" i="7"/>
  <c r="C44" i="7"/>
  <c r="C37" i="7"/>
  <c r="C35" i="7"/>
  <c r="C33" i="7"/>
  <c r="B28" i="7"/>
  <c r="B24" i="7"/>
  <c r="B20" i="7"/>
  <c r="B16" i="7"/>
  <c r="B3" i="5"/>
  <c r="B3" i="2"/>
  <c r="B3" i="3"/>
  <c r="B3" i="4"/>
  <c r="B13" i="7"/>
  <c r="B10" i="7"/>
  <c r="B8" i="7"/>
  <c r="B6" i="7"/>
  <c r="C54" i="7"/>
  <c r="C50" i="7"/>
  <c r="C46" i="7"/>
  <c r="C42" i="7"/>
  <c r="C38" i="7"/>
  <c r="C36" i="7"/>
  <c r="C34" i="7"/>
  <c r="C32" i="7"/>
  <c r="B26" i="7"/>
  <c r="B22" i="7"/>
  <c r="B18" i="7"/>
  <c r="B15" i="7"/>
  <c r="B12" i="7"/>
  <c r="B14" i="7"/>
  <c r="B11" i="7"/>
  <c r="B9" i="7"/>
  <c r="B7" i="7"/>
  <c r="B5" i="7"/>
  <c r="C125" i="7"/>
  <c r="C121" i="7"/>
  <c r="C117" i="7"/>
  <c r="C113" i="7"/>
  <c r="C122" i="7"/>
  <c r="C116" i="7"/>
  <c r="C111" i="7"/>
  <c r="C107" i="7"/>
  <c r="C126" i="7"/>
  <c r="C106" i="7"/>
  <c r="C104" i="7"/>
  <c r="C124" i="7"/>
  <c r="C119" i="7"/>
  <c r="C112" i="7"/>
  <c r="C105" i="7"/>
  <c r="C98" i="7"/>
  <c r="C94" i="7"/>
  <c r="C115" i="7"/>
  <c r="C110" i="7"/>
  <c r="C108" i="7"/>
  <c r="C101" i="7"/>
  <c r="C96" i="7"/>
  <c r="C91" i="7"/>
  <c r="C120" i="7"/>
  <c r="C114" i="7"/>
  <c r="C97" i="7"/>
  <c r="C92" i="7"/>
  <c r="C100" i="7"/>
  <c r="C95" i="7"/>
  <c r="C123" i="7"/>
  <c r="C103" i="7"/>
  <c r="C109" i="7"/>
  <c r="C118" i="7"/>
  <c r="C102" i="7"/>
  <c r="C99" i="7"/>
  <c r="A71" i="7" l="1"/>
  <c r="B71" i="7"/>
  <c r="R83" i="7"/>
  <c r="N83" i="7"/>
  <c r="J83" i="7"/>
  <c r="F83" i="7"/>
  <c r="P83" i="7"/>
  <c r="K83" i="7"/>
  <c r="E83" i="7"/>
  <c r="Q83" i="7"/>
  <c r="I83" i="7"/>
  <c r="O83" i="7"/>
  <c r="H83" i="7"/>
  <c r="S83" i="7"/>
  <c r="L83" i="7"/>
  <c r="D83" i="7"/>
  <c r="M83" i="7"/>
  <c r="G83" i="7"/>
  <c r="T83" i="7"/>
  <c r="T84" i="7"/>
  <c r="P84" i="7"/>
  <c r="L84" i="7"/>
  <c r="H84" i="7"/>
  <c r="D84" i="7"/>
  <c r="S84" i="7"/>
  <c r="N84" i="7"/>
  <c r="I84" i="7"/>
  <c r="M84" i="7"/>
  <c r="F84" i="7"/>
  <c r="R84" i="7"/>
  <c r="K84" i="7"/>
  <c r="E84" i="7"/>
  <c r="O84" i="7"/>
  <c r="G84" i="7"/>
  <c r="Q84" i="7"/>
  <c r="J84" i="7"/>
  <c r="B118" i="7"/>
  <c r="A118" i="7"/>
  <c r="A114" i="7"/>
  <c r="B114" i="7"/>
  <c r="B94" i="7"/>
  <c r="A94" i="7"/>
  <c r="B126" i="7"/>
  <c r="A126" i="7"/>
  <c r="A125" i="7"/>
  <c r="B125" i="7"/>
  <c r="R11" i="7"/>
  <c r="S11" i="7"/>
  <c r="N11" i="7"/>
  <c r="J11" i="7"/>
  <c r="F11" i="7"/>
  <c r="Q11" i="7"/>
  <c r="M11" i="7"/>
  <c r="I11" i="7"/>
  <c r="E11" i="7"/>
  <c r="P11" i="7"/>
  <c r="L11" i="7"/>
  <c r="H11" i="7"/>
  <c r="D11" i="7"/>
  <c r="T11" i="7"/>
  <c r="O11" i="7"/>
  <c r="K11" i="7"/>
  <c r="G11" i="7"/>
  <c r="A34" i="7"/>
  <c r="B34" i="7"/>
  <c r="T8" i="7"/>
  <c r="P8" i="7"/>
  <c r="L8" i="7"/>
  <c r="H8" i="7"/>
  <c r="D8" i="7"/>
  <c r="S8" i="7"/>
  <c r="O8" i="7"/>
  <c r="K8" i="7"/>
  <c r="G8" i="7"/>
  <c r="R8" i="7"/>
  <c r="N8" i="7"/>
  <c r="J8" i="7"/>
  <c r="F8" i="7"/>
  <c r="Q8" i="7"/>
  <c r="M8" i="7"/>
  <c r="I8" i="7"/>
  <c r="E8" i="7"/>
  <c r="Q20" i="7"/>
  <c r="M20" i="7"/>
  <c r="I20" i="7"/>
  <c r="E20" i="7"/>
  <c r="T20" i="7"/>
  <c r="P20" i="7"/>
  <c r="L20" i="7"/>
  <c r="H20" i="7"/>
  <c r="D20" i="7"/>
  <c r="S20" i="7"/>
  <c r="K20" i="7"/>
  <c r="R20" i="7"/>
  <c r="J20" i="7"/>
  <c r="O20" i="7"/>
  <c r="G20" i="7"/>
  <c r="N20" i="7"/>
  <c r="F20" i="7"/>
  <c r="A35" i="7"/>
  <c r="B35" i="7"/>
  <c r="A52" i="7"/>
  <c r="B52" i="7"/>
  <c r="A43" i="7"/>
  <c r="B43" i="7"/>
  <c r="A57" i="7"/>
  <c r="B57" i="7"/>
  <c r="A66" i="7"/>
  <c r="B66" i="7"/>
  <c r="T82" i="7"/>
  <c r="P82" i="7"/>
  <c r="L82" i="7"/>
  <c r="H82" i="7"/>
  <c r="D82" i="7"/>
  <c r="R82" i="7"/>
  <c r="M82" i="7"/>
  <c r="G82" i="7"/>
  <c r="N82" i="7"/>
  <c r="F82" i="7"/>
  <c r="S82" i="7"/>
  <c r="K82" i="7"/>
  <c r="E82" i="7"/>
  <c r="O82" i="7"/>
  <c r="I82" i="7"/>
  <c r="Q82" i="7"/>
  <c r="J82" i="7"/>
  <c r="R79" i="7"/>
  <c r="N79" i="7"/>
  <c r="J79" i="7"/>
  <c r="F79" i="7"/>
  <c r="S79" i="7"/>
  <c r="M79" i="7"/>
  <c r="H79" i="7"/>
  <c r="Q79" i="7"/>
  <c r="K79" i="7"/>
  <c r="D79" i="7"/>
  <c r="T79" i="7"/>
  <c r="L79" i="7"/>
  <c r="E79" i="7"/>
  <c r="O79" i="7"/>
  <c r="I79" i="7"/>
  <c r="G79" i="7"/>
  <c r="P79" i="7"/>
  <c r="B100" i="7"/>
  <c r="A100" i="7"/>
  <c r="B108" i="7"/>
  <c r="A108" i="7"/>
  <c r="B124" i="7"/>
  <c r="A124" i="7"/>
  <c r="R5" i="7"/>
  <c r="N5" i="7"/>
  <c r="J5" i="7"/>
  <c r="F5" i="7"/>
  <c r="Q5" i="7"/>
  <c r="M5" i="7"/>
  <c r="I5" i="7"/>
  <c r="E5" i="7"/>
  <c r="T5" i="7"/>
  <c r="P5" i="7"/>
  <c r="L5" i="7"/>
  <c r="H5" i="7"/>
  <c r="D5" i="7"/>
  <c r="S5" i="7"/>
  <c r="O5" i="7"/>
  <c r="K5" i="7"/>
  <c r="G5" i="7"/>
  <c r="Q22" i="7"/>
  <c r="M22" i="7"/>
  <c r="I22" i="7"/>
  <c r="E22" i="7"/>
  <c r="T22" i="7"/>
  <c r="P22" i="7"/>
  <c r="L22" i="7"/>
  <c r="H22" i="7"/>
  <c r="D22" i="7"/>
  <c r="O22" i="7"/>
  <c r="G22" i="7"/>
  <c r="N22" i="7"/>
  <c r="F22" i="7"/>
  <c r="S22" i="7"/>
  <c r="K22" i="7"/>
  <c r="R22" i="7"/>
  <c r="J22" i="7"/>
  <c r="A36" i="7"/>
  <c r="B36" i="7"/>
  <c r="T10" i="7"/>
  <c r="P10" i="7"/>
  <c r="L10" i="7"/>
  <c r="H10" i="7"/>
  <c r="D10" i="7"/>
  <c r="S10" i="7"/>
  <c r="O10" i="7"/>
  <c r="K10" i="7"/>
  <c r="G10" i="7"/>
  <c r="R10" i="7"/>
  <c r="N10" i="7"/>
  <c r="J10" i="7"/>
  <c r="F10" i="7"/>
  <c r="Q10" i="7"/>
  <c r="M10" i="7"/>
  <c r="I10" i="7"/>
  <c r="E10" i="7"/>
  <c r="Q24" i="7"/>
  <c r="M24" i="7"/>
  <c r="I24" i="7"/>
  <c r="E24" i="7"/>
  <c r="T24" i="7"/>
  <c r="P24" i="7"/>
  <c r="L24" i="7"/>
  <c r="H24" i="7"/>
  <c r="D24" i="7"/>
  <c r="S24" i="7"/>
  <c r="K24" i="7"/>
  <c r="R24" i="7"/>
  <c r="J24" i="7"/>
  <c r="O24" i="7"/>
  <c r="G24" i="7"/>
  <c r="N24" i="7"/>
  <c r="F24" i="7"/>
  <c r="A37" i="7"/>
  <c r="B37" i="7"/>
  <c r="A67" i="7"/>
  <c r="B67" i="7"/>
  <c r="A45" i="7"/>
  <c r="B45" i="7"/>
  <c r="A58" i="7"/>
  <c r="B58" i="7"/>
  <c r="A62" i="7"/>
  <c r="B62" i="7"/>
  <c r="R77" i="7"/>
  <c r="N77" i="7"/>
  <c r="J77" i="7"/>
  <c r="F77" i="7"/>
  <c r="Q77" i="7"/>
  <c r="L77" i="7"/>
  <c r="G77" i="7"/>
  <c r="S77" i="7"/>
  <c r="K77" i="7"/>
  <c r="D77" i="7"/>
  <c r="T77" i="7"/>
  <c r="M77" i="7"/>
  <c r="E77" i="7"/>
  <c r="H77" i="7"/>
  <c r="P77" i="7"/>
  <c r="O77" i="7"/>
  <c r="I77" i="7"/>
  <c r="B99" i="7"/>
  <c r="A99" i="7"/>
  <c r="B103" i="7"/>
  <c r="A103" i="7"/>
  <c r="B92" i="7"/>
  <c r="A92" i="7"/>
  <c r="B91" i="7"/>
  <c r="A91" i="7"/>
  <c r="B110" i="7"/>
  <c r="A110" i="7"/>
  <c r="B105" i="7"/>
  <c r="A105" i="7"/>
  <c r="B104" i="7"/>
  <c r="A104" i="7"/>
  <c r="A111" i="7"/>
  <c r="B111" i="7"/>
  <c r="B117" i="7"/>
  <c r="A117" i="7"/>
  <c r="R7" i="7"/>
  <c r="N7" i="7"/>
  <c r="J7" i="7"/>
  <c r="F7" i="7"/>
  <c r="Q7" i="7"/>
  <c r="M7" i="7"/>
  <c r="I7" i="7"/>
  <c r="E7" i="7"/>
  <c r="T7" i="7"/>
  <c r="P7" i="7"/>
  <c r="L7" i="7"/>
  <c r="H7" i="7"/>
  <c r="D7" i="7"/>
  <c r="S7" i="7"/>
  <c r="O7" i="7"/>
  <c r="K7" i="7"/>
  <c r="G7" i="7"/>
  <c r="T12" i="7"/>
  <c r="P12" i="7"/>
  <c r="L12" i="7"/>
  <c r="H12" i="7"/>
  <c r="D12" i="7"/>
  <c r="Q12" i="7"/>
  <c r="K12" i="7"/>
  <c r="F12" i="7"/>
  <c r="O12" i="7"/>
  <c r="J12" i="7"/>
  <c r="E12" i="7"/>
  <c r="S12" i="7"/>
  <c r="N12" i="7"/>
  <c r="I12" i="7"/>
  <c r="R12" i="7"/>
  <c r="M12" i="7"/>
  <c r="G12" i="7"/>
  <c r="Q26" i="7"/>
  <c r="M26" i="7"/>
  <c r="I26" i="7"/>
  <c r="E26" i="7"/>
  <c r="T26" i="7"/>
  <c r="P26" i="7"/>
  <c r="L26" i="7"/>
  <c r="H26" i="7"/>
  <c r="D26" i="7"/>
  <c r="O26" i="7"/>
  <c r="G26" i="7"/>
  <c r="N26" i="7"/>
  <c r="F26" i="7"/>
  <c r="S26" i="7"/>
  <c r="K26" i="7"/>
  <c r="R26" i="7"/>
  <c r="J26" i="7"/>
  <c r="A38" i="7"/>
  <c r="B38" i="7"/>
  <c r="A54" i="7"/>
  <c r="B54" i="7"/>
  <c r="R13" i="7"/>
  <c r="N13" i="7"/>
  <c r="J13" i="7"/>
  <c r="F13" i="7"/>
  <c r="T13" i="7"/>
  <c r="O13" i="7"/>
  <c r="I13" i="7"/>
  <c r="D13" i="7"/>
  <c r="S13" i="7"/>
  <c r="M13" i="7"/>
  <c r="H13" i="7"/>
  <c r="Q13" i="7"/>
  <c r="L13" i="7"/>
  <c r="G13" i="7"/>
  <c r="P13" i="7"/>
  <c r="K13" i="7"/>
  <c r="E13" i="7"/>
  <c r="Q28" i="7"/>
  <c r="M28" i="7"/>
  <c r="I28" i="7"/>
  <c r="E28" i="7"/>
  <c r="T28" i="7"/>
  <c r="P28" i="7"/>
  <c r="L28" i="7"/>
  <c r="H28" i="7"/>
  <c r="D28" i="7"/>
  <c r="S28" i="7"/>
  <c r="K28" i="7"/>
  <c r="R28" i="7"/>
  <c r="J28" i="7"/>
  <c r="O28" i="7"/>
  <c r="G28" i="7"/>
  <c r="N28" i="7"/>
  <c r="F28" i="7"/>
  <c r="A44" i="7"/>
  <c r="B44" i="7"/>
  <c r="S17" i="7"/>
  <c r="O17" i="7"/>
  <c r="K17" i="7"/>
  <c r="G17" i="7"/>
  <c r="R17" i="7"/>
  <c r="N17" i="7"/>
  <c r="J17" i="7"/>
  <c r="F17" i="7"/>
  <c r="Q17" i="7"/>
  <c r="I17" i="7"/>
  <c r="P17" i="7"/>
  <c r="H17" i="7"/>
  <c r="M17" i="7"/>
  <c r="E17" i="7"/>
  <c r="T17" i="7"/>
  <c r="L17" i="7"/>
  <c r="D17" i="7"/>
  <c r="S25" i="7"/>
  <c r="O25" i="7"/>
  <c r="K25" i="7"/>
  <c r="G25" i="7"/>
  <c r="R25" i="7"/>
  <c r="N25" i="7"/>
  <c r="J25" i="7"/>
  <c r="F25" i="7"/>
  <c r="Q25" i="7"/>
  <c r="I25" i="7"/>
  <c r="P25" i="7"/>
  <c r="H25" i="7"/>
  <c r="M25" i="7"/>
  <c r="E25" i="7"/>
  <c r="T25" i="7"/>
  <c r="L25" i="7"/>
  <c r="D25" i="7"/>
  <c r="A47" i="7"/>
  <c r="B47" i="7"/>
  <c r="A55" i="7"/>
  <c r="B55" i="7"/>
  <c r="A59" i="7"/>
  <c r="B59" i="7"/>
  <c r="A63" i="7"/>
  <c r="B63" i="7"/>
  <c r="T80" i="7"/>
  <c r="P80" i="7"/>
  <c r="L80" i="7"/>
  <c r="H80" i="7"/>
  <c r="D80" i="7"/>
  <c r="Q80" i="7"/>
  <c r="K80" i="7"/>
  <c r="F80" i="7"/>
  <c r="N80" i="7"/>
  <c r="G80" i="7"/>
  <c r="S80" i="7"/>
  <c r="M80" i="7"/>
  <c r="O80" i="7"/>
  <c r="I80" i="7"/>
  <c r="J80" i="7"/>
  <c r="E80" i="7"/>
  <c r="R80" i="7"/>
  <c r="A68" i="7"/>
  <c r="B68" i="7"/>
  <c r="T86" i="7"/>
  <c r="P86" i="7"/>
  <c r="L86" i="7"/>
  <c r="H86" i="7"/>
  <c r="D86" i="7"/>
  <c r="O86" i="7"/>
  <c r="J86" i="7"/>
  <c r="E86" i="7"/>
  <c r="S86" i="7"/>
  <c r="M86" i="7"/>
  <c r="F86" i="7"/>
  <c r="R86" i="7"/>
  <c r="K86" i="7"/>
  <c r="N86" i="7"/>
  <c r="G86" i="7"/>
  <c r="Q86" i="7"/>
  <c r="I86" i="7"/>
  <c r="R85" i="7"/>
  <c r="N85" i="7"/>
  <c r="J85" i="7"/>
  <c r="F85" i="7"/>
  <c r="Q85" i="7"/>
  <c r="L85" i="7"/>
  <c r="G85" i="7"/>
  <c r="P85" i="7"/>
  <c r="I85" i="7"/>
  <c r="O85" i="7"/>
  <c r="H85" i="7"/>
  <c r="S85" i="7"/>
  <c r="K85" i="7"/>
  <c r="D85" i="7"/>
  <c r="E85" i="7"/>
  <c r="T85" i="7"/>
  <c r="M85" i="7"/>
  <c r="R87" i="7"/>
  <c r="N87" i="7"/>
  <c r="J87" i="7"/>
  <c r="F87" i="7"/>
  <c r="S87" i="7"/>
  <c r="M87" i="7"/>
  <c r="H87" i="7"/>
  <c r="P87" i="7"/>
  <c r="I87" i="7"/>
  <c r="O87" i="7"/>
  <c r="G87" i="7"/>
  <c r="Q87" i="7"/>
  <c r="K87" i="7"/>
  <c r="D87" i="7"/>
  <c r="T87" i="7"/>
  <c r="L87" i="7"/>
  <c r="E87" i="7"/>
  <c r="B95" i="7"/>
  <c r="A95" i="7"/>
  <c r="B101" i="7"/>
  <c r="A101" i="7"/>
  <c r="A119" i="7"/>
  <c r="B119" i="7"/>
  <c r="A122" i="7"/>
  <c r="B122" i="7"/>
  <c r="Q18" i="7"/>
  <c r="M18" i="7"/>
  <c r="I18" i="7"/>
  <c r="E18" i="7"/>
  <c r="T18" i="7"/>
  <c r="P18" i="7"/>
  <c r="L18" i="7"/>
  <c r="H18" i="7"/>
  <c r="D18" i="7"/>
  <c r="O18" i="7"/>
  <c r="G18" i="7"/>
  <c r="N18" i="7"/>
  <c r="F18" i="7"/>
  <c r="S18" i="7"/>
  <c r="K18" i="7"/>
  <c r="R18" i="7"/>
  <c r="J18" i="7"/>
  <c r="A46" i="7"/>
  <c r="B46" i="7"/>
  <c r="S21" i="7"/>
  <c r="O21" i="7"/>
  <c r="K21" i="7"/>
  <c r="G21" i="7"/>
  <c r="R21" i="7"/>
  <c r="N21" i="7"/>
  <c r="J21" i="7"/>
  <c r="F21" i="7"/>
  <c r="Q21" i="7"/>
  <c r="I21" i="7"/>
  <c r="P21" i="7"/>
  <c r="H21" i="7"/>
  <c r="M21" i="7"/>
  <c r="E21" i="7"/>
  <c r="T21" i="7"/>
  <c r="L21" i="7"/>
  <c r="D21" i="7"/>
  <c r="A51" i="7"/>
  <c r="B51" i="7"/>
  <c r="A61" i="7"/>
  <c r="B61" i="7"/>
  <c r="A69" i="7"/>
  <c r="B69" i="7"/>
  <c r="R81" i="7"/>
  <c r="N81" i="7"/>
  <c r="J81" i="7"/>
  <c r="F81" i="7"/>
  <c r="T81" i="7"/>
  <c r="O81" i="7"/>
  <c r="I81" i="7"/>
  <c r="D81" i="7"/>
  <c r="Q81" i="7"/>
  <c r="K81" i="7"/>
  <c r="P81" i="7"/>
  <c r="H81" i="7"/>
  <c r="S81" i="7"/>
  <c r="L81" i="7"/>
  <c r="E81" i="7"/>
  <c r="M81" i="7"/>
  <c r="G81" i="7"/>
  <c r="A109" i="7"/>
  <c r="B109" i="7"/>
  <c r="B120" i="7"/>
  <c r="A120" i="7"/>
  <c r="B98" i="7"/>
  <c r="A98" i="7"/>
  <c r="A107" i="7"/>
  <c r="B107" i="7"/>
  <c r="A113" i="7"/>
  <c r="B113" i="7"/>
  <c r="T14" i="7"/>
  <c r="P14" i="7"/>
  <c r="L14" i="7"/>
  <c r="H14" i="7"/>
  <c r="D14" i="7"/>
  <c r="R14" i="7"/>
  <c r="M14" i="7"/>
  <c r="G14" i="7"/>
  <c r="Q14" i="7"/>
  <c r="K14" i="7"/>
  <c r="F14" i="7"/>
  <c r="O14" i="7"/>
  <c r="J14" i="7"/>
  <c r="E14" i="7"/>
  <c r="S14" i="7"/>
  <c r="N14" i="7"/>
  <c r="I14" i="7"/>
  <c r="A50" i="7"/>
  <c r="B50" i="7"/>
  <c r="S23" i="7"/>
  <c r="O23" i="7"/>
  <c r="K23" i="7"/>
  <c r="G23" i="7"/>
  <c r="R23" i="7"/>
  <c r="N23" i="7"/>
  <c r="J23" i="7"/>
  <c r="F23" i="7"/>
  <c r="M23" i="7"/>
  <c r="E23" i="7"/>
  <c r="T23" i="7"/>
  <c r="L23" i="7"/>
  <c r="D23" i="7"/>
  <c r="Q23" i="7"/>
  <c r="I23" i="7"/>
  <c r="P23" i="7"/>
  <c r="H23" i="7"/>
  <c r="A53" i="7"/>
  <c r="B53" i="7"/>
  <c r="A70" i="7"/>
  <c r="B70" i="7"/>
  <c r="A102" i="7"/>
  <c r="B102" i="7"/>
  <c r="A123" i="7"/>
  <c r="B123" i="7"/>
  <c r="B97" i="7"/>
  <c r="A97" i="7"/>
  <c r="B96" i="7"/>
  <c r="A96" i="7"/>
  <c r="A115" i="7"/>
  <c r="B115" i="7"/>
  <c r="B112" i="7"/>
  <c r="A112" i="7"/>
  <c r="B106" i="7"/>
  <c r="A106" i="7"/>
  <c r="B116" i="7"/>
  <c r="A116" i="7"/>
  <c r="B121" i="7"/>
  <c r="A121" i="7"/>
  <c r="R9" i="7"/>
  <c r="N9" i="7"/>
  <c r="J9" i="7"/>
  <c r="F9" i="7"/>
  <c r="Q9" i="7"/>
  <c r="M9" i="7"/>
  <c r="I9" i="7"/>
  <c r="E9" i="7"/>
  <c r="T9" i="7"/>
  <c r="P9" i="7"/>
  <c r="L9" i="7"/>
  <c r="H9" i="7"/>
  <c r="D9" i="7"/>
  <c r="S9" i="7"/>
  <c r="O9" i="7"/>
  <c r="K9" i="7"/>
  <c r="G9" i="7"/>
  <c r="R15" i="7"/>
  <c r="N15" i="7"/>
  <c r="J15" i="7"/>
  <c r="F15" i="7"/>
  <c r="P15" i="7"/>
  <c r="K15" i="7"/>
  <c r="E15" i="7"/>
  <c r="T15" i="7"/>
  <c r="O15" i="7"/>
  <c r="I15" i="7"/>
  <c r="D15" i="7"/>
  <c r="S15" i="7"/>
  <c r="M15" i="7"/>
  <c r="H15" i="7"/>
  <c r="Q15" i="7"/>
  <c r="L15" i="7"/>
  <c r="G15" i="7"/>
  <c r="A32" i="7"/>
  <c r="B32" i="7"/>
  <c r="A42" i="7"/>
  <c r="B42" i="7"/>
  <c r="T6" i="7"/>
  <c r="P6" i="7"/>
  <c r="L6" i="7"/>
  <c r="H6" i="7"/>
  <c r="D6" i="7"/>
  <c r="S6" i="7"/>
  <c r="O6" i="7"/>
  <c r="K6" i="7"/>
  <c r="G6" i="7"/>
  <c r="R6" i="7"/>
  <c r="N6" i="7"/>
  <c r="J6" i="7"/>
  <c r="F6" i="7"/>
  <c r="Q6" i="7"/>
  <c r="M6" i="7"/>
  <c r="I6" i="7"/>
  <c r="E6" i="7"/>
  <c r="Q16" i="7"/>
  <c r="M16" i="7"/>
  <c r="I16" i="7"/>
  <c r="E16" i="7"/>
  <c r="T16" i="7"/>
  <c r="P16" i="7"/>
  <c r="L16" i="7"/>
  <c r="H16" i="7"/>
  <c r="D16" i="7"/>
  <c r="S16" i="7"/>
  <c r="K16" i="7"/>
  <c r="R16" i="7"/>
  <c r="J16" i="7"/>
  <c r="O16" i="7"/>
  <c r="G16" i="7"/>
  <c r="N16" i="7"/>
  <c r="F16" i="7"/>
  <c r="A33" i="7"/>
  <c r="B33" i="7"/>
  <c r="A48" i="7"/>
  <c r="B48" i="7"/>
  <c r="S19" i="7"/>
  <c r="O19" i="7"/>
  <c r="K19" i="7"/>
  <c r="G19" i="7"/>
  <c r="R19" i="7"/>
  <c r="N19" i="7"/>
  <c r="J19" i="7"/>
  <c r="F19" i="7"/>
  <c r="M19" i="7"/>
  <c r="E19" i="7"/>
  <c r="T19" i="7"/>
  <c r="L19" i="7"/>
  <c r="D19" i="7"/>
  <c r="Q19" i="7"/>
  <c r="I19" i="7"/>
  <c r="P19" i="7"/>
  <c r="H19" i="7"/>
  <c r="S27" i="7"/>
  <c r="O27" i="7"/>
  <c r="K27" i="7"/>
  <c r="G27" i="7"/>
  <c r="R27" i="7"/>
  <c r="N27" i="7"/>
  <c r="J27" i="7"/>
  <c r="F27" i="7"/>
  <c r="M27" i="7"/>
  <c r="E27" i="7"/>
  <c r="T27" i="7"/>
  <c r="L27" i="7"/>
  <c r="D27" i="7"/>
  <c r="Q27" i="7"/>
  <c r="I27" i="7"/>
  <c r="P27" i="7"/>
  <c r="H27" i="7"/>
  <c r="A49" i="7"/>
  <c r="B49" i="7"/>
  <c r="A56" i="7"/>
  <c r="B56" i="7"/>
  <c r="A60" i="7"/>
  <c r="B60" i="7"/>
  <c r="A64" i="7"/>
  <c r="B64" i="7"/>
  <c r="A65" i="7"/>
  <c r="B65" i="7"/>
  <c r="T78" i="7"/>
  <c r="P78" i="7"/>
  <c r="L78" i="7"/>
  <c r="H78" i="7"/>
  <c r="D78" i="7"/>
  <c r="O78" i="7"/>
  <c r="J78" i="7"/>
  <c r="E78" i="7"/>
  <c r="N78" i="7"/>
  <c r="G78" i="7"/>
  <c r="Q78" i="7"/>
  <c r="I78" i="7"/>
  <c r="R78" i="7"/>
  <c r="M78" i="7"/>
  <c r="K78" i="7"/>
  <c r="S78" i="7"/>
  <c r="F78" i="7"/>
  <c r="A72" i="7"/>
  <c r="B72" i="7"/>
  <c r="T76" i="7"/>
  <c r="P76" i="7"/>
  <c r="L76" i="7"/>
  <c r="H76" i="7"/>
  <c r="D76" i="7"/>
  <c r="S76" i="7"/>
  <c r="N76" i="7"/>
  <c r="I76" i="7"/>
  <c r="O76" i="7"/>
  <c r="G76" i="7"/>
  <c r="Q76" i="7"/>
  <c r="J76" i="7"/>
  <c r="K76" i="7"/>
  <c r="F76" i="7"/>
  <c r="R76" i="7"/>
  <c r="E76" i="7"/>
  <c r="M76" i="7"/>
  <c r="R93" i="7"/>
  <c r="N93" i="7"/>
  <c r="J93" i="7"/>
  <c r="F93" i="7"/>
  <c r="Q93" i="7"/>
  <c r="L93" i="7"/>
  <c r="G93" i="7"/>
  <c r="T93" i="7"/>
  <c r="M93" i="7"/>
  <c r="E93" i="7"/>
  <c r="S93" i="7"/>
  <c r="K93" i="7"/>
  <c r="D93" i="7"/>
  <c r="O93" i="7"/>
  <c r="H93" i="7"/>
  <c r="P93" i="7"/>
  <c r="I93" i="7"/>
  <c r="Q72" i="7" l="1"/>
  <c r="M72" i="7"/>
  <c r="I72" i="7"/>
  <c r="E72" i="7"/>
  <c r="S72" i="7"/>
  <c r="N72" i="7"/>
  <c r="H72" i="7"/>
  <c r="T72" i="7"/>
  <c r="O72" i="7"/>
  <c r="J72" i="7"/>
  <c r="D72" i="7"/>
  <c r="P72" i="7"/>
  <c r="F72" i="7"/>
  <c r="L72" i="7"/>
  <c r="K72" i="7"/>
  <c r="R72" i="7"/>
  <c r="G72" i="7"/>
  <c r="T121" i="7"/>
  <c r="P121" i="7"/>
  <c r="L121" i="7"/>
  <c r="H121" i="7"/>
  <c r="D121" i="7"/>
  <c r="S121" i="7"/>
  <c r="N121" i="7"/>
  <c r="I121" i="7"/>
  <c r="Q121" i="7"/>
  <c r="J121" i="7"/>
  <c r="R121" i="7"/>
  <c r="G121" i="7"/>
  <c r="M121" i="7"/>
  <c r="E121" i="7"/>
  <c r="O121" i="7"/>
  <c r="F121" i="7"/>
  <c r="K121" i="7"/>
  <c r="T106" i="7"/>
  <c r="P106" i="7"/>
  <c r="L106" i="7"/>
  <c r="H106" i="7"/>
  <c r="D106" i="7"/>
  <c r="R106" i="7"/>
  <c r="M106" i="7"/>
  <c r="G106" i="7"/>
  <c r="Q106" i="7"/>
  <c r="J106" i="7"/>
  <c r="S106" i="7"/>
  <c r="I106" i="7"/>
  <c r="F106" i="7"/>
  <c r="O106" i="7"/>
  <c r="E106" i="7"/>
  <c r="K106" i="7"/>
  <c r="N106" i="7"/>
  <c r="R97" i="7"/>
  <c r="N97" i="7"/>
  <c r="J97" i="7"/>
  <c r="F97" i="7"/>
  <c r="Q97" i="7"/>
  <c r="L97" i="7"/>
  <c r="G97" i="7"/>
  <c r="S97" i="7"/>
  <c r="K97" i="7"/>
  <c r="D97" i="7"/>
  <c r="P97" i="7"/>
  <c r="I97" i="7"/>
  <c r="T97" i="7"/>
  <c r="M97" i="7"/>
  <c r="E97" i="7"/>
  <c r="O97" i="7"/>
  <c r="H97" i="7"/>
  <c r="T120" i="7"/>
  <c r="P120" i="7"/>
  <c r="L120" i="7"/>
  <c r="H120" i="7"/>
  <c r="D120" i="7"/>
  <c r="R120" i="7"/>
  <c r="M120" i="7"/>
  <c r="G120" i="7"/>
  <c r="O120" i="7"/>
  <c r="I120" i="7"/>
  <c r="S120" i="7"/>
  <c r="J120" i="7"/>
  <c r="F120" i="7"/>
  <c r="E120" i="7"/>
  <c r="Q120" i="7"/>
  <c r="K120" i="7"/>
  <c r="N120" i="7"/>
  <c r="Q69" i="7"/>
  <c r="M69" i="7"/>
  <c r="I69" i="7"/>
  <c r="E69" i="7"/>
  <c r="T69" i="7"/>
  <c r="O69" i="7"/>
  <c r="J69" i="7"/>
  <c r="D69" i="7"/>
  <c r="S69" i="7"/>
  <c r="N69" i="7"/>
  <c r="H69" i="7"/>
  <c r="R69" i="7"/>
  <c r="L69" i="7"/>
  <c r="G69" i="7"/>
  <c r="K69" i="7"/>
  <c r="F69" i="7"/>
  <c r="P69" i="7"/>
  <c r="Q51" i="7"/>
  <c r="M51" i="7"/>
  <c r="I51" i="7"/>
  <c r="E51" i="7"/>
  <c r="T51" i="7"/>
  <c r="P51" i="7"/>
  <c r="L51" i="7"/>
  <c r="H51" i="7"/>
  <c r="D51" i="7"/>
  <c r="S51" i="7"/>
  <c r="K51" i="7"/>
  <c r="R51" i="7"/>
  <c r="J51" i="7"/>
  <c r="G51" i="7"/>
  <c r="F51" i="7"/>
  <c r="O51" i="7"/>
  <c r="N51" i="7"/>
  <c r="T119" i="7"/>
  <c r="P119" i="7"/>
  <c r="L119" i="7"/>
  <c r="H119" i="7"/>
  <c r="D119" i="7"/>
  <c r="Q119" i="7"/>
  <c r="K119" i="7"/>
  <c r="F119" i="7"/>
  <c r="N119" i="7"/>
  <c r="G119" i="7"/>
  <c r="S119" i="7"/>
  <c r="J119" i="7"/>
  <c r="O119" i="7"/>
  <c r="I119" i="7"/>
  <c r="E119" i="7"/>
  <c r="M119" i="7"/>
  <c r="R119" i="7"/>
  <c r="Q63" i="7"/>
  <c r="M63" i="7"/>
  <c r="I63" i="7"/>
  <c r="E63" i="7"/>
  <c r="T63" i="7"/>
  <c r="P63" i="7"/>
  <c r="L63" i="7"/>
  <c r="H63" i="7"/>
  <c r="D63" i="7"/>
  <c r="S63" i="7"/>
  <c r="O63" i="7"/>
  <c r="K63" i="7"/>
  <c r="G63" i="7"/>
  <c r="J63" i="7"/>
  <c r="F63" i="7"/>
  <c r="R63" i="7"/>
  <c r="N63" i="7"/>
  <c r="Q55" i="7"/>
  <c r="M55" i="7"/>
  <c r="I55" i="7"/>
  <c r="E55" i="7"/>
  <c r="T55" i="7"/>
  <c r="P55" i="7"/>
  <c r="L55" i="7"/>
  <c r="H55" i="7"/>
  <c r="D55" i="7"/>
  <c r="S55" i="7"/>
  <c r="O55" i="7"/>
  <c r="K55" i="7"/>
  <c r="G55" i="7"/>
  <c r="J55" i="7"/>
  <c r="F55" i="7"/>
  <c r="R55" i="7"/>
  <c r="N55" i="7"/>
  <c r="Q38" i="7"/>
  <c r="T38" i="7"/>
  <c r="P38" i="7"/>
  <c r="S38" i="7"/>
  <c r="M38" i="7"/>
  <c r="I38" i="7"/>
  <c r="E38" i="7"/>
  <c r="R38" i="7"/>
  <c r="L38" i="7"/>
  <c r="H38" i="7"/>
  <c r="D38" i="7"/>
  <c r="O38" i="7"/>
  <c r="G38" i="7"/>
  <c r="N38" i="7"/>
  <c r="F38" i="7"/>
  <c r="K38" i="7"/>
  <c r="J38" i="7"/>
  <c r="T105" i="7"/>
  <c r="P105" i="7"/>
  <c r="Q105" i="7"/>
  <c r="L105" i="7"/>
  <c r="H105" i="7"/>
  <c r="D105" i="7"/>
  <c r="O105" i="7"/>
  <c r="J105" i="7"/>
  <c r="E105" i="7"/>
  <c r="S105" i="7"/>
  <c r="K105" i="7"/>
  <c r="N105" i="7"/>
  <c r="F105" i="7"/>
  <c r="M105" i="7"/>
  <c r="R105" i="7"/>
  <c r="G105" i="7"/>
  <c r="I105" i="7"/>
  <c r="R91" i="7"/>
  <c r="N91" i="7"/>
  <c r="J91" i="7"/>
  <c r="F91" i="7"/>
  <c r="T91" i="7"/>
  <c r="O91" i="7"/>
  <c r="I91" i="7"/>
  <c r="D91" i="7"/>
  <c r="Q91" i="7"/>
  <c r="K91" i="7"/>
  <c r="P91" i="7"/>
  <c r="H91" i="7"/>
  <c r="S91" i="7"/>
  <c r="L91" i="7"/>
  <c r="E91" i="7"/>
  <c r="G91" i="7"/>
  <c r="M91" i="7"/>
  <c r="T103" i="7"/>
  <c r="P103" i="7"/>
  <c r="L103" i="7"/>
  <c r="H103" i="7"/>
  <c r="D103" i="7"/>
  <c r="R103" i="7"/>
  <c r="M103" i="7"/>
  <c r="G103" i="7"/>
  <c r="O103" i="7"/>
  <c r="I103" i="7"/>
  <c r="Q103" i="7"/>
  <c r="F103" i="7"/>
  <c r="N103" i="7"/>
  <c r="E103" i="7"/>
  <c r="S103" i="7"/>
  <c r="J103" i="7"/>
  <c r="K103" i="7"/>
  <c r="Q62" i="7"/>
  <c r="M62" i="7"/>
  <c r="I62" i="7"/>
  <c r="E62" i="7"/>
  <c r="T62" i="7"/>
  <c r="P62" i="7"/>
  <c r="L62" i="7"/>
  <c r="H62" i="7"/>
  <c r="D62" i="7"/>
  <c r="S62" i="7"/>
  <c r="O62" i="7"/>
  <c r="K62" i="7"/>
  <c r="G62" i="7"/>
  <c r="N62" i="7"/>
  <c r="J62" i="7"/>
  <c r="F62" i="7"/>
  <c r="R62" i="7"/>
  <c r="Q45" i="7"/>
  <c r="M45" i="7"/>
  <c r="I45" i="7"/>
  <c r="E45" i="7"/>
  <c r="T45" i="7"/>
  <c r="P45" i="7"/>
  <c r="L45" i="7"/>
  <c r="H45" i="7"/>
  <c r="D45" i="7"/>
  <c r="S45" i="7"/>
  <c r="K45" i="7"/>
  <c r="R45" i="7"/>
  <c r="J45" i="7"/>
  <c r="O45" i="7"/>
  <c r="N45" i="7"/>
  <c r="G45" i="7"/>
  <c r="F45" i="7"/>
  <c r="Q37" i="7"/>
  <c r="M37" i="7"/>
  <c r="I37" i="7"/>
  <c r="E37" i="7"/>
  <c r="T37" i="7"/>
  <c r="P37" i="7"/>
  <c r="L37" i="7"/>
  <c r="H37" i="7"/>
  <c r="D37" i="7"/>
  <c r="S37" i="7"/>
  <c r="K37" i="7"/>
  <c r="R37" i="7"/>
  <c r="J37" i="7"/>
  <c r="O37" i="7"/>
  <c r="G37" i="7"/>
  <c r="N37" i="7"/>
  <c r="F37" i="7"/>
  <c r="Q36" i="7"/>
  <c r="M36" i="7"/>
  <c r="I36" i="7"/>
  <c r="E36" i="7"/>
  <c r="T36" i="7"/>
  <c r="P36" i="7"/>
  <c r="L36" i="7"/>
  <c r="H36" i="7"/>
  <c r="D36" i="7"/>
  <c r="O36" i="7"/>
  <c r="G36" i="7"/>
  <c r="N36" i="7"/>
  <c r="F36" i="7"/>
  <c r="S36" i="7"/>
  <c r="K36" i="7"/>
  <c r="R36" i="7"/>
  <c r="J36" i="7"/>
  <c r="Q64" i="7"/>
  <c r="M64" i="7"/>
  <c r="S64" i="7"/>
  <c r="N64" i="7"/>
  <c r="I64" i="7"/>
  <c r="E64" i="7"/>
  <c r="R64" i="7"/>
  <c r="L64" i="7"/>
  <c r="H64" i="7"/>
  <c r="D64" i="7"/>
  <c r="P64" i="7"/>
  <c r="K64" i="7"/>
  <c r="G64" i="7"/>
  <c r="F64" i="7"/>
  <c r="T64" i="7"/>
  <c r="O64" i="7"/>
  <c r="J64" i="7"/>
  <c r="Q56" i="7"/>
  <c r="M56" i="7"/>
  <c r="I56" i="7"/>
  <c r="E56" i="7"/>
  <c r="T56" i="7"/>
  <c r="P56" i="7"/>
  <c r="L56" i="7"/>
  <c r="H56" i="7"/>
  <c r="D56" i="7"/>
  <c r="S56" i="7"/>
  <c r="O56" i="7"/>
  <c r="K56" i="7"/>
  <c r="G56" i="7"/>
  <c r="F56" i="7"/>
  <c r="R56" i="7"/>
  <c r="N56" i="7"/>
  <c r="J56" i="7"/>
  <c r="Q33" i="7"/>
  <c r="M33" i="7"/>
  <c r="I33" i="7"/>
  <c r="E33" i="7"/>
  <c r="T33" i="7"/>
  <c r="P33" i="7"/>
  <c r="L33" i="7"/>
  <c r="H33" i="7"/>
  <c r="D33" i="7"/>
  <c r="S33" i="7"/>
  <c r="K33" i="7"/>
  <c r="R33" i="7"/>
  <c r="J33" i="7"/>
  <c r="O33" i="7"/>
  <c r="G33" i="7"/>
  <c r="N33" i="7"/>
  <c r="F33" i="7"/>
  <c r="Q42" i="7"/>
  <c r="M42" i="7"/>
  <c r="I42" i="7"/>
  <c r="E42" i="7"/>
  <c r="T42" i="7"/>
  <c r="P42" i="7"/>
  <c r="L42" i="7"/>
  <c r="H42" i="7"/>
  <c r="D42" i="7"/>
  <c r="O42" i="7"/>
  <c r="G42" i="7"/>
  <c r="N42" i="7"/>
  <c r="F42" i="7"/>
  <c r="K42" i="7"/>
  <c r="J42" i="7"/>
  <c r="S42" i="7"/>
  <c r="R42" i="7"/>
  <c r="T123" i="7"/>
  <c r="P123" i="7"/>
  <c r="L123" i="7"/>
  <c r="H123" i="7"/>
  <c r="D123" i="7"/>
  <c r="Q123" i="7"/>
  <c r="K123" i="7"/>
  <c r="F123" i="7"/>
  <c r="S123" i="7"/>
  <c r="M123" i="7"/>
  <c r="E123" i="7"/>
  <c r="O123" i="7"/>
  <c r="G123" i="7"/>
  <c r="J123" i="7"/>
  <c r="N123" i="7"/>
  <c r="I123" i="7"/>
  <c r="R123" i="7"/>
  <c r="Q70" i="7"/>
  <c r="M70" i="7"/>
  <c r="I70" i="7"/>
  <c r="E70" i="7"/>
  <c r="P70" i="7"/>
  <c r="K70" i="7"/>
  <c r="F70" i="7"/>
  <c r="T70" i="7"/>
  <c r="O70" i="7"/>
  <c r="J70" i="7"/>
  <c r="D70" i="7"/>
  <c r="S70" i="7"/>
  <c r="N70" i="7"/>
  <c r="H70" i="7"/>
  <c r="L70" i="7"/>
  <c r="G70" i="7"/>
  <c r="R70" i="7"/>
  <c r="T113" i="7"/>
  <c r="P113" i="7"/>
  <c r="L113" i="7"/>
  <c r="H113" i="7"/>
  <c r="D113" i="7"/>
  <c r="S113" i="7"/>
  <c r="N113" i="7"/>
  <c r="I113" i="7"/>
  <c r="M113" i="7"/>
  <c r="F113" i="7"/>
  <c r="Q113" i="7"/>
  <c r="G113" i="7"/>
  <c r="J113" i="7"/>
  <c r="K113" i="7"/>
  <c r="E113" i="7"/>
  <c r="O113" i="7"/>
  <c r="R113" i="7"/>
  <c r="T109" i="7"/>
  <c r="P109" i="7"/>
  <c r="L109" i="7"/>
  <c r="H109" i="7"/>
  <c r="D109" i="7"/>
  <c r="Q109" i="7"/>
  <c r="K109" i="7"/>
  <c r="F109" i="7"/>
  <c r="N109" i="7"/>
  <c r="G109" i="7"/>
  <c r="O109" i="7"/>
  <c r="E109" i="7"/>
  <c r="J109" i="7"/>
  <c r="S109" i="7"/>
  <c r="I109" i="7"/>
  <c r="M109" i="7"/>
  <c r="R109" i="7"/>
  <c r="R95" i="7"/>
  <c r="N95" i="7"/>
  <c r="J95" i="7"/>
  <c r="F95" i="7"/>
  <c r="T95" i="7"/>
  <c r="O95" i="7"/>
  <c r="I95" i="7"/>
  <c r="D95" i="7"/>
  <c r="P95" i="7"/>
  <c r="H95" i="7"/>
  <c r="M95" i="7"/>
  <c r="G95" i="7"/>
  <c r="Q95" i="7"/>
  <c r="K95" i="7"/>
  <c r="L95" i="7"/>
  <c r="E95" i="7"/>
  <c r="S95" i="7"/>
  <c r="Q68" i="7"/>
  <c r="M68" i="7"/>
  <c r="I68" i="7"/>
  <c r="E68" i="7"/>
  <c r="S68" i="7"/>
  <c r="N68" i="7"/>
  <c r="H68" i="7"/>
  <c r="R68" i="7"/>
  <c r="L68" i="7"/>
  <c r="G68" i="7"/>
  <c r="P68" i="7"/>
  <c r="K68" i="7"/>
  <c r="F68" i="7"/>
  <c r="J68" i="7"/>
  <c r="D68" i="7"/>
  <c r="T68" i="7"/>
  <c r="O68" i="7"/>
  <c r="T124" i="7"/>
  <c r="P124" i="7"/>
  <c r="L124" i="7"/>
  <c r="H124" i="7"/>
  <c r="D124" i="7"/>
  <c r="R124" i="7"/>
  <c r="M124" i="7"/>
  <c r="G124" i="7"/>
  <c r="N124" i="7"/>
  <c r="F124" i="7"/>
  <c r="O124" i="7"/>
  <c r="E124" i="7"/>
  <c r="Q124" i="7"/>
  <c r="J124" i="7"/>
  <c r="I124" i="7"/>
  <c r="K124" i="7"/>
  <c r="S124" i="7"/>
  <c r="R100" i="7"/>
  <c r="N100" i="7"/>
  <c r="J100" i="7"/>
  <c r="F100" i="7"/>
  <c r="P100" i="7"/>
  <c r="K100" i="7"/>
  <c r="E100" i="7"/>
  <c r="O100" i="7"/>
  <c r="H100" i="7"/>
  <c r="T100" i="7"/>
  <c r="M100" i="7"/>
  <c r="G100" i="7"/>
  <c r="Q100" i="7"/>
  <c r="I100" i="7"/>
  <c r="S100" i="7"/>
  <c r="L100" i="7"/>
  <c r="D100" i="7"/>
  <c r="T114" i="7"/>
  <c r="P114" i="7"/>
  <c r="L114" i="7"/>
  <c r="H114" i="7"/>
  <c r="D114" i="7"/>
  <c r="O114" i="7"/>
  <c r="J114" i="7"/>
  <c r="E114" i="7"/>
  <c r="N114" i="7"/>
  <c r="G114" i="7"/>
  <c r="Q114" i="7"/>
  <c r="F114" i="7"/>
  <c r="M114" i="7"/>
  <c r="I114" i="7"/>
  <c r="S114" i="7"/>
  <c r="K114" i="7"/>
  <c r="R114" i="7"/>
  <c r="Q57" i="7"/>
  <c r="M57" i="7"/>
  <c r="I57" i="7"/>
  <c r="E57" i="7"/>
  <c r="T57" i="7"/>
  <c r="P57" i="7"/>
  <c r="L57" i="7"/>
  <c r="H57" i="7"/>
  <c r="D57" i="7"/>
  <c r="S57" i="7"/>
  <c r="O57" i="7"/>
  <c r="K57" i="7"/>
  <c r="G57" i="7"/>
  <c r="R57" i="7"/>
  <c r="N57" i="7"/>
  <c r="J57" i="7"/>
  <c r="F57" i="7"/>
  <c r="Q52" i="7"/>
  <c r="M52" i="7"/>
  <c r="I52" i="7"/>
  <c r="E52" i="7"/>
  <c r="T52" i="7"/>
  <c r="P52" i="7"/>
  <c r="L52" i="7"/>
  <c r="H52" i="7"/>
  <c r="D52" i="7"/>
  <c r="O52" i="7"/>
  <c r="G52" i="7"/>
  <c r="N52" i="7"/>
  <c r="F52" i="7"/>
  <c r="S52" i="7"/>
  <c r="R52" i="7"/>
  <c r="K52" i="7"/>
  <c r="J52" i="7"/>
  <c r="T126" i="7"/>
  <c r="P126" i="7"/>
  <c r="L126" i="7"/>
  <c r="H126" i="7"/>
  <c r="D126" i="7"/>
  <c r="O126" i="7"/>
  <c r="J126" i="7"/>
  <c r="E126" i="7"/>
  <c r="Q126" i="7"/>
  <c r="I126" i="7"/>
  <c r="M126" i="7"/>
  <c r="N126" i="7"/>
  <c r="S126" i="7"/>
  <c r="F126" i="7"/>
  <c r="R126" i="7"/>
  <c r="G126" i="7"/>
  <c r="K126" i="7"/>
  <c r="T116" i="7"/>
  <c r="P116" i="7"/>
  <c r="L116" i="7"/>
  <c r="H116" i="7"/>
  <c r="D116" i="7"/>
  <c r="R116" i="7"/>
  <c r="M116" i="7"/>
  <c r="G116" i="7"/>
  <c r="Q116" i="7"/>
  <c r="J116" i="7"/>
  <c r="N116" i="7"/>
  <c r="E116" i="7"/>
  <c r="K116" i="7"/>
  <c r="S116" i="7"/>
  <c r="O116" i="7"/>
  <c r="F116" i="7"/>
  <c r="I116" i="7"/>
  <c r="T112" i="7"/>
  <c r="P112" i="7"/>
  <c r="L112" i="7"/>
  <c r="H112" i="7"/>
  <c r="D112" i="7"/>
  <c r="R112" i="7"/>
  <c r="M112" i="7"/>
  <c r="G112" i="7"/>
  <c r="S112" i="7"/>
  <c r="K112" i="7"/>
  <c r="E112" i="7"/>
  <c r="Q112" i="7"/>
  <c r="I112" i="7"/>
  <c r="O112" i="7"/>
  <c r="N112" i="7"/>
  <c r="J112" i="7"/>
  <c r="F112" i="7"/>
  <c r="R96" i="7"/>
  <c r="N96" i="7"/>
  <c r="J96" i="7"/>
  <c r="F96" i="7"/>
  <c r="P96" i="7"/>
  <c r="K96" i="7"/>
  <c r="E96" i="7"/>
  <c r="Q96" i="7"/>
  <c r="I96" i="7"/>
  <c r="O96" i="7"/>
  <c r="H96" i="7"/>
  <c r="S96" i="7"/>
  <c r="L96" i="7"/>
  <c r="D96" i="7"/>
  <c r="T96" i="7"/>
  <c r="M96" i="7"/>
  <c r="G96" i="7"/>
  <c r="Q50" i="7"/>
  <c r="M50" i="7"/>
  <c r="I50" i="7"/>
  <c r="E50" i="7"/>
  <c r="T50" i="7"/>
  <c r="P50" i="7"/>
  <c r="L50" i="7"/>
  <c r="H50" i="7"/>
  <c r="D50" i="7"/>
  <c r="O50" i="7"/>
  <c r="G50" i="7"/>
  <c r="N50" i="7"/>
  <c r="F50" i="7"/>
  <c r="K50" i="7"/>
  <c r="J50" i="7"/>
  <c r="S50" i="7"/>
  <c r="R50" i="7"/>
  <c r="R98" i="7"/>
  <c r="N98" i="7"/>
  <c r="J98" i="7"/>
  <c r="F98" i="7"/>
  <c r="S98" i="7"/>
  <c r="M98" i="7"/>
  <c r="H98" i="7"/>
  <c r="T98" i="7"/>
  <c r="L98" i="7"/>
  <c r="E98" i="7"/>
  <c r="Q98" i="7"/>
  <c r="K98" i="7"/>
  <c r="D98" i="7"/>
  <c r="O98" i="7"/>
  <c r="G98" i="7"/>
  <c r="I98" i="7"/>
  <c r="P98" i="7"/>
  <c r="Q61" i="7"/>
  <c r="M61" i="7"/>
  <c r="I61" i="7"/>
  <c r="E61" i="7"/>
  <c r="T61" i="7"/>
  <c r="P61" i="7"/>
  <c r="L61" i="7"/>
  <c r="H61" i="7"/>
  <c r="D61" i="7"/>
  <c r="S61" i="7"/>
  <c r="O61" i="7"/>
  <c r="K61" i="7"/>
  <c r="G61" i="7"/>
  <c r="R61" i="7"/>
  <c r="N61" i="7"/>
  <c r="J61" i="7"/>
  <c r="F61" i="7"/>
  <c r="T122" i="7"/>
  <c r="P122" i="7"/>
  <c r="L122" i="7"/>
  <c r="H122" i="7"/>
  <c r="D122" i="7"/>
  <c r="O122" i="7"/>
  <c r="J122" i="7"/>
  <c r="E122" i="7"/>
  <c r="R122" i="7"/>
  <c r="K122" i="7"/>
  <c r="Q122" i="7"/>
  <c r="G122" i="7"/>
  <c r="S122" i="7"/>
  <c r="F122" i="7"/>
  <c r="N122" i="7"/>
  <c r="M122" i="7"/>
  <c r="I122" i="7"/>
  <c r="Q59" i="7"/>
  <c r="M59" i="7"/>
  <c r="I59" i="7"/>
  <c r="E59" i="7"/>
  <c r="T59" i="7"/>
  <c r="P59" i="7"/>
  <c r="L59" i="7"/>
  <c r="H59" i="7"/>
  <c r="D59" i="7"/>
  <c r="S59" i="7"/>
  <c r="O59" i="7"/>
  <c r="K59" i="7"/>
  <c r="G59" i="7"/>
  <c r="J59" i="7"/>
  <c r="F59" i="7"/>
  <c r="R59" i="7"/>
  <c r="N59" i="7"/>
  <c r="Q47" i="7"/>
  <c r="M47" i="7"/>
  <c r="I47" i="7"/>
  <c r="E47" i="7"/>
  <c r="T47" i="7"/>
  <c r="P47" i="7"/>
  <c r="L47" i="7"/>
  <c r="H47" i="7"/>
  <c r="D47" i="7"/>
  <c r="S47" i="7"/>
  <c r="K47" i="7"/>
  <c r="R47" i="7"/>
  <c r="J47" i="7"/>
  <c r="G47" i="7"/>
  <c r="F47" i="7"/>
  <c r="O47" i="7"/>
  <c r="N47" i="7"/>
  <c r="Q44" i="7"/>
  <c r="M44" i="7"/>
  <c r="I44" i="7"/>
  <c r="E44" i="7"/>
  <c r="T44" i="7"/>
  <c r="P44" i="7"/>
  <c r="L44" i="7"/>
  <c r="H44" i="7"/>
  <c r="D44" i="7"/>
  <c r="O44" i="7"/>
  <c r="G44" i="7"/>
  <c r="N44" i="7"/>
  <c r="F44" i="7"/>
  <c r="S44" i="7"/>
  <c r="R44" i="7"/>
  <c r="K44" i="7"/>
  <c r="J44" i="7"/>
  <c r="Q54" i="7"/>
  <c r="M54" i="7"/>
  <c r="I54" i="7"/>
  <c r="E54" i="7"/>
  <c r="T54" i="7"/>
  <c r="P54" i="7"/>
  <c r="L54" i="7"/>
  <c r="H54" i="7"/>
  <c r="D54" i="7"/>
  <c r="S54" i="7"/>
  <c r="O54" i="7"/>
  <c r="G54" i="7"/>
  <c r="N54" i="7"/>
  <c r="F54" i="7"/>
  <c r="K54" i="7"/>
  <c r="J54" i="7"/>
  <c r="R54" i="7"/>
  <c r="T117" i="7"/>
  <c r="P117" i="7"/>
  <c r="L117" i="7"/>
  <c r="H117" i="7"/>
  <c r="D117" i="7"/>
  <c r="S117" i="7"/>
  <c r="N117" i="7"/>
  <c r="I117" i="7"/>
  <c r="R117" i="7"/>
  <c r="K117" i="7"/>
  <c r="E117" i="7"/>
  <c r="M117" i="7"/>
  <c r="Q117" i="7"/>
  <c r="F117" i="7"/>
  <c r="O117" i="7"/>
  <c r="J117" i="7"/>
  <c r="G117" i="7"/>
  <c r="T104" i="7"/>
  <c r="P104" i="7"/>
  <c r="L104" i="7"/>
  <c r="H104" i="7"/>
  <c r="D104" i="7"/>
  <c r="S104" i="7"/>
  <c r="N104" i="7"/>
  <c r="I104" i="7"/>
  <c r="Q104" i="7"/>
  <c r="J104" i="7"/>
  <c r="O104" i="7"/>
  <c r="F104" i="7"/>
  <c r="M104" i="7"/>
  <c r="E104" i="7"/>
  <c r="R104" i="7"/>
  <c r="G104" i="7"/>
  <c r="K104" i="7"/>
  <c r="T110" i="7"/>
  <c r="P110" i="7"/>
  <c r="L110" i="7"/>
  <c r="H110" i="7"/>
  <c r="D110" i="7"/>
  <c r="O110" i="7"/>
  <c r="J110" i="7"/>
  <c r="E110" i="7"/>
  <c r="Q110" i="7"/>
  <c r="I110" i="7"/>
  <c r="S110" i="7"/>
  <c r="K110" i="7"/>
  <c r="R110" i="7"/>
  <c r="F110" i="7"/>
  <c r="N110" i="7"/>
  <c r="G110" i="7"/>
  <c r="M110" i="7"/>
  <c r="R92" i="7"/>
  <c r="N92" i="7"/>
  <c r="J92" i="7"/>
  <c r="F92" i="7"/>
  <c r="P92" i="7"/>
  <c r="K92" i="7"/>
  <c r="E92" i="7"/>
  <c r="S92" i="7"/>
  <c r="L92" i="7"/>
  <c r="D92" i="7"/>
  <c r="Q92" i="7"/>
  <c r="I92" i="7"/>
  <c r="T92" i="7"/>
  <c r="M92" i="7"/>
  <c r="G92" i="7"/>
  <c r="O92" i="7"/>
  <c r="H92" i="7"/>
  <c r="R99" i="7"/>
  <c r="N99" i="7"/>
  <c r="J99" i="7"/>
  <c r="F99" i="7"/>
  <c r="T99" i="7"/>
  <c r="O99" i="7"/>
  <c r="I99" i="7"/>
  <c r="D99" i="7"/>
  <c r="M99" i="7"/>
  <c r="G99" i="7"/>
  <c r="S99" i="7"/>
  <c r="L99" i="7"/>
  <c r="E99" i="7"/>
  <c r="P99" i="7"/>
  <c r="H99" i="7"/>
  <c r="Q99" i="7"/>
  <c r="K99" i="7"/>
  <c r="Q58" i="7"/>
  <c r="M58" i="7"/>
  <c r="I58" i="7"/>
  <c r="E58" i="7"/>
  <c r="T58" i="7"/>
  <c r="P58" i="7"/>
  <c r="L58" i="7"/>
  <c r="H58" i="7"/>
  <c r="D58" i="7"/>
  <c r="S58" i="7"/>
  <c r="O58" i="7"/>
  <c r="K58" i="7"/>
  <c r="G58" i="7"/>
  <c r="N58" i="7"/>
  <c r="J58" i="7"/>
  <c r="R58" i="7"/>
  <c r="F58" i="7"/>
  <c r="Q67" i="7"/>
  <c r="M67" i="7"/>
  <c r="I67" i="7"/>
  <c r="E67" i="7"/>
  <c r="R67" i="7"/>
  <c r="L67" i="7"/>
  <c r="G67" i="7"/>
  <c r="P67" i="7"/>
  <c r="K67" i="7"/>
  <c r="F67" i="7"/>
  <c r="T67" i="7"/>
  <c r="O67" i="7"/>
  <c r="J67" i="7"/>
  <c r="D67" i="7"/>
  <c r="H67" i="7"/>
  <c r="S67" i="7"/>
  <c r="N67" i="7"/>
  <c r="Q65" i="7"/>
  <c r="M65" i="7"/>
  <c r="I65" i="7"/>
  <c r="E65" i="7"/>
  <c r="T65" i="7"/>
  <c r="O65" i="7"/>
  <c r="J65" i="7"/>
  <c r="D65" i="7"/>
  <c r="S65" i="7"/>
  <c r="N65" i="7"/>
  <c r="H65" i="7"/>
  <c r="R65" i="7"/>
  <c r="L65" i="7"/>
  <c r="G65" i="7"/>
  <c r="F65" i="7"/>
  <c r="P65" i="7"/>
  <c r="K65" i="7"/>
  <c r="Q60" i="7"/>
  <c r="M60" i="7"/>
  <c r="I60" i="7"/>
  <c r="E60" i="7"/>
  <c r="T60" i="7"/>
  <c r="P60" i="7"/>
  <c r="L60" i="7"/>
  <c r="H60" i="7"/>
  <c r="D60" i="7"/>
  <c r="S60" i="7"/>
  <c r="O60" i="7"/>
  <c r="K60" i="7"/>
  <c r="G60" i="7"/>
  <c r="F60" i="7"/>
  <c r="R60" i="7"/>
  <c r="N60" i="7"/>
  <c r="J60" i="7"/>
  <c r="Q49" i="7"/>
  <c r="M49" i="7"/>
  <c r="I49" i="7"/>
  <c r="E49" i="7"/>
  <c r="T49" i="7"/>
  <c r="P49" i="7"/>
  <c r="L49" i="7"/>
  <c r="H49" i="7"/>
  <c r="D49" i="7"/>
  <c r="S49" i="7"/>
  <c r="K49" i="7"/>
  <c r="R49" i="7"/>
  <c r="J49" i="7"/>
  <c r="O49" i="7"/>
  <c r="N49" i="7"/>
  <c r="G49" i="7"/>
  <c r="F49" i="7"/>
  <c r="Q48" i="7"/>
  <c r="M48" i="7"/>
  <c r="I48" i="7"/>
  <c r="E48" i="7"/>
  <c r="T48" i="7"/>
  <c r="P48" i="7"/>
  <c r="L48" i="7"/>
  <c r="H48" i="7"/>
  <c r="D48" i="7"/>
  <c r="O48" i="7"/>
  <c r="G48" i="7"/>
  <c r="N48" i="7"/>
  <c r="F48" i="7"/>
  <c r="S48" i="7"/>
  <c r="R48" i="7"/>
  <c r="K48" i="7"/>
  <c r="J48" i="7"/>
  <c r="Q32" i="7"/>
  <c r="M32" i="7"/>
  <c r="I32" i="7"/>
  <c r="E32" i="7"/>
  <c r="T32" i="7"/>
  <c r="P32" i="7"/>
  <c r="L32" i="7"/>
  <c r="H32" i="7"/>
  <c r="D32" i="7"/>
  <c r="O32" i="7"/>
  <c r="G32" i="7"/>
  <c r="N32" i="7"/>
  <c r="F32" i="7"/>
  <c r="S32" i="7"/>
  <c r="K32" i="7"/>
  <c r="R32" i="7"/>
  <c r="J32" i="7"/>
  <c r="T115" i="7"/>
  <c r="P115" i="7"/>
  <c r="L115" i="7"/>
  <c r="H115" i="7"/>
  <c r="D115" i="7"/>
  <c r="Q115" i="7"/>
  <c r="K115" i="7"/>
  <c r="F115" i="7"/>
  <c r="O115" i="7"/>
  <c r="I115" i="7"/>
  <c r="N115" i="7"/>
  <c r="E115" i="7"/>
  <c r="S115" i="7"/>
  <c r="G115" i="7"/>
  <c r="R115" i="7"/>
  <c r="J115" i="7"/>
  <c r="M115" i="7"/>
  <c r="T102" i="7"/>
  <c r="P102" i="7"/>
  <c r="L102" i="7"/>
  <c r="H102" i="7"/>
  <c r="D102" i="7"/>
  <c r="Q102" i="7"/>
  <c r="K102" i="7"/>
  <c r="F102" i="7"/>
  <c r="N102" i="7"/>
  <c r="G102" i="7"/>
  <c r="R102" i="7"/>
  <c r="I102" i="7"/>
  <c r="O102" i="7"/>
  <c r="E102" i="7"/>
  <c r="S102" i="7"/>
  <c r="J102" i="7"/>
  <c r="M102" i="7"/>
  <c r="Q53" i="7"/>
  <c r="M53" i="7"/>
  <c r="I53" i="7"/>
  <c r="E53" i="7"/>
  <c r="T53" i="7"/>
  <c r="P53" i="7"/>
  <c r="L53" i="7"/>
  <c r="H53" i="7"/>
  <c r="D53" i="7"/>
  <c r="S53" i="7"/>
  <c r="K53" i="7"/>
  <c r="R53" i="7"/>
  <c r="J53" i="7"/>
  <c r="O53" i="7"/>
  <c r="N53" i="7"/>
  <c r="G53" i="7"/>
  <c r="F53" i="7"/>
  <c r="T107" i="7"/>
  <c r="P107" i="7"/>
  <c r="L107" i="7"/>
  <c r="H107" i="7"/>
  <c r="D107" i="7"/>
  <c r="S107" i="7"/>
  <c r="N107" i="7"/>
  <c r="I107" i="7"/>
  <c r="R107" i="7"/>
  <c r="K107" i="7"/>
  <c r="E107" i="7"/>
  <c r="Q107" i="7"/>
  <c r="G107" i="7"/>
  <c r="M107" i="7"/>
  <c r="J107" i="7"/>
  <c r="O107" i="7"/>
  <c r="F107" i="7"/>
  <c r="Q46" i="7"/>
  <c r="M46" i="7"/>
  <c r="I46" i="7"/>
  <c r="E46" i="7"/>
  <c r="T46" i="7"/>
  <c r="P46" i="7"/>
  <c r="L46" i="7"/>
  <c r="H46" i="7"/>
  <c r="D46" i="7"/>
  <c r="O46" i="7"/>
  <c r="G46" i="7"/>
  <c r="N46" i="7"/>
  <c r="F46" i="7"/>
  <c r="K46" i="7"/>
  <c r="J46" i="7"/>
  <c r="S46" i="7"/>
  <c r="R46" i="7"/>
  <c r="T101" i="7"/>
  <c r="P101" i="7"/>
  <c r="L101" i="7"/>
  <c r="O101" i="7"/>
  <c r="J101" i="7"/>
  <c r="F101" i="7"/>
  <c r="S101" i="7"/>
  <c r="M101" i="7"/>
  <c r="G101" i="7"/>
  <c r="R101" i="7"/>
  <c r="I101" i="7"/>
  <c r="Q101" i="7"/>
  <c r="H101" i="7"/>
  <c r="K101" i="7"/>
  <c r="D101" i="7"/>
  <c r="E101" i="7"/>
  <c r="N101" i="7"/>
  <c r="T111" i="7"/>
  <c r="P111" i="7"/>
  <c r="L111" i="7"/>
  <c r="H111" i="7"/>
  <c r="D111" i="7"/>
  <c r="Q111" i="7"/>
  <c r="K111" i="7"/>
  <c r="F111" i="7"/>
  <c r="R111" i="7"/>
  <c r="J111" i="7"/>
  <c r="S111" i="7"/>
  <c r="I111" i="7"/>
  <c r="M111" i="7"/>
  <c r="O111" i="7"/>
  <c r="N111" i="7"/>
  <c r="E111" i="7"/>
  <c r="G111" i="7"/>
  <c r="T108" i="7"/>
  <c r="P108" i="7"/>
  <c r="L108" i="7"/>
  <c r="H108" i="7"/>
  <c r="D108" i="7"/>
  <c r="O108" i="7"/>
  <c r="J108" i="7"/>
  <c r="E108" i="7"/>
  <c r="S108" i="7"/>
  <c r="M108" i="7"/>
  <c r="F108" i="7"/>
  <c r="Q108" i="7"/>
  <c r="G108" i="7"/>
  <c r="R108" i="7"/>
  <c r="N108" i="7"/>
  <c r="I108" i="7"/>
  <c r="K108" i="7"/>
  <c r="T125" i="7"/>
  <c r="P125" i="7"/>
  <c r="L125" i="7"/>
  <c r="H125" i="7"/>
  <c r="D125" i="7"/>
  <c r="S125" i="7"/>
  <c r="N125" i="7"/>
  <c r="I125" i="7"/>
  <c r="O125" i="7"/>
  <c r="G125" i="7"/>
  <c r="M125" i="7"/>
  <c r="E125" i="7"/>
  <c r="J125" i="7"/>
  <c r="F125" i="7"/>
  <c r="R125" i="7"/>
  <c r="K125" i="7"/>
  <c r="Q125" i="7"/>
  <c r="Q71" i="7"/>
  <c r="M71" i="7"/>
  <c r="I71" i="7"/>
  <c r="E71" i="7"/>
  <c r="S71" i="7"/>
  <c r="N71" i="7"/>
  <c r="H71" i="7"/>
  <c r="P71" i="7"/>
  <c r="J71" i="7"/>
  <c r="O71" i="7"/>
  <c r="G71" i="7"/>
  <c r="T71" i="7"/>
  <c r="L71" i="7"/>
  <c r="F71" i="7"/>
  <c r="R71" i="7"/>
  <c r="K71" i="7"/>
  <c r="D71" i="7"/>
  <c r="Q66" i="7"/>
  <c r="M66" i="7"/>
  <c r="I66" i="7"/>
  <c r="E66" i="7"/>
  <c r="P66" i="7"/>
  <c r="K66" i="7"/>
  <c r="F66" i="7"/>
  <c r="T66" i="7"/>
  <c r="O66" i="7"/>
  <c r="J66" i="7"/>
  <c r="D66" i="7"/>
  <c r="S66" i="7"/>
  <c r="N66" i="7"/>
  <c r="H66" i="7"/>
  <c r="G66" i="7"/>
  <c r="R66" i="7"/>
  <c r="L66" i="7"/>
  <c r="Q43" i="7"/>
  <c r="M43" i="7"/>
  <c r="I43" i="7"/>
  <c r="E43" i="7"/>
  <c r="T43" i="7"/>
  <c r="P43" i="7"/>
  <c r="L43" i="7"/>
  <c r="H43" i="7"/>
  <c r="D43" i="7"/>
  <c r="S43" i="7"/>
  <c r="K43" i="7"/>
  <c r="R43" i="7"/>
  <c r="J43" i="7"/>
  <c r="G43" i="7"/>
  <c r="F43" i="7"/>
  <c r="O43" i="7"/>
  <c r="N43" i="7"/>
  <c r="Q35" i="7"/>
  <c r="M35" i="7"/>
  <c r="I35" i="7"/>
  <c r="E35" i="7"/>
  <c r="T35" i="7"/>
  <c r="P35" i="7"/>
  <c r="L35" i="7"/>
  <c r="H35" i="7"/>
  <c r="D35" i="7"/>
  <c r="S35" i="7"/>
  <c r="K35" i="7"/>
  <c r="R35" i="7"/>
  <c r="J35" i="7"/>
  <c r="O35" i="7"/>
  <c r="G35" i="7"/>
  <c r="N35" i="7"/>
  <c r="F35" i="7"/>
  <c r="Q34" i="7"/>
  <c r="M34" i="7"/>
  <c r="I34" i="7"/>
  <c r="E34" i="7"/>
  <c r="T34" i="7"/>
  <c r="P34" i="7"/>
  <c r="L34" i="7"/>
  <c r="H34" i="7"/>
  <c r="D34" i="7"/>
  <c r="O34" i="7"/>
  <c r="G34" i="7"/>
  <c r="N34" i="7"/>
  <c r="F34" i="7"/>
  <c r="S34" i="7"/>
  <c r="K34" i="7"/>
  <c r="R34" i="7"/>
  <c r="J34" i="7"/>
  <c r="R94" i="7"/>
  <c r="N94" i="7"/>
  <c r="J94" i="7"/>
  <c r="F94" i="7"/>
  <c r="S94" i="7"/>
  <c r="M94" i="7"/>
  <c r="H94" i="7"/>
  <c r="O94" i="7"/>
  <c r="G94" i="7"/>
  <c r="T94" i="7"/>
  <c r="L94" i="7"/>
  <c r="E94" i="7"/>
  <c r="P94" i="7"/>
  <c r="I94" i="7"/>
  <c r="D94" i="7"/>
  <c r="Q94" i="7"/>
  <c r="K94" i="7"/>
  <c r="T118" i="7"/>
  <c r="P118" i="7"/>
  <c r="L118" i="7"/>
  <c r="H118" i="7"/>
  <c r="D118" i="7"/>
  <c r="O118" i="7"/>
  <c r="J118" i="7"/>
  <c r="E118" i="7"/>
  <c r="S118" i="7"/>
  <c r="M118" i="7"/>
  <c r="F118" i="7"/>
  <c r="K118" i="7"/>
  <c r="I118" i="7"/>
  <c r="N118" i="7"/>
  <c r="G118" i="7"/>
  <c r="Q118" i="7"/>
  <c r="R118" i="7"/>
</calcChain>
</file>

<file path=xl/sharedStrings.xml><?xml version="1.0" encoding="utf-8"?>
<sst xmlns="http://schemas.openxmlformats.org/spreadsheetml/2006/main" count="224" uniqueCount="89">
  <si>
    <t>timestamp</t>
  </si>
  <si>
    <t>atmospheric_pressture</t>
  </si>
  <si>
    <t>battery_percentage</t>
  </si>
  <si>
    <t>bright_unit_convert</t>
  </si>
  <si>
    <t>dew_point_temp</t>
  </si>
  <si>
    <t>feellike_temp</t>
  </si>
  <si>
    <t>heat_index</t>
  </si>
  <si>
    <t>humidity_outdoor</t>
  </si>
  <si>
    <t>humidity_outdoor_1</t>
  </si>
  <si>
    <t>humidity_outdoor_2</t>
  </si>
  <si>
    <t>humidity_outdoor_3</t>
  </si>
  <si>
    <t>humidity_value</t>
  </si>
  <si>
    <t>pressure_drop</t>
  </si>
  <si>
    <t>pressure_unit_convert</t>
  </si>
  <si>
    <t>rain_1h</t>
  </si>
  <si>
    <t>rain_24h</t>
  </si>
  <si>
    <t>rain_rate</t>
  </si>
  <si>
    <t>rain_unit_convert</t>
  </si>
  <si>
    <t>temp_current</t>
  </si>
  <si>
    <t>temp_current_external</t>
  </si>
  <si>
    <t>temp_current_external_1</t>
  </si>
  <si>
    <t>temp_current_external_2</t>
  </si>
  <si>
    <t>temp_current_external_3</t>
  </si>
  <si>
    <t>temp_unit_convert</t>
  </si>
  <si>
    <t>uv_index</t>
  </si>
  <si>
    <t>windchill_index</t>
  </si>
  <si>
    <t>windspeed_avg</t>
  </si>
  <si>
    <t>windspeed_gust</t>
  </si>
  <si>
    <t>windspeed_unit_convert</t>
  </si>
  <si>
    <t>2026-07-11 18:39:26</t>
  </si>
  <si>
    <t>klux</t>
  </si>
  <si>
    <t>hpa</t>
  </si>
  <si>
    <t>mm</t>
  </si>
  <si>
    <t>c</t>
  </si>
  <si>
    <t>kmph</t>
  </si>
  <si>
    <t>2026-07-11 19:02:51</t>
  </si>
  <si>
    <t>Valores Diários</t>
  </si>
  <si>
    <t>ÚLTIMA LEITURA</t>
  </si>
  <si>
    <t>Temperatura</t>
  </si>
  <si>
    <t>Umidade ext.</t>
  </si>
  <si>
    <t>Pressão</t>
  </si>
  <si>
    <t>Chuva 24h</t>
  </si>
  <si>
    <t>Vento méd.</t>
  </si>
  <si>
    <t>Bateria</t>
  </si>
  <si>
    <t>Valores Semanais</t>
  </si>
  <si>
    <t>Valores Mensais</t>
  </si>
  <si>
    <t>Valores Anuais</t>
  </si>
  <si>
    <t>Valores Totais</t>
  </si>
  <si>
    <t>A1=último ts | B1=última data | C1=primeira data | Médias ignoram leituras &lt;= -50 (sensor desconectado)</t>
  </si>
  <si>
    <t>rótulo</t>
  </si>
  <si>
    <t>critério</t>
  </si>
  <si>
    <t>data</t>
  </si>
  <si>
    <t>00h</t>
  </si>
  <si>
    <t>01h</t>
  </si>
  <si>
    <t>02h</t>
  </si>
  <si>
    <t>03h</t>
  </si>
  <si>
    <t>04h</t>
  </si>
  <si>
    <t>05h</t>
  </si>
  <si>
    <t>06h</t>
  </si>
  <si>
    <t>07h</t>
  </si>
  <si>
    <t>08h</t>
  </si>
  <si>
    <t>09h</t>
  </si>
  <si>
    <t>10h</t>
  </si>
  <si>
    <t>11h</t>
  </si>
  <si>
    <t>12h</t>
  </si>
  <si>
    <t>13h</t>
  </si>
  <si>
    <t>14h</t>
  </si>
  <si>
    <t>15h</t>
  </si>
  <si>
    <t>16h</t>
  </si>
  <si>
    <t>17h</t>
  </si>
  <si>
    <t>18h</t>
  </si>
  <si>
    <t>19h</t>
  </si>
  <si>
    <t>20h</t>
  </si>
  <si>
    <t>21h</t>
  </si>
  <si>
    <t>22h</t>
  </si>
  <si>
    <t>23h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</si>
  <si>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</si>
  <si>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</si>
  <si>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</si>
  <si>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</si>
  <si>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</si>
  <si>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</si>
  <si>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</si>
  <si>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</si>
  <si>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</si>
  <si>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</si>
  <si>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</si>
  <si>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</si>
  <si>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2026-07-11 20:05:35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</si>
</sst>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8"/>
      <color rgb="FF1F2937"/>
      <name val="Arial"/>
      <charset val="1"/>
    </font>
    <font>
      <sz val="10"/>
      <color rgb="FF6B7280"/>
      <name val="Arial"/>
      <charset val="1"/>
    </font>
    <font>
      <b/>
      <sz val="8"/>
      <color rgb="FF6B7280"/>
      <name val="Arial"/>
      <charset val="1"/>
    </font>
    <font>
      <sz val="8"/>
      <color rgb="FF6B7280"/>
      <name val="Arial"/>
      <charset val="1"/>
    </font>
    <font>
      <b/>
      <sz val="13"/>
      <color rgb="FF1F2937"/>
      <name val="Arial"/>
      <charset val="1"/>
    </font>
    <font>
      <sz val="9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2" xfId="0" applyFont="1" applyFill="1" applyBorder="1"/>
    <xf numFmtId="0" fontId="0" fillId="3" borderId="2" xfId="0" applyFill="1" applyBorder="1"/>
    <xf numFmtId="164" fontId="6" fillId="3" borderId="2" xfId="0" applyNumberFormat="1" applyFont="1" applyFill="1" applyBorder="1"/>
    <xf numFmtId="165" fontId="6" fillId="3" borderId="2" xfId="0" applyNumberFormat="1" applyFont="1" applyFill="1" applyBorder="1"/>
    <xf numFmtId="166" fontId="6" fillId="3" borderId="2" xfId="0" applyNumberFormat="1" applyFont="1" applyFill="1" applyBorder="1"/>
    <xf numFmtId="167" fontId="6" fillId="3" borderId="2" xfId="0" applyNumberFormat="1" applyFont="1" applyFill="1" applyBorder="1"/>
    <xf numFmtId="168" fontId="6" fillId="3" borderId="2" xfId="0" applyNumberFormat="1" applyFont="1" applyFill="1" applyBorder="1"/>
    <xf numFmtId="0" fontId="7" fillId="0" borderId="0" xfId="0" applyFont="1"/>
    <xf numFmtId="169" fontId="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D63031"/>
              </a:solidFill>
              <a:round/>
            </a:ln>
          </c:spPr>
          <c:marker>
            <c:symbol val="circle"/>
            <c:size val="4"/>
            <c:spPr>
              <a:solidFill>
                <a:srgbClr val="D630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Cálculos!$D$5:$D$28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15.4</c:v>
                </c:pt>
                <c:pt idx="19">
                  <c:v>15.3</c:v>
                </c:pt>
                <c:pt idx="20">
                  <c:v>15.2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8-402D-8872-1FFED69D1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3146581"/>
        <c:axId val="63774228"/>
      </c:lineChart>
      <c:catAx>
        <c:axId val="231465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3774228"/>
        <c:crosses val="autoZero"/>
        <c:auto val="1"/>
        <c:lblAlgn val="ctr"/>
        <c:lblOffset val="100"/>
        <c:noMultiLvlLbl val="0"/>
      </c:catAx>
      <c:valAx>
        <c:axId val="637742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31465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17055"/>
              </a:solidFill>
              <a:round/>
            </a:ln>
          </c:spPr>
          <c:marker>
            <c:symbol val="circle"/>
            <c:size val="4"/>
            <c:spPr>
              <a:solidFill>
                <a:srgbClr val="E1705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Cálculos!$E$5:$E$28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14.9</c:v>
                </c:pt>
                <c:pt idx="19">
                  <c:v>14.6</c:v>
                </c:pt>
                <c:pt idx="20">
                  <c:v>14.6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4F-494A-986F-D678C3CF5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5422635"/>
        <c:axId val="67546742"/>
      </c:lineChart>
      <c:catAx>
        <c:axId val="754226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7546742"/>
        <c:crosses val="autoZero"/>
        <c:auto val="1"/>
        <c:lblAlgn val="ctr"/>
        <c:lblOffset val="100"/>
        <c:noMultiLvlLbl val="0"/>
      </c:catAx>
      <c:valAx>
        <c:axId val="675467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54226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84393"/>
              </a:solidFill>
              <a:round/>
            </a:ln>
          </c:spPr>
          <c:marker>
            <c:symbol val="circle"/>
            <c:size val="4"/>
            <c:spPr>
              <a:solidFill>
                <a:srgbClr val="E8439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Cálculos!$F$5:$F$28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15.6</c:v>
                </c:pt>
                <c:pt idx="19">
                  <c:v>15.1</c:v>
                </c:pt>
                <c:pt idx="20">
                  <c:v>15.5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0-4CAC-82E6-FC10B3DD4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3675757"/>
        <c:axId val="38103792"/>
      </c:lineChart>
      <c:catAx>
        <c:axId val="436757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8103792"/>
        <c:crosses val="autoZero"/>
        <c:auto val="1"/>
        <c:lblAlgn val="ctr"/>
        <c:lblOffset val="100"/>
        <c:noMultiLvlLbl val="0"/>
      </c:catAx>
      <c:valAx>
        <c:axId val="381037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36757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D79A8"/>
              </a:solidFill>
              <a:round/>
            </a:ln>
          </c:spPr>
          <c:marker>
            <c:symbol val="circle"/>
            <c:size val="4"/>
            <c:spPr>
              <a:solidFill>
                <a:srgbClr val="FD79A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Cálculos!$G$5:$G$28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14.9</c:v>
                </c:pt>
                <c:pt idx="19">
                  <c:v>14.6</c:v>
                </c:pt>
                <c:pt idx="20">
                  <c:v>14.6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2-47CB-B126-BF9292A6E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182246"/>
        <c:axId val="39667053"/>
      </c:lineChart>
      <c:catAx>
        <c:axId val="151822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9667053"/>
        <c:crosses val="autoZero"/>
        <c:auto val="1"/>
        <c:lblAlgn val="ctr"/>
        <c:lblOffset val="100"/>
        <c:noMultiLvlLbl val="0"/>
      </c:catAx>
      <c:valAx>
        <c:axId val="396670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51822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A29BFE"/>
              </a:solidFill>
              <a:round/>
            </a:ln>
          </c:spPr>
          <c:marker>
            <c:symbol val="circle"/>
            <c:size val="4"/>
            <c:spPr>
              <a:solidFill>
                <a:srgbClr val="A29BF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Cálculos!$H$5:$H$28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9.6999999999999993</c:v>
                </c:pt>
                <c:pt idx="19">
                  <c:v>9.6999999999999993</c:v>
                </c:pt>
                <c:pt idx="20">
                  <c:v>9.6999999999999993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1C-4B5D-8BC5-87892E980E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4016166"/>
        <c:axId val="13595707"/>
      </c:lineChart>
      <c:catAx>
        <c:axId val="340161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3595707"/>
        <c:crosses val="autoZero"/>
        <c:auto val="1"/>
        <c:lblAlgn val="ctr"/>
        <c:lblOffset val="100"/>
        <c:noMultiLvlLbl val="0"/>
      </c:catAx>
      <c:valAx>
        <c:axId val="135957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40161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F7675"/>
              </a:solidFill>
              <a:round/>
            </a:ln>
          </c:spPr>
          <c:marker>
            <c:symbol val="circle"/>
            <c:size val="4"/>
            <c:spPr>
              <a:solidFill>
                <a:srgbClr val="FF767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Cálculos!$I$5:$I$28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13.9</c:v>
                </c:pt>
                <c:pt idx="19">
                  <c:v>13.7</c:v>
                </c:pt>
                <c:pt idx="20">
                  <c:v>13.9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F2-45ED-BDA8-36A660ED6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2525615"/>
        <c:axId val="78003439"/>
      </c:lineChart>
      <c:catAx>
        <c:axId val="72525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8003439"/>
        <c:crosses val="autoZero"/>
        <c:auto val="1"/>
        <c:lblAlgn val="ctr"/>
        <c:lblOffset val="100"/>
        <c:noMultiLvlLbl val="0"/>
      </c:catAx>
      <c:valAx>
        <c:axId val="780034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25256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984E3"/>
              </a:solidFill>
              <a:round/>
            </a:ln>
          </c:spPr>
          <c:marker>
            <c:symbol val="circle"/>
            <c:size val="4"/>
            <c:spPr>
              <a:solidFill>
                <a:srgbClr val="0984E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Cálculos!$J$5:$J$28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94</c:v>
                </c:pt>
                <c:pt idx="19">
                  <c:v>95</c:v>
                </c:pt>
                <c:pt idx="20">
                  <c:v>96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F-4750-8EA1-EEF6E6D99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5191369"/>
        <c:axId val="94742419"/>
      </c:lineChart>
      <c:catAx>
        <c:axId val="651913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4742419"/>
        <c:crosses val="autoZero"/>
        <c:auto val="1"/>
        <c:lblAlgn val="ctr"/>
        <c:lblOffset val="100"/>
        <c:noMultiLvlLbl val="0"/>
      </c:catAx>
      <c:valAx>
        <c:axId val="947424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51913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4B9FF"/>
              </a:solidFill>
              <a:round/>
            </a:ln>
          </c:spPr>
          <c:marker>
            <c:symbol val="circle"/>
            <c:size val="4"/>
            <c:spPr>
              <a:solidFill>
                <a:srgbClr val="74B9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Cálculos!$K$5:$K$28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86</c:v>
                </c:pt>
                <c:pt idx="19">
                  <c:v>86</c:v>
                </c:pt>
                <c:pt idx="20">
                  <c:v>87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C-43BB-9C73-137B12B1A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2643740"/>
        <c:axId val="61207359"/>
      </c:lineChart>
      <c:catAx>
        <c:axId val="626437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1207359"/>
        <c:crosses val="autoZero"/>
        <c:auto val="1"/>
        <c:lblAlgn val="ctr"/>
        <c:lblOffset val="100"/>
        <c:noMultiLvlLbl val="0"/>
      </c:catAx>
      <c:valAx>
        <c:axId val="612073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26437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6C5CE7"/>
              </a:solidFill>
              <a:round/>
            </a:ln>
          </c:spPr>
          <c:marker>
            <c:symbol val="circle"/>
            <c:size val="4"/>
            <c:spPr>
              <a:solidFill>
                <a:srgbClr val="6C5CE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Cálculos!$L$5:$L$28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995</c:v>
                </c:pt>
                <c:pt idx="19">
                  <c:v>995</c:v>
                </c:pt>
                <c:pt idx="20">
                  <c:v>995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7D-45D0-AB5B-8AFCDD562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251427"/>
        <c:axId val="53344331"/>
      </c:lineChart>
      <c:catAx>
        <c:axId val="912514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3344331"/>
        <c:crosses val="autoZero"/>
        <c:auto val="1"/>
        <c:lblAlgn val="ctr"/>
        <c:lblOffset val="100"/>
        <c:noMultiLvlLbl val="0"/>
      </c:catAx>
      <c:valAx>
        <c:axId val="533443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12514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8E7CF3"/>
              </a:solidFill>
              <a:round/>
            </a:ln>
          </c:spPr>
          <c:marker>
            <c:symbol val="circle"/>
            <c:size val="4"/>
            <c:spPr>
              <a:solidFill>
                <a:srgbClr val="8E7CF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Cálculos!$M$5:$M$28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995</c:v>
                </c:pt>
                <c:pt idx="19">
                  <c:v>995</c:v>
                </c:pt>
                <c:pt idx="20">
                  <c:v>995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7E-47A9-A9CB-92A1BE955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9837244"/>
        <c:axId val="99784354"/>
      </c:lineChart>
      <c:catAx>
        <c:axId val="598372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9784354"/>
        <c:crosses val="autoZero"/>
        <c:auto val="1"/>
        <c:lblAlgn val="ctr"/>
        <c:lblOffset val="100"/>
        <c:noMultiLvlLbl val="0"/>
      </c:catAx>
      <c:valAx>
        <c:axId val="997843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9837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B5ED7"/>
            </a:solidFill>
            <a:ln w="21960">
              <a:solidFill>
                <a:srgbClr val="0B5ED7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Cálculos!$N$5:$N$28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20-4A87-9DA9-E56819DFB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72409114"/>
        <c:axId val="90986397"/>
      </c:barChart>
      <c:catAx>
        <c:axId val="724091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0986397"/>
        <c:crosses val="autoZero"/>
        <c:auto val="1"/>
        <c:lblAlgn val="ctr"/>
        <c:lblOffset val="100"/>
        <c:noMultiLvlLbl val="0"/>
      </c:catAx>
      <c:valAx>
        <c:axId val="909863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24091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E86DE"/>
            </a:solidFill>
            <a:ln w="21960">
              <a:solidFill>
                <a:srgbClr val="2E86DE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Cálculos!$O$5:$O$28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11.7</c:v>
                </c:pt>
                <c:pt idx="19">
                  <c:v>11.7</c:v>
                </c:pt>
                <c:pt idx="20">
                  <c:v>11.7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53-46BB-A278-8B72A0D93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3547076"/>
        <c:axId val="83386413"/>
      </c:barChart>
      <c:catAx>
        <c:axId val="135470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3386413"/>
        <c:crosses val="autoZero"/>
        <c:auto val="1"/>
        <c:lblAlgn val="ctr"/>
        <c:lblOffset val="100"/>
        <c:noMultiLvlLbl val="0"/>
      </c:catAx>
      <c:valAx>
        <c:axId val="833864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35470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4A0FF"/>
            </a:solidFill>
            <a:ln w="21960">
              <a:solidFill>
                <a:srgbClr val="54A0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Cálculos!$P$5:$P$28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0.6</c:v>
                </c:pt>
                <c:pt idx="19">
                  <c:v>0.4</c:v>
                </c:pt>
                <c:pt idx="20">
                  <c:v>0.4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97-4A11-8F58-D4764935B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72630660"/>
        <c:axId val="74263902"/>
      </c:barChart>
      <c:catAx>
        <c:axId val="72630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4263902"/>
        <c:crosses val="autoZero"/>
        <c:auto val="1"/>
        <c:lblAlgn val="ctr"/>
        <c:lblOffset val="100"/>
        <c:noMultiLvlLbl val="0"/>
      </c:catAx>
      <c:valAx>
        <c:axId val="742639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26306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CEC9"/>
              </a:solidFill>
              <a:round/>
            </a:ln>
          </c:spPr>
          <c:marker>
            <c:symbol val="circle"/>
            <c:size val="4"/>
            <c:spPr>
              <a:solidFill>
                <a:srgbClr val="00CEC9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Cálculos!$Q$5:$Q$28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3.4</c:v>
                </c:pt>
                <c:pt idx="19">
                  <c:v>5.4</c:v>
                </c:pt>
                <c:pt idx="20">
                  <c:v>4.5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E2-438A-9B8E-3CA7152A8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5726660"/>
        <c:axId val="80204441"/>
      </c:lineChart>
      <c:catAx>
        <c:axId val="65726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0204441"/>
        <c:crosses val="autoZero"/>
        <c:auto val="1"/>
        <c:lblAlgn val="ctr"/>
        <c:lblOffset val="100"/>
        <c:noMultiLvlLbl val="0"/>
      </c:catAx>
      <c:valAx>
        <c:axId val="802044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57266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B894"/>
              </a:solidFill>
              <a:round/>
            </a:ln>
          </c:spPr>
          <c:marker>
            <c:symbol val="circle"/>
            <c:size val="4"/>
            <c:spPr>
              <a:solidFill>
                <a:srgbClr val="00B89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Cálculos!$R$5:$R$28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6.6</c:v>
                </c:pt>
                <c:pt idx="19">
                  <c:v>5.3</c:v>
                </c:pt>
                <c:pt idx="20">
                  <c:v>4.5999999999999996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6F-422B-9CCA-8105908C9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9334219"/>
        <c:axId val="10072830"/>
      </c:lineChart>
      <c:catAx>
        <c:axId val="693342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0072830"/>
        <c:crosses val="autoZero"/>
        <c:auto val="1"/>
        <c:lblAlgn val="ctr"/>
        <c:lblOffset val="100"/>
        <c:noMultiLvlLbl val="0"/>
      </c:catAx>
      <c:valAx>
        <c:axId val="100728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93342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67E22"/>
              </a:solidFill>
              <a:round/>
            </a:ln>
          </c:spPr>
          <c:marker>
            <c:symbol val="circle"/>
            <c:size val="4"/>
            <c:spPr>
              <a:solidFill>
                <a:srgbClr val="E67E2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Cálculos!$S$5:$S$28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11-4222-9D77-77EF88E4D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080136"/>
        <c:axId val="89058385"/>
      </c:lineChart>
      <c:catAx>
        <c:axId val="5080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9058385"/>
        <c:crosses val="autoZero"/>
        <c:auto val="1"/>
        <c:lblAlgn val="ctr"/>
        <c:lblOffset val="100"/>
        <c:noMultiLvlLbl val="0"/>
      </c:catAx>
      <c:valAx>
        <c:axId val="890583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0801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27AE60"/>
              </a:solidFill>
              <a:round/>
            </a:ln>
          </c:spPr>
          <c:marker>
            <c:symbol val="circle"/>
            <c:size val="4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Cálculos!$A$5:$A$28</c:f>
              <c:strCache>
                <c:ptCount val="24"/>
                <c:pt idx="0">
                  <c:v>00h</c:v>
                </c:pt>
                <c:pt idx="1">
                  <c:v>01h</c:v>
                </c:pt>
                <c:pt idx="2">
                  <c:v>02h</c:v>
                </c:pt>
                <c:pt idx="3">
                  <c:v>03h</c:v>
                </c:pt>
                <c:pt idx="4">
                  <c:v>04h</c:v>
                </c:pt>
                <c:pt idx="5">
                  <c:v>05h</c:v>
                </c:pt>
                <c:pt idx="6">
                  <c:v>06h</c:v>
                </c:pt>
                <c:pt idx="7">
                  <c:v>07h</c:v>
                </c:pt>
                <c:pt idx="8">
                  <c:v>08h</c:v>
                </c:pt>
                <c:pt idx="9">
                  <c:v>09h</c:v>
                </c:pt>
                <c:pt idx="10">
                  <c:v>10h</c:v>
                </c:pt>
                <c:pt idx="11">
                  <c:v>11h</c:v>
                </c:pt>
                <c:pt idx="12">
                  <c:v>12h</c:v>
                </c:pt>
                <c:pt idx="13">
                  <c:v>13h</c:v>
                </c:pt>
                <c:pt idx="14">
                  <c:v>14h</c:v>
                </c:pt>
                <c:pt idx="15">
                  <c:v>15h</c:v>
                </c:pt>
                <c:pt idx="16">
                  <c:v>16h</c:v>
                </c:pt>
                <c:pt idx="17">
                  <c:v>17h</c:v>
                </c:pt>
                <c:pt idx="18">
                  <c:v>18h</c:v>
                </c:pt>
                <c:pt idx="19">
                  <c:v>19h</c:v>
                </c:pt>
                <c:pt idx="20">
                  <c:v>20h</c:v>
                </c:pt>
                <c:pt idx="21">
                  <c:v>21h</c:v>
                </c:pt>
                <c:pt idx="22">
                  <c:v>22h</c:v>
                </c:pt>
                <c:pt idx="23">
                  <c:v>23h</c:v>
                </c:pt>
              </c:strCache>
            </c:strRef>
          </c:cat>
          <c:val>
            <c:numRef>
              <c:f>Cálculos!$T$5:$T$28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D1-42A3-9780-33542585C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3954924"/>
        <c:axId val="47458085"/>
      </c:lineChart>
      <c:catAx>
        <c:axId val="73954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7458085"/>
        <c:crosses val="autoZero"/>
        <c:auto val="1"/>
        <c:lblAlgn val="ctr"/>
        <c:lblOffset val="100"/>
        <c:noMultiLvlLbl val="0"/>
      </c:catAx>
      <c:valAx>
        <c:axId val="47458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39549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D63031"/>
              </a:solidFill>
              <a:round/>
            </a:ln>
          </c:spPr>
          <c:marker>
            <c:symbol val="circle"/>
            <c:size val="4"/>
            <c:spPr>
              <a:solidFill>
                <a:srgbClr val="D630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Cálculos!$D$32:$D$38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15.300000000000002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99-4454-BD2F-6C4D515BC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1565943"/>
        <c:axId val="37115528"/>
      </c:lineChart>
      <c:catAx>
        <c:axId val="51565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7115528"/>
        <c:crosses val="autoZero"/>
        <c:auto val="1"/>
        <c:lblAlgn val="ctr"/>
        <c:lblOffset val="100"/>
        <c:noMultiLvlLbl val="0"/>
      </c:catAx>
      <c:valAx>
        <c:axId val="37115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15659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17055"/>
              </a:solidFill>
              <a:round/>
            </a:ln>
          </c:spPr>
          <c:marker>
            <c:symbol val="circle"/>
            <c:size val="4"/>
            <c:spPr>
              <a:solidFill>
                <a:srgbClr val="E1705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Cálculos!$E$32:$E$38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14.700000000000001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AD-4E10-B72A-3402377DD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3637291"/>
        <c:axId val="57348907"/>
      </c:lineChart>
      <c:catAx>
        <c:axId val="836372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7348907"/>
        <c:crosses val="autoZero"/>
        <c:auto val="1"/>
        <c:lblAlgn val="ctr"/>
        <c:lblOffset val="100"/>
        <c:noMultiLvlLbl val="0"/>
      </c:catAx>
      <c:valAx>
        <c:axId val="573489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36372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84393"/>
              </a:solidFill>
              <a:round/>
            </a:ln>
          </c:spPr>
          <c:marker>
            <c:symbol val="circle"/>
            <c:size val="4"/>
            <c:spPr>
              <a:solidFill>
                <a:srgbClr val="E8439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Cálculos!$F$32:$F$38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17-40BA-B9FE-536870605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8249295"/>
        <c:axId val="18335868"/>
      </c:lineChart>
      <c:catAx>
        <c:axId val="28249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8335868"/>
        <c:crosses val="autoZero"/>
        <c:auto val="1"/>
        <c:lblAlgn val="ctr"/>
        <c:lblOffset val="100"/>
        <c:noMultiLvlLbl val="0"/>
      </c:catAx>
      <c:valAx>
        <c:axId val="183358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82492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D79A8"/>
              </a:solidFill>
              <a:round/>
            </a:ln>
          </c:spPr>
          <c:marker>
            <c:symbol val="circle"/>
            <c:size val="4"/>
            <c:spPr>
              <a:solidFill>
                <a:srgbClr val="FD79A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Cálculos!$G$32:$G$38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14.700000000000001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F-4FE3-B2C7-0182F6044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431846"/>
        <c:axId val="26969619"/>
      </c:lineChart>
      <c:catAx>
        <c:axId val="24318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6969619"/>
        <c:crosses val="autoZero"/>
        <c:auto val="1"/>
        <c:lblAlgn val="ctr"/>
        <c:lblOffset val="100"/>
        <c:noMultiLvlLbl val="0"/>
      </c:catAx>
      <c:valAx>
        <c:axId val="269696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4318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A29BFE"/>
              </a:solidFill>
              <a:round/>
            </a:ln>
          </c:spPr>
          <c:marker>
            <c:symbol val="circle"/>
            <c:size val="4"/>
            <c:spPr>
              <a:solidFill>
                <a:srgbClr val="A29BF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Cálculos!$H$32:$H$38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69-4D3A-9DBF-B99546042D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0299338"/>
        <c:axId val="99998607"/>
      </c:lineChart>
      <c:catAx>
        <c:axId val="302993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9998607"/>
        <c:crosses val="autoZero"/>
        <c:auto val="1"/>
        <c:lblAlgn val="ctr"/>
        <c:lblOffset val="100"/>
        <c:noMultiLvlLbl val="0"/>
      </c:catAx>
      <c:valAx>
        <c:axId val="99998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02993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F7675"/>
              </a:solidFill>
              <a:round/>
            </a:ln>
          </c:spPr>
          <c:marker>
            <c:symbol val="circle"/>
            <c:size val="4"/>
            <c:spPr>
              <a:solidFill>
                <a:srgbClr val="FF767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Cálculos!$I$32:$I$38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13.833333333333334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AA-47E8-8B4C-370F0EDDE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9681690"/>
        <c:axId val="96753323"/>
      </c:lineChart>
      <c:catAx>
        <c:axId val="996816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6753323"/>
        <c:crosses val="autoZero"/>
        <c:auto val="1"/>
        <c:lblAlgn val="ctr"/>
        <c:lblOffset val="100"/>
        <c:noMultiLvlLbl val="0"/>
      </c:catAx>
      <c:valAx>
        <c:axId val="96753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96816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984E3"/>
              </a:solidFill>
              <a:round/>
            </a:ln>
          </c:spPr>
          <c:marker>
            <c:symbol val="circle"/>
            <c:size val="4"/>
            <c:spPr>
              <a:solidFill>
                <a:srgbClr val="0984E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Cálculos!$J$32:$J$38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0A-4B65-81C3-06E24562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6450072"/>
        <c:axId val="47210771"/>
      </c:lineChart>
      <c:catAx>
        <c:axId val="26450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7210771"/>
        <c:crosses val="autoZero"/>
        <c:auto val="1"/>
        <c:lblAlgn val="ctr"/>
        <c:lblOffset val="100"/>
        <c:noMultiLvlLbl val="0"/>
      </c:catAx>
      <c:valAx>
        <c:axId val="472107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64500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4B9FF"/>
              </a:solidFill>
              <a:round/>
            </a:ln>
          </c:spPr>
          <c:marker>
            <c:symbol val="circle"/>
            <c:size val="4"/>
            <c:spPr>
              <a:solidFill>
                <a:srgbClr val="74B9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Cálculos!$K$32:$K$38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86.333333333333329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B7-43D6-BBF7-CA63874A1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8238260"/>
        <c:axId val="29580018"/>
      </c:lineChart>
      <c:catAx>
        <c:axId val="682382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9580018"/>
        <c:crosses val="autoZero"/>
        <c:auto val="1"/>
        <c:lblAlgn val="ctr"/>
        <c:lblOffset val="100"/>
        <c:noMultiLvlLbl val="0"/>
      </c:catAx>
      <c:valAx>
        <c:axId val="295800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82382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6C5CE7"/>
              </a:solidFill>
              <a:round/>
            </a:ln>
          </c:spPr>
          <c:marker>
            <c:symbol val="circle"/>
            <c:size val="4"/>
            <c:spPr>
              <a:solidFill>
                <a:srgbClr val="6C5CE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Cálculos!$L$32:$L$38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B-4A2E-A4A4-7EC06E1F4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6349281"/>
        <c:axId val="23050694"/>
      </c:lineChart>
      <c:catAx>
        <c:axId val="86349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3050694"/>
        <c:crosses val="autoZero"/>
        <c:auto val="1"/>
        <c:lblAlgn val="ctr"/>
        <c:lblOffset val="100"/>
        <c:noMultiLvlLbl val="0"/>
      </c:catAx>
      <c:valAx>
        <c:axId val="230506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63492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8E7CF3"/>
              </a:solidFill>
              <a:round/>
            </a:ln>
          </c:spPr>
          <c:marker>
            <c:symbol val="circle"/>
            <c:size val="4"/>
            <c:spPr>
              <a:solidFill>
                <a:srgbClr val="8E7CF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Cálculos!$M$32:$M$38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DB-4393-8A7B-E1DFBFC9AB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2637981"/>
        <c:axId val="66208717"/>
      </c:lineChart>
      <c:catAx>
        <c:axId val="626379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6208717"/>
        <c:crosses val="autoZero"/>
        <c:auto val="1"/>
        <c:lblAlgn val="ctr"/>
        <c:lblOffset val="100"/>
        <c:noMultiLvlLbl val="0"/>
      </c:catAx>
      <c:valAx>
        <c:axId val="662087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26379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B5ED7"/>
            </a:solidFill>
            <a:ln w="21960">
              <a:solidFill>
                <a:srgbClr val="0B5ED7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Cálculos!$N$32:$N$38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92-464D-A5D5-3FF4512AF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7822909"/>
        <c:axId val="70649061"/>
      </c:barChart>
      <c:catAx>
        <c:axId val="578229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0649061"/>
        <c:crosses val="autoZero"/>
        <c:auto val="1"/>
        <c:lblAlgn val="ctr"/>
        <c:lblOffset val="100"/>
        <c:noMultiLvlLbl val="0"/>
      </c:catAx>
      <c:valAx>
        <c:axId val="706490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78229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E86DE"/>
            </a:solidFill>
            <a:ln w="21960">
              <a:solidFill>
                <a:srgbClr val="2E86DE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Cálculos!$O$32:$O$38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35.099999999999994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46-4834-B31A-1C13C560C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25555615"/>
        <c:axId val="35143918"/>
      </c:barChart>
      <c:catAx>
        <c:axId val="25555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5143918"/>
        <c:crosses val="autoZero"/>
        <c:auto val="1"/>
        <c:lblAlgn val="ctr"/>
        <c:lblOffset val="100"/>
        <c:noMultiLvlLbl val="0"/>
      </c:catAx>
      <c:valAx>
        <c:axId val="351439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55556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4A0FF"/>
            </a:solidFill>
            <a:ln w="21960">
              <a:solidFill>
                <a:srgbClr val="54A0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Cálculos!$P$32:$P$38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8E-42B6-A278-866A8FF1C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62446"/>
        <c:axId val="41555528"/>
      </c:barChart>
      <c:catAx>
        <c:axId val="624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1555528"/>
        <c:crosses val="autoZero"/>
        <c:auto val="1"/>
        <c:lblAlgn val="ctr"/>
        <c:lblOffset val="100"/>
        <c:noMultiLvlLbl val="0"/>
      </c:catAx>
      <c:valAx>
        <c:axId val="41555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24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CEC9"/>
              </a:solidFill>
              <a:round/>
            </a:ln>
          </c:spPr>
          <c:marker>
            <c:symbol val="circle"/>
            <c:size val="4"/>
            <c:spPr>
              <a:solidFill>
                <a:srgbClr val="00CEC9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Cálculos!$Q$32:$Q$38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4.4333333333333336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BD-4C6C-988B-0E9DCDF26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0471090"/>
        <c:axId val="82592205"/>
      </c:lineChart>
      <c:catAx>
        <c:axId val="104710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2592205"/>
        <c:crosses val="autoZero"/>
        <c:auto val="1"/>
        <c:lblAlgn val="ctr"/>
        <c:lblOffset val="100"/>
        <c:noMultiLvlLbl val="0"/>
      </c:catAx>
      <c:valAx>
        <c:axId val="825922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04710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B894"/>
              </a:solidFill>
              <a:round/>
            </a:ln>
          </c:spPr>
          <c:marker>
            <c:symbol val="circle"/>
            <c:size val="4"/>
            <c:spPr>
              <a:solidFill>
                <a:srgbClr val="00B89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Cálculos!$R$32:$R$38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F5-4167-8AE8-C7EE98688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067551"/>
        <c:axId val="36557470"/>
      </c:lineChart>
      <c:catAx>
        <c:axId val="9067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6557470"/>
        <c:crosses val="autoZero"/>
        <c:auto val="1"/>
        <c:lblAlgn val="ctr"/>
        <c:lblOffset val="100"/>
        <c:noMultiLvlLbl val="0"/>
      </c:catAx>
      <c:valAx>
        <c:axId val="365574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0675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67E22"/>
              </a:solidFill>
              <a:round/>
            </a:ln>
          </c:spPr>
          <c:marker>
            <c:symbol val="circle"/>
            <c:size val="4"/>
            <c:spPr>
              <a:solidFill>
                <a:srgbClr val="E67E2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Cálculos!$S$32:$S$38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7B-427D-A9FB-5FDD14CA6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7393698"/>
        <c:axId val="48699917"/>
      </c:lineChart>
      <c:catAx>
        <c:axId val="973936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8699917"/>
        <c:crosses val="autoZero"/>
        <c:auto val="1"/>
        <c:lblAlgn val="ctr"/>
        <c:lblOffset val="100"/>
        <c:noMultiLvlLbl val="0"/>
      </c:catAx>
      <c:valAx>
        <c:axId val="486999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73936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27AE60"/>
              </a:solidFill>
              <a:round/>
            </a:ln>
          </c:spPr>
          <c:marker>
            <c:symbol val="circle"/>
            <c:size val="4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Cálculos!$A$32:$A$38</c:f>
              <c:strCache>
                <c:ptCount val="7"/>
                <c:pt idx="0">
                  <c:v>05/07</c:v>
                </c:pt>
                <c:pt idx="1">
                  <c:v>06/07</c:v>
                </c:pt>
                <c:pt idx="2">
                  <c:v>07/07</c:v>
                </c:pt>
                <c:pt idx="3">
                  <c:v>08/07</c:v>
                </c:pt>
                <c:pt idx="4">
                  <c:v>09/07</c:v>
                </c:pt>
                <c:pt idx="5">
                  <c:v>10/07</c:v>
                </c:pt>
                <c:pt idx="6">
                  <c:v>11/07</c:v>
                </c:pt>
              </c:strCache>
            </c:strRef>
          </c:cat>
          <c:val>
            <c:numRef>
              <c:f>Cálculos!$T$32:$T$38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D5-4817-B826-0B002A1C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9288497"/>
        <c:axId val="13345334"/>
      </c:lineChart>
      <c:catAx>
        <c:axId val="392884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3345334"/>
        <c:crosses val="autoZero"/>
        <c:auto val="1"/>
        <c:lblAlgn val="ctr"/>
        <c:lblOffset val="100"/>
        <c:noMultiLvlLbl val="0"/>
      </c:catAx>
      <c:valAx>
        <c:axId val="133453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92884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D63031"/>
              </a:solidFill>
              <a:round/>
            </a:ln>
          </c:spPr>
          <c:marker>
            <c:symbol val="circle"/>
            <c:size val="4"/>
            <c:spPr>
              <a:solidFill>
                <a:srgbClr val="D630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Cálculos!$D$42:$D$72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15.300000000000002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50-4780-88CF-C936474D5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9569411"/>
        <c:axId val="37819969"/>
      </c:lineChart>
      <c:catAx>
        <c:axId val="995694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7819969"/>
        <c:crosses val="autoZero"/>
        <c:auto val="1"/>
        <c:lblAlgn val="ctr"/>
        <c:lblOffset val="100"/>
        <c:noMultiLvlLbl val="0"/>
      </c:catAx>
      <c:valAx>
        <c:axId val="378199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95694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17055"/>
              </a:solidFill>
              <a:round/>
            </a:ln>
          </c:spPr>
          <c:marker>
            <c:symbol val="circle"/>
            <c:size val="4"/>
            <c:spPr>
              <a:solidFill>
                <a:srgbClr val="E1705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Cálculos!$E$42:$E$72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14.700000000000001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F5-4B8C-8126-EDA30A36F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208890"/>
        <c:axId val="86037150"/>
      </c:lineChart>
      <c:catAx>
        <c:axId val="852088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6037150"/>
        <c:crosses val="autoZero"/>
        <c:auto val="1"/>
        <c:lblAlgn val="ctr"/>
        <c:lblOffset val="100"/>
        <c:noMultiLvlLbl val="0"/>
      </c:catAx>
      <c:valAx>
        <c:axId val="860371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52088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84393"/>
              </a:solidFill>
              <a:round/>
            </a:ln>
          </c:spPr>
          <c:marker>
            <c:symbol val="circle"/>
            <c:size val="4"/>
            <c:spPr>
              <a:solidFill>
                <a:srgbClr val="E8439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Cálculos!$F$42:$F$72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15.4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7CB-BBE7-99E04F96F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1191297"/>
        <c:axId val="36908864"/>
      </c:lineChart>
      <c:catAx>
        <c:axId val="511912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6908864"/>
        <c:crosses val="autoZero"/>
        <c:auto val="1"/>
        <c:lblAlgn val="ctr"/>
        <c:lblOffset val="100"/>
        <c:noMultiLvlLbl val="0"/>
      </c:catAx>
      <c:valAx>
        <c:axId val="369088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11912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D79A8"/>
              </a:solidFill>
              <a:round/>
            </a:ln>
          </c:spPr>
          <c:marker>
            <c:symbol val="circle"/>
            <c:size val="4"/>
            <c:spPr>
              <a:solidFill>
                <a:srgbClr val="FD79A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Cálculos!$G$42:$G$72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14.700000000000001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7-48EB-81A8-0EA4C39E7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4969411"/>
        <c:axId val="81232397"/>
      </c:lineChart>
      <c:catAx>
        <c:axId val="649694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1232397"/>
        <c:crosses val="autoZero"/>
        <c:auto val="1"/>
        <c:lblAlgn val="ctr"/>
        <c:lblOffset val="100"/>
        <c:noMultiLvlLbl val="0"/>
      </c:catAx>
      <c:valAx>
        <c:axId val="812323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49694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A29BFE"/>
              </a:solidFill>
              <a:round/>
            </a:ln>
          </c:spPr>
          <c:marker>
            <c:symbol val="circle"/>
            <c:size val="4"/>
            <c:spPr>
              <a:solidFill>
                <a:srgbClr val="A29BF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Cálculos!$H$42:$H$72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9.6999999999999993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2D-4354-8906-86F1E5E3E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4274241"/>
        <c:axId val="2793363"/>
      </c:lineChart>
      <c:catAx>
        <c:axId val="642742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793363"/>
        <c:crosses val="autoZero"/>
        <c:auto val="1"/>
        <c:lblAlgn val="ctr"/>
        <c:lblOffset val="100"/>
        <c:noMultiLvlLbl val="0"/>
      </c:catAx>
      <c:valAx>
        <c:axId val="27933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42742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F7675"/>
              </a:solidFill>
              <a:round/>
            </a:ln>
          </c:spPr>
          <c:marker>
            <c:symbol val="circle"/>
            <c:size val="4"/>
            <c:spPr>
              <a:solidFill>
                <a:srgbClr val="FF767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Cálculos!$I$42:$I$72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13.833333333333334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AD-4F15-BEA3-DEC60EF83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362668"/>
        <c:axId val="22499967"/>
      </c:lineChart>
      <c:catAx>
        <c:axId val="603626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2499967"/>
        <c:crosses val="autoZero"/>
        <c:auto val="1"/>
        <c:lblAlgn val="ctr"/>
        <c:lblOffset val="100"/>
        <c:noMultiLvlLbl val="0"/>
      </c:catAx>
      <c:valAx>
        <c:axId val="224999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03626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984E3"/>
              </a:solidFill>
              <a:round/>
            </a:ln>
          </c:spPr>
          <c:marker>
            <c:symbol val="circle"/>
            <c:size val="4"/>
            <c:spPr>
              <a:solidFill>
                <a:srgbClr val="0984E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Cálculos!$J$42:$J$72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FA-4106-B630-5EB70AF0F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0388983"/>
        <c:axId val="42870220"/>
      </c:lineChart>
      <c:catAx>
        <c:axId val="50388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2870220"/>
        <c:crosses val="autoZero"/>
        <c:auto val="1"/>
        <c:lblAlgn val="ctr"/>
        <c:lblOffset val="100"/>
        <c:noMultiLvlLbl val="0"/>
      </c:catAx>
      <c:valAx>
        <c:axId val="428702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03889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4B9FF"/>
              </a:solidFill>
              <a:round/>
            </a:ln>
          </c:spPr>
          <c:marker>
            <c:symbol val="circle"/>
            <c:size val="4"/>
            <c:spPr>
              <a:solidFill>
                <a:srgbClr val="74B9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Cálculos!$K$42:$K$72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86.333333333333329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27-41F1-A56F-5F001016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3402584"/>
        <c:axId val="1923642"/>
      </c:lineChart>
      <c:catAx>
        <c:axId val="73402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923642"/>
        <c:crosses val="autoZero"/>
        <c:auto val="1"/>
        <c:lblAlgn val="ctr"/>
        <c:lblOffset val="100"/>
        <c:noMultiLvlLbl val="0"/>
      </c:catAx>
      <c:valAx>
        <c:axId val="19236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34025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6C5CE7"/>
              </a:solidFill>
              <a:round/>
            </a:ln>
          </c:spPr>
          <c:marker>
            <c:symbol val="circle"/>
            <c:size val="4"/>
            <c:spPr>
              <a:solidFill>
                <a:srgbClr val="6C5CE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Cálculos!$L$42:$L$72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995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9D-453A-9F39-840F95E9D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0752323"/>
        <c:axId val="5848739"/>
      </c:lineChart>
      <c:catAx>
        <c:axId val="907523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848739"/>
        <c:crosses val="autoZero"/>
        <c:auto val="1"/>
        <c:lblAlgn val="ctr"/>
        <c:lblOffset val="100"/>
        <c:noMultiLvlLbl val="0"/>
      </c:catAx>
      <c:valAx>
        <c:axId val="58487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07523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8E7CF3"/>
              </a:solidFill>
              <a:round/>
            </a:ln>
          </c:spPr>
          <c:marker>
            <c:symbol val="circle"/>
            <c:size val="4"/>
            <c:spPr>
              <a:solidFill>
                <a:srgbClr val="8E7CF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Cálculos!$M$42:$M$72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995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BA-4B89-99F5-F290F64B4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8191718"/>
        <c:axId val="58482415"/>
      </c:lineChart>
      <c:catAx>
        <c:axId val="681917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8482415"/>
        <c:crosses val="autoZero"/>
        <c:auto val="1"/>
        <c:lblAlgn val="ctr"/>
        <c:lblOffset val="100"/>
        <c:noMultiLvlLbl val="0"/>
      </c:catAx>
      <c:valAx>
        <c:axId val="584824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81917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B5ED7"/>
            </a:solidFill>
            <a:ln w="21960">
              <a:solidFill>
                <a:srgbClr val="0B5ED7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Cálculos!$N$42:$N$72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8-4A07-9B8F-60BB83E7D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63805683"/>
        <c:axId val="43280331"/>
      </c:barChart>
      <c:catAx>
        <c:axId val="638056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3280331"/>
        <c:crosses val="autoZero"/>
        <c:auto val="1"/>
        <c:lblAlgn val="ctr"/>
        <c:lblOffset val="100"/>
        <c:noMultiLvlLbl val="0"/>
      </c:catAx>
      <c:valAx>
        <c:axId val="432803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38056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E86DE"/>
            </a:solidFill>
            <a:ln w="21960">
              <a:solidFill>
                <a:srgbClr val="2E86DE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Cálculos!$O$42:$O$72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35.099999999999994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E-47D0-80B9-8F9F238D3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66795"/>
        <c:axId val="5659219"/>
      </c:barChart>
      <c:catAx>
        <c:axId val="114667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659219"/>
        <c:crosses val="autoZero"/>
        <c:auto val="1"/>
        <c:lblAlgn val="ctr"/>
        <c:lblOffset val="100"/>
        <c:noMultiLvlLbl val="0"/>
      </c:catAx>
      <c:valAx>
        <c:axId val="56592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14667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4A0FF"/>
            </a:solidFill>
            <a:ln w="21960">
              <a:solidFill>
                <a:srgbClr val="54A0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Cálculos!$P$42:$P$72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5-4451-A5DE-F3ED52170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44725832"/>
        <c:axId val="26729101"/>
      </c:barChart>
      <c:catAx>
        <c:axId val="44725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6729101"/>
        <c:crosses val="autoZero"/>
        <c:auto val="1"/>
        <c:lblAlgn val="ctr"/>
        <c:lblOffset val="100"/>
        <c:noMultiLvlLbl val="0"/>
      </c:catAx>
      <c:valAx>
        <c:axId val="267291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47258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CEC9"/>
              </a:solidFill>
              <a:round/>
            </a:ln>
          </c:spPr>
          <c:marker>
            <c:symbol val="circle"/>
            <c:size val="4"/>
            <c:spPr>
              <a:solidFill>
                <a:srgbClr val="00CEC9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Cálculos!$Q$42:$Q$72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4.4333333333333336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CB-4F44-A7A5-A4C846776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6412868"/>
        <c:axId val="76627586"/>
      </c:lineChart>
      <c:catAx>
        <c:axId val="464128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6627586"/>
        <c:crosses val="autoZero"/>
        <c:auto val="1"/>
        <c:lblAlgn val="ctr"/>
        <c:lblOffset val="100"/>
        <c:noMultiLvlLbl val="0"/>
      </c:catAx>
      <c:valAx>
        <c:axId val="766275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64128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B894"/>
              </a:solidFill>
              <a:round/>
            </a:ln>
          </c:spPr>
          <c:marker>
            <c:symbol val="circle"/>
            <c:size val="4"/>
            <c:spPr>
              <a:solidFill>
                <a:srgbClr val="00B89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Cálculos!$R$42:$R$72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5.5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41-48F1-9676-A39777A31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5741766"/>
        <c:axId val="78946062"/>
      </c:lineChart>
      <c:catAx>
        <c:axId val="257417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8946062"/>
        <c:crosses val="autoZero"/>
        <c:auto val="1"/>
        <c:lblAlgn val="ctr"/>
        <c:lblOffset val="100"/>
        <c:noMultiLvlLbl val="0"/>
      </c:catAx>
      <c:valAx>
        <c:axId val="789460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57417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67E22"/>
              </a:solidFill>
              <a:round/>
            </a:ln>
          </c:spPr>
          <c:marker>
            <c:symbol val="circle"/>
            <c:size val="4"/>
            <c:spPr>
              <a:solidFill>
                <a:srgbClr val="E67E2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Cálculos!$S$42:$S$72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E4-4FA8-AFAB-E39359145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2673094"/>
        <c:axId val="7461473"/>
      </c:lineChart>
      <c:catAx>
        <c:axId val="626730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461473"/>
        <c:crosses val="autoZero"/>
        <c:auto val="1"/>
        <c:lblAlgn val="ctr"/>
        <c:lblOffset val="100"/>
        <c:noMultiLvlLbl val="0"/>
      </c:catAx>
      <c:valAx>
        <c:axId val="74614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26730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27AE60"/>
              </a:solidFill>
              <a:round/>
            </a:ln>
          </c:spPr>
          <c:marker>
            <c:symbol val="circle"/>
            <c:size val="4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Cálculos!$A$42:$A$72</c:f>
              <c:strCache>
                <c:ptCount val="31"/>
                <c:pt idx="0">
                  <c:v>01/07</c:v>
                </c:pt>
                <c:pt idx="1">
                  <c:v>02/07</c:v>
                </c:pt>
                <c:pt idx="2">
                  <c:v>03/07</c:v>
                </c:pt>
                <c:pt idx="3">
                  <c:v>04/07</c:v>
                </c:pt>
                <c:pt idx="4">
                  <c:v>05/07</c:v>
                </c:pt>
                <c:pt idx="5">
                  <c:v>06/07</c:v>
                </c:pt>
                <c:pt idx="6">
                  <c:v>07/07</c:v>
                </c:pt>
                <c:pt idx="7">
                  <c:v>08/07</c:v>
                </c:pt>
                <c:pt idx="8">
                  <c:v>09/07</c:v>
                </c:pt>
                <c:pt idx="9">
                  <c:v>10/07</c:v>
                </c:pt>
                <c:pt idx="10">
                  <c:v>11/07</c:v>
                </c:pt>
                <c:pt idx="11">
                  <c:v>12/07</c:v>
                </c:pt>
                <c:pt idx="12">
                  <c:v>13/07</c:v>
                </c:pt>
                <c:pt idx="13">
                  <c:v>14/07</c:v>
                </c:pt>
                <c:pt idx="14">
                  <c:v>15/07</c:v>
                </c:pt>
                <c:pt idx="15">
                  <c:v>16/07</c:v>
                </c:pt>
                <c:pt idx="16">
                  <c:v>17/07</c:v>
                </c:pt>
                <c:pt idx="17">
                  <c:v>18/07</c:v>
                </c:pt>
                <c:pt idx="18">
                  <c:v>19/07</c:v>
                </c:pt>
                <c:pt idx="19">
                  <c:v>20/07</c:v>
                </c:pt>
                <c:pt idx="20">
                  <c:v>21/07</c:v>
                </c:pt>
                <c:pt idx="21">
                  <c:v>22/07</c:v>
                </c:pt>
                <c:pt idx="22">
                  <c:v>23/07</c:v>
                </c:pt>
                <c:pt idx="23">
                  <c:v>24/07</c:v>
                </c:pt>
                <c:pt idx="24">
                  <c:v>25/07</c:v>
                </c:pt>
                <c:pt idx="25">
                  <c:v>26/07</c:v>
                </c:pt>
                <c:pt idx="26">
                  <c:v>27/07</c:v>
                </c:pt>
                <c:pt idx="27">
                  <c:v>28/07</c:v>
                </c:pt>
                <c:pt idx="28">
                  <c:v>29/07</c:v>
                </c:pt>
                <c:pt idx="29">
                  <c:v>30/07</c:v>
                </c:pt>
                <c:pt idx="30">
                  <c:v>31/07</c:v>
                </c:pt>
              </c:strCache>
            </c:strRef>
          </c:cat>
          <c:val>
            <c:numRef>
              <c:f>Cálculos!$T$42:$T$72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BF-44D4-B68E-37B275FE5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5686992"/>
        <c:axId val="17569691"/>
      </c:lineChart>
      <c:catAx>
        <c:axId val="5568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7569691"/>
        <c:crosses val="autoZero"/>
        <c:auto val="1"/>
        <c:lblAlgn val="ctr"/>
        <c:lblOffset val="100"/>
        <c:noMultiLvlLbl val="0"/>
      </c:catAx>
      <c:valAx>
        <c:axId val="175696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56869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D63031"/>
              </a:solidFill>
              <a:round/>
            </a:ln>
          </c:spPr>
          <c:marker>
            <c:symbol val="circle"/>
            <c:size val="4"/>
            <c:spPr>
              <a:solidFill>
                <a:srgbClr val="D630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Cálculos!$D$76:$D$87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15.300000000000002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0-4640-A44A-89A09F15D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7997920"/>
        <c:axId val="40920134"/>
      </c:lineChart>
      <c:catAx>
        <c:axId val="6799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0920134"/>
        <c:crosses val="autoZero"/>
        <c:auto val="1"/>
        <c:lblAlgn val="ctr"/>
        <c:lblOffset val="100"/>
        <c:noMultiLvlLbl val="0"/>
      </c:catAx>
      <c:valAx>
        <c:axId val="409201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79979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17055"/>
              </a:solidFill>
              <a:round/>
            </a:ln>
          </c:spPr>
          <c:marker>
            <c:symbol val="circle"/>
            <c:size val="4"/>
            <c:spPr>
              <a:solidFill>
                <a:srgbClr val="E1705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Cálculos!$E$76:$E$87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14.700000000000001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F0-44C1-99FC-696F5EF89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3164237"/>
        <c:axId val="12670762"/>
      </c:lineChart>
      <c:catAx>
        <c:axId val="731642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2670762"/>
        <c:crosses val="autoZero"/>
        <c:auto val="1"/>
        <c:lblAlgn val="ctr"/>
        <c:lblOffset val="100"/>
        <c:noMultiLvlLbl val="0"/>
      </c:catAx>
      <c:valAx>
        <c:axId val="126707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31642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84393"/>
              </a:solidFill>
              <a:round/>
            </a:ln>
          </c:spPr>
          <c:marker>
            <c:symbol val="circle"/>
            <c:size val="4"/>
            <c:spPr>
              <a:solidFill>
                <a:srgbClr val="E8439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Cálculos!$F$76:$F$87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15.4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50-4F73-A2D6-CCA8DEBD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6520238"/>
        <c:axId val="27158206"/>
      </c:lineChart>
      <c:catAx>
        <c:axId val="565202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7158206"/>
        <c:crosses val="autoZero"/>
        <c:auto val="1"/>
        <c:lblAlgn val="ctr"/>
        <c:lblOffset val="100"/>
        <c:noMultiLvlLbl val="0"/>
      </c:catAx>
      <c:valAx>
        <c:axId val="27158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65202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D79A8"/>
              </a:solidFill>
              <a:round/>
            </a:ln>
          </c:spPr>
          <c:marker>
            <c:symbol val="circle"/>
            <c:size val="4"/>
            <c:spPr>
              <a:solidFill>
                <a:srgbClr val="FD79A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Cálculos!$G$76:$G$87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14.700000000000001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09-4C50-96E0-DEBEC60C2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2787834"/>
        <c:axId val="93133003"/>
      </c:lineChart>
      <c:catAx>
        <c:axId val="827878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3133003"/>
        <c:crosses val="autoZero"/>
        <c:auto val="1"/>
        <c:lblAlgn val="ctr"/>
        <c:lblOffset val="100"/>
        <c:noMultiLvlLbl val="0"/>
      </c:catAx>
      <c:valAx>
        <c:axId val="931330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27878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A29BFE"/>
              </a:solidFill>
              <a:round/>
            </a:ln>
          </c:spPr>
          <c:marker>
            <c:symbol val="circle"/>
            <c:size val="4"/>
            <c:spPr>
              <a:solidFill>
                <a:srgbClr val="A29BF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Cálculos!$H$76:$H$87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9.6999999999999993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93-452D-88E8-BF51F1EBB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2029484"/>
        <c:axId val="93214574"/>
      </c:lineChart>
      <c:catAx>
        <c:axId val="920294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3214574"/>
        <c:crosses val="autoZero"/>
        <c:auto val="1"/>
        <c:lblAlgn val="ctr"/>
        <c:lblOffset val="100"/>
        <c:noMultiLvlLbl val="0"/>
      </c:catAx>
      <c:valAx>
        <c:axId val="932145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20294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F7675"/>
              </a:solidFill>
              <a:round/>
            </a:ln>
          </c:spPr>
          <c:marker>
            <c:symbol val="circle"/>
            <c:size val="4"/>
            <c:spPr>
              <a:solidFill>
                <a:srgbClr val="FF767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Cálculos!$I$76:$I$87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13.833333333333334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77-4C0B-A4F8-D792F8A3E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3393437"/>
        <c:axId val="61852398"/>
      </c:lineChart>
      <c:catAx>
        <c:axId val="333934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1852398"/>
        <c:crosses val="autoZero"/>
        <c:auto val="1"/>
        <c:lblAlgn val="ctr"/>
        <c:lblOffset val="100"/>
        <c:noMultiLvlLbl val="0"/>
      </c:catAx>
      <c:valAx>
        <c:axId val="618523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33934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984E3"/>
              </a:solidFill>
              <a:round/>
            </a:ln>
          </c:spPr>
          <c:marker>
            <c:symbol val="circle"/>
            <c:size val="4"/>
            <c:spPr>
              <a:solidFill>
                <a:srgbClr val="0984E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Cálculos!$J$76:$J$87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51-4DDE-BC9A-2CEF8DBC5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9394210"/>
        <c:axId val="92674705"/>
      </c:lineChart>
      <c:catAx>
        <c:axId val="393942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2674705"/>
        <c:crosses val="autoZero"/>
        <c:auto val="1"/>
        <c:lblAlgn val="ctr"/>
        <c:lblOffset val="100"/>
        <c:noMultiLvlLbl val="0"/>
      </c:catAx>
      <c:valAx>
        <c:axId val="926747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93942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4B9FF"/>
              </a:solidFill>
              <a:round/>
            </a:ln>
          </c:spPr>
          <c:marker>
            <c:symbol val="circle"/>
            <c:size val="4"/>
            <c:spPr>
              <a:solidFill>
                <a:srgbClr val="74B9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Cálculos!$K$76:$K$87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86.333333333333329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6-47D9-860B-ED4F37623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4698836"/>
        <c:axId val="45985495"/>
      </c:lineChart>
      <c:catAx>
        <c:axId val="246988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5985495"/>
        <c:crosses val="autoZero"/>
        <c:auto val="1"/>
        <c:lblAlgn val="ctr"/>
        <c:lblOffset val="100"/>
        <c:noMultiLvlLbl val="0"/>
      </c:catAx>
      <c:valAx>
        <c:axId val="459854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46988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6C5CE7"/>
              </a:solidFill>
              <a:round/>
            </a:ln>
          </c:spPr>
          <c:marker>
            <c:symbol val="circle"/>
            <c:size val="4"/>
            <c:spPr>
              <a:solidFill>
                <a:srgbClr val="6C5CE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Cálculos!$L$76:$L$87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FC-48DD-8B8A-D8BD2AC064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9616597"/>
        <c:axId val="1398288"/>
      </c:lineChart>
      <c:catAx>
        <c:axId val="996165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398288"/>
        <c:crosses val="autoZero"/>
        <c:auto val="1"/>
        <c:lblAlgn val="ctr"/>
        <c:lblOffset val="100"/>
        <c:noMultiLvlLbl val="0"/>
      </c:catAx>
      <c:valAx>
        <c:axId val="1398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96165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8E7CF3"/>
              </a:solidFill>
              <a:round/>
            </a:ln>
          </c:spPr>
          <c:marker>
            <c:symbol val="circle"/>
            <c:size val="4"/>
            <c:spPr>
              <a:solidFill>
                <a:srgbClr val="8E7CF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Cálculos!$M$76:$M$87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A-4C03-A942-8B695184A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2022661"/>
        <c:axId val="25619261"/>
      </c:lineChart>
      <c:catAx>
        <c:axId val="120226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5619261"/>
        <c:crosses val="autoZero"/>
        <c:auto val="1"/>
        <c:lblAlgn val="ctr"/>
        <c:lblOffset val="100"/>
        <c:noMultiLvlLbl val="0"/>
      </c:catAx>
      <c:valAx>
        <c:axId val="256192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20226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B5ED7"/>
            </a:solidFill>
            <a:ln w="21960">
              <a:solidFill>
                <a:srgbClr val="0B5ED7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Cálculos!$N$76:$N$87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D-476F-A91C-8B7C0617C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84153174"/>
        <c:axId val="17368474"/>
      </c:barChart>
      <c:catAx>
        <c:axId val="841531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7368474"/>
        <c:crosses val="autoZero"/>
        <c:auto val="1"/>
        <c:lblAlgn val="ctr"/>
        <c:lblOffset val="100"/>
        <c:noMultiLvlLbl val="0"/>
      </c:catAx>
      <c:valAx>
        <c:axId val="173684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41531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E86DE"/>
            </a:solidFill>
            <a:ln w="21960">
              <a:solidFill>
                <a:srgbClr val="2E86DE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Cálculos!$O$76:$O$87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35.099999999999994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6-45CE-A3A8-F1E251C96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72119667"/>
        <c:axId val="97274791"/>
      </c:barChart>
      <c:catAx>
        <c:axId val="721196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7274791"/>
        <c:crosses val="autoZero"/>
        <c:auto val="1"/>
        <c:lblAlgn val="ctr"/>
        <c:lblOffset val="100"/>
        <c:noMultiLvlLbl val="0"/>
      </c:catAx>
      <c:valAx>
        <c:axId val="972747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21196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4A0FF"/>
            </a:solidFill>
            <a:ln w="21960">
              <a:solidFill>
                <a:srgbClr val="54A0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Cálculos!$P$76:$P$87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3-435C-AECF-ACD63EECB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89697070"/>
        <c:axId val="29149588"/>
      </c:barChart>
      <c:catAx>
        <c:axId val="896970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9149588"/>
        <c:crosses val="autoZero"/>
        <c:auto val="1"/>
        <c:lblAlgn val="ctr"/>
        <c:lblOffset val="100"/>
        <c:noMultiLvlLbl val="0"/>
      </c:catAx>
      <c:valAx>
        <c:axId val="29149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96970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CEC9"/>
              </a:solidFill>
              <a:round/>
            </a:ln>
          </c:spPr>
          <c:marker>
            <c:symbol val="circle"/>
            <c:size val="4"/>
            <c:spPr>
              <a:solidFill>
                <a:srgbClr val="00CEC9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Cálculos!$Q$76:$Q$87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4.4333333333333336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CE-4B75-B773-9604DCA9C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0869292"/>
        <c:axId val="92000668"/>
      </c:lineChart>
      <c:catAx>
        <c:axId val="808692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2000668"/>
        <c:crosses val="autoZero"/>
        <c:auto val="1"/>
        <c:lblAlgn val="ctr"/>
        <c:lblOffset val="100"/>
        <c:noMultiLvlLbl val="0"/>
      </c:catAx>
      <c:valAx>
        <c:axId val="920006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08692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B894"/>
              </a:solidFill>
              <a:round/>
            </a:ln>
          </c:spPr>
          <c:marker>
            <c:symbol val="circle"/>
            <c:size val="4"/>
            <c:spPr>
              <a:solidFill>
                <a:srgbClr val="00B89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Cálculos!$R$76:$R$87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B4-44A0-95CE-5B272FE28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2214601"/>
        <c:axId val="28024541"/>
      </c:lineChart>
      <c:catAx>
        <c:axId val="12214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8024541"/>
        <c:crosses val="autoZero"/>
        <c:auto val="1"/>
        <c:lblAlgn val="ctr"/>
        <c:lblOffset val="100"/>
        <c:noMultiLvlLbl val="0"/>
      </c:catAx>
      <c:valAx>
        <c:axId val="280245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22146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67E22"/>
              </a:solidFill>
              <a:round/>
            </a:ln>
          </c:spPr>
          <c:marker>
            <c:symbol val="circle"/>
            <c:size val="4"/>
            <c:spPr>
              <a:solidFill>
                <a:srgbClr val="E67E2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Cálculos!$S$76:$S$87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0E-416A-9D66-A78F96452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2022380"/>
        <c:axId val="88878450"/>
      </c:lineChart>
      <c:catAx>
        <c:axId val="120223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8878450"/>
        <c:crosses val="autoZero"/>
        <c:auto val="1"/>
        <c:lblAlgn val="ctr"/>
        <c:lblOffset val="100"/>
        <c:noMultiLvlLbl val="0"/>
      </c:catAx>
      <c:valAx>
        <c:axId val="88878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20223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27AE60"/>
              </a:solidFill>
              <a:round/>
            </a:ln>
          </c:spPr>
          <c:marker>
            <c:symbol val="circle"/>
            <c:size val="4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Cálculos!$A$76:$A$87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Cálculos!$T$76:$T$87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56-4085-A87D-861A971228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0322120"/>
        <c:axId val="77002094"/>
      </c:lineChart>
      <c:catAx>
        <c:axId val="40322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7002094"/>
        <c:crosses val="autoZero"/>
        <c:auto val="1"/>
        <c:lblAlgn val="ctr"/>
        <c:lblOffset val="100"/>
        <c:noMultiLvlLbl val="0"/>
      </c:catAx>
      <c:valAx>
        <c:axId val="770020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03221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D63031"/>
              </a:solidFill>
              <a:round/>
            </a:ln>
          </c:spPr>
          <c:marker>
            <c:symbol val="circle"/>
            <c:size val="4"/>
            <c:spPr>
              <a:solidFill>
                <a:srgbClr val="D630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Cálculos!$D$91:$D$126</c:f>
              <c:numCache>
                <c:formatCode>General</c:formatCode>
                <c:ptCount val="36"/>
                <c:pt idx="0">
                  <c:v>15.300000000000002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A-49AD-B14E-BD34990F9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9124440"/>
        <c:axId val="94503654"/>
      </c:lineChart>
      <c:catAx>
        <c:axId val="39124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4503654"/>
        <c:crosses val="autoZero"/>
        <c:auto val="1"/>
        <c:lblAlgn val="ctr"/>
        <c:lblOffset val="100"/>
        <c:noMultiLvlLbl val="0"/>
      </c:catAx>
      <c:valAx>
        <c:axId val="945036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91244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17055"/>
              </a:solidFill>
              <a:round/>
            </a:ln>
          </c:spPr>
          <c:marker>
            <c:symbol val="circle"/>
            <c:size val="4"/>
            <c:spPr>
              <a:solidFill>
                <a:srgbClr val="E1705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Cálculos!$E$91:$E$126</c:f>
              <c:numCache>
                <c:formatCode>General</c:formatCode>
                <c:ptCount val="36"/>
                <c:pt idx="0">
                  <c:v>14.700000000000001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0-4473-BC8A-783DD4321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953550"/>
        <c:axId val="2376030"/>
      </c:lineChart>
      <c:catAx>
        <c:axId val="47953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376030"/>
        <c:crosses val="autoZero"/>
        <c:auto val="1"/>
        <c:lblAlgn val="ctr"/>
        <c:lblOffset val="100"/>
        <c:noMultiLvlLbl val="0"/>
      </c:catAx>
      <c:valAx>
        <c:axId val="23760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79535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84393"/>
              </a:solidFill>
              <a:round/>
            </a:ln>
          </c:spPr>
          <c:marker>
            <c:symbol val="circle"/>
            <c:size val="4"/>
            <c:spPr>
              <a:solidFill>
                <a:srgbClr val="E8439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Cálculos!$F$91:$F$126</c:f>
              <c:numCache>
                <c:formatCode>General</c:formatCode>
                <c:ptCount val="36"/>
                <c:pt idx="0">
                  <c:v>15.4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46-46DB-ABD4-B8D67A681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8378002"/>
        <c:axId val="45767097"/>
      </c:lineChart>
      <c:catAx>
        <c:axId val="683780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5767097"/>
        <c:crosses val="autoZero"/>
        <c:auto val="1"/>
        <c:lblAlgn val="ctr"/>
        <c:lblOffset val="100"/>
        <c:noMultiLvlLbl val="0"/>
      </c:catAx>
      <c:valAx>
        <c:axId val="457670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83780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D79A8"/>
              </a:solidFill>
              <a:round/>
            </a:ln>
          </c:spPr>
          <c:marker>
            <c:symbol val="circle"/>
            <c:size val="4"/>
            <c:spPr>
              <a:solidFill>
                <a:srgbClr val="FD79A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Cálculos!$G$91:$G$126</c:f>
              <c:numCache>
                <c:formatCode>General</c:formatCode>
                <c:ptCount val="36"/>
                <c:pt idx="0">
                  <c:v>14.700000000000001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5A-463F-B488-1979D5169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9778673"/>
        <c:axId val="14667736"/>
      </c:lineChart>
      <c:catAx>
        <c:axId val="497786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4667736"/>
        <c:crosses val="autoZero"/>
        <c:auto val="1"/>
        <c:lblAlgn val="ctr"/>
        <c:lblOffset val="100"/>
        <c:noMultiLvlLbl val="0"/>
      </c:catAx>
      <c:valAx>
        <c:axId val="146677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97786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A29BFE"/>
              </a:solidFill>
              <a:round/>
            </a:ln>
          </c:spPr>
          <c:marker>
            <c:symbol val="circle"/>
            <c:size val="4"/>
            <c:spPr>
              <a:solidFill>
                <a:srgbClr val="A29BF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Cálculos!$H$91:$H$126</c:f>
              <c:numCache>
                <c:formatCode>General</c:formatCode>
                <c:ptCount val="36"/>
                <c:pt idx="0">
                  <c:v>9.6999999999999993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60-4F59-B2D7-B666288A3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6691434"/>
        <c:axId val="3111691"/>
      </c:lineChart>
      <c:catAx>
        <c:axId val="366914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111691"/>
        <c:crosses val="autoZero"/>
        <c:auto val="1"/>
        <c:lblAlgn val="ctr"/>
        <c:lblOffset val="100"/>
        <c:noMultiLvlLbl val="0"/>
      </c:catAx>
      <c:valAx>
        <c:axId val="31116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66914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FF7675"/>
              </a:solidFill>
              <a:round/>
            </a:ln>
          </c:spPr>
          <c:marker>
            <c:symbol val="circle"/>
            <c:size val="4"/>
            <c:spPr>
              <a:solidFill>
                <a:srgbClr val="FF767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Cálculos!$I$91:$I$126</c:f>
              <c:numCache>
                <c:formatCode>General</c:formatCode>
                <c:ptCount val="36"/>
                <c:pt idx="0">
                  <c:v>13.833333333333334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F0-48B7-A633-5FEFC46A1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6339902"/>
        <c:axId val="79843094"/>
      </c:lineChart>
      <c:catAx>
        <c:axId val="663399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9843094"/>
        <c:crosses val="autoZero"/>
        <c:auto val="1"/>
        <c:lblAlgn val="ctr"/>
        <c:lblOffset val="100"/>
        <c:noMultiLvlLbl val="0"/>
      </c:catAx>
      <c:valAx>
        <c:axId val="798430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63399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984E3"/>
              </a:solidFill>
              <a:round/>
            </a:ln>
          </c:spPr>
          <c:marker>
            <c:symbol val="circle"/>
            <c:size val="4"/>
            <c:spPr>
              <a:solidFill>
                <a:srgbClr val="0984E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Cálculos!$J$91:$J$126</c:f>
              <c:numCache>
                <c:formatCode>General</c:formatCode>
                <c:ptCount val="36"/>
                <c:pt idx="0">
                  <c:v>95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D6-4A70-BF1E-86AE3B5A3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4496634"/>
        <c:axId val="76052921"/>
      </c:lineChart>
      <c:catAx>
        <c:axId val="544966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6052921"/>
        <c:crosses val="autoZero"/>
        <c:auto val="1"/>
        <c:lblAlgn val="ctr"/>
        <c:lblOffset val="100"/>
        <c:noMultiLvlLbl val="0"/>
      </c:catAx>
      <c:valAx>
        <c:axId val="760529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44966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4B9FF"/>
              </a:solidFill>
              <a:round/>
            </a:ln>
          </c:spPr>
          <c:marker>
            <c:symbol val="circle"/>
            <c:size val="4"/>
            <c:spPr>
              <a:solidFill>
                <a:srgbClr val="74B9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Cálculos!$K$91:$K$126</c:f>
              <c:numCache>
                <c:formatCode>General</c:formatCode>
                <c:ptCount val="36"/>
                <c:pt idx="0">
                  <c:v>86.333333333333329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E-4CC7-BD1D-CA7F9E263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510050"/>
        <c:axId val="35418623"/>
      </c:lineChart>
      <c:catAx>
        <c:axId val="385100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5418623"/>
        <c:crosses val="autoZero"/>
        <c:auto val="1"/>
        <c:lblAlgn val="ctr"/>
        <c:lblOffset val="100"/>
        <c:noMultiLvlLbl val="0"/>
      </c:catAx>
      <c:valAx>
        <c:axId val="354186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85100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6C5CE7"/>
              </a:solidFill>
              <a:round/>
            </a:ln>
          </c:spPr>
          <c:marker>
            <c:symbol val="circle"/>
            <c:size val="4"/>
            <c:spPr>
              <a:solidFill>
                <a:srgbClr val="6C5CE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Cálculos!$L$91:$L$126</c:f>
              <c:numCache>
                <c:formatCode>General</c:formatCode>
                <c:ptCount val="36"/>
                <c:pt idx="0">
                  <c:v>995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F7-4D8D-911A-544284B25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5395506"/>
        <c:axId val="45387238"/>
      </c:lineChart>
      <c:catAx>
        <c:axId val="253955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5387238"/>
        <c:crosses val="autoZero"/>
        <c:auto val="1"/>
        <c:lblAlgn val="ctr"/>
        <c:lblOffset val="100"/>
        <c:noMultiLvlLbl val="0"/>
      </c:catAx>
      <c:valAx>
        <c:axId val="453872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53955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8E7CF3"/>
              </a:solidFill>
              <a:round/>
            </a:ln>
          </c:spPr>
          <c:marker>
            <c:symbol val="circle"/>
            <c:size val="4"/>
            <c:spPr>
              <a:solidFill>
                <a:srgbClr val="8E7CF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Cálculos!$M$91:$M$126</c:f>
              <c:numCache>
                <c:formatCode>General</c:formatCode>
                <c:ptCount val="36"/>
                <c:pt idx="0">
                  <c:v>995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A9-426C-A3ED-FEE278581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421363"/>
        <c:axId val="21133184"/>
      </c:lineChart>
      <c:catAx>
        <c:axId val="854213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1133184"/>
        <c:crosses val="autoZero"/>
        <c:auto val="1"/>
        <c:lblAlgn val="ctr"/>
        <c:lblOffset val="100"/>
        <c:noMultiLvlLbl val="0"/>
      </c:catAx>
      <c:valAx>
        <c:axId val="211331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54213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B5ED7"/>
              </a:solidFill>
              <a:round/>
            </a:ln>
          </c:spPr>
          <c:marker>
            <c:symbol val="circle"/>
            <c:size val="4"/>
            <c:spPr>
              <a:solidFill>
                <a:srgbClr val="0B5ED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Cálculos!$N$91:$N$126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3-43A0-8EDB-9CEB373EE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7467231"/>
        <c:axId val="91819347"/>
      </c:lineChart>
      <c:catAx>
        <c:axId val="2746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1819347"/>
        <c:crosses val="autoZero"/>
        <c:auto val="1"/>
        <c:lblAlgn val="ctr"/>
        <c:lblOffset val="100"/>
        <c:noMultiLvlLbl val="0"/>
      </c:catAx>
      <c:valAx>
        <c:axId val="918193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74672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2E86DE"/>
              </a:solidFill>
              <a:round/>
            </a:ln>
          </c:spPr>
          <c:marker>
            <c:symbol val="circle"/>
            <c:size val="4"/>
            <c:spPr>
              <a:solidFill>
                <a:srgbClr val="2E86D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Cálculos!$O$91:$O$126</c:f>
              <c:numCache>
                <c:formatCode>General</c:formatCode>
                <c:ptCount val="36"/>
                <c:pt idx="0">
                  <c:v>35.099999999999994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64-4A59-8D5A-D30CB768B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956998"/>
        <c:axId val="58272060"/>
      </c:lineChart>
      <c:catAx>
        <c:axId val="19569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8272060"/>
        <c:crosses val="autoZero"/>
        <c:auto val="1"/>
        <c:lblAlgn val="ctr"/>
        <c:lblOffset val="100"/>
        <c:noMultiLvlLbl val="0"/>
      </c:catAx>
      <c:valAx>
        <c:axId val="582720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9569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54A0FF"/>
              </a:solidFill>
              <a:round/>
            </a:ln>
          </c:spPr>
          <c:marker>
            <c:symbol val="circle"/>
            <c:size val="4"/>
            <c:spPr>
              <a:solidFill>
                <a:srgbClr val="54A0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Cálculos!$P$91:$P$126</c:f>
              <c:numCache>
                <c:formatCode>General</c:formatCode>
                <c:ptCount val="36"/>
                <c:pt idx="0">
                  <c:v>1.4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72-40D5-A0A3-75033D4F57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4008747"/>
        <c:axId val="14038784"/>
      </c:lineChart>
      <c:catAx>
        <c:axId val="640087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4038784"/>
        <c:crosses val="autoZero"/>
        <c:auto val="1"/>
        <c:lblAlgn val="ctr"/>
        <c:lblOffset val="100"/>
        <c:noMultiLvlLbl val="0"/>
      </c:catAx>
      <c:valAx>
        <c:axId val="140387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40087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CEC9"/>
              </a:solidFill>
              <a:round/>
            </a:ln>
          </c:spPr>
          <c:marker>
            <c:symbol val="circle"/>
            <c:size val="4"/>
            <c:spPr>
              <a:solidFill>
                <a:srgbClr val="00CEC9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Cálculos!$Q$91:$Q$126</c:f>
              <c:numCache>
                <c:formatCode>General</c:formatCode>
                <c:ptCount val="36"/>
                <c:pt idx="0">
                  <c:v>4.4333333333333336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0-446A-84BC-5715D4D70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2829485"/>
        <c:axId val="64776852"/>
      </c:lineChart>
      <c:catAx>
        <c:axId val="528294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4776852"/>
        <c:crosses val="autoZero"/>
        <c:auto val="1"/>
        <c:lblAlgn val="ctr"/>
        <c:lblOffset val="100"/>
        <c:noMultiLvlLbl val="0"/>
      </c:catAx>
      <c:valAx>
        <c:axId val="64776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28294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00B894"/>
              </a:solidFill>
              <a:round/>
            </a:ln>
          </c:spPr>
          <c:marker>
            <c:symbol val="circle"/>
            <c:size val="4"/>
            <c:spPr>
              <a:solidFill>
                <a:srgbClr val="00B89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Cálculos!$R$91:$R$126</c:f>
              <c:numCache>
                <c:formatCode>General</c:formatCode>
                <c:ptCount val="36"/>
                <c:pt idx="0">
                  <c:v>5.5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88-43D8-A974-8A1DFA207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4248406"/>
        <c:axId val="90582888"/>
      </c:lineChart>
      <c:catAx>
        <c:axId val="842484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0582888"/>
        <c:crosses val="autoZero"/>
        <c:auto val="1"/>
        <c:lblAlgn val="ctr"/>
        <c:lblOffset val="100"/>
        <c:noMultiLvlLbl val="0"/>
      </c:catAx>
      <c:valAx>
        <c:axId val="905828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42484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E67E22"/>
              </a:solidFill>
              <a:round/>
            </a:ln>
          </c:spPr>
          <c:marker>
            <c:symbol val="circle"/>
            <c:size val="4"/>
            <c:spPr>
              <a:solidFill>
                <a:srgbClr val="E67E2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Cálculos!$S$91:$S$126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34-45CF-808B-1666D35A7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4431940"/>
        <c:axId val="44851610"/>
      </c:lineChart>
      <c:catAx>
        <c:axId val="844319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4851610"/>
        <c:crosses val="autoZero"/>
        <c:auto val="1"/>
        <c:lblAlgn val="ctr"/>
        <c:lblOffset val="100"/>
        <c:noMultiLvlLbl val="0"/>
      </c:catAx>
      <c:valAx>
        <c:axId val="448516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44319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27AE60"/>
              </a:solidFill>
              <a:round/>
            </a:ln>
          </c:spPr>
          <c:marker>
            <c:symbol val="circle"/>
            <c:size val="4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Cálculos!$A$91:$A$126</c:f>
              <c:strCache>
                <c:ptCount val="1"/>
                <c:pt idx="0">
                  <c:v>07/2026</c:v>
                </c:pt>
              </c:strCache>
            </c:strRef>
          </c:cat>
          <c:val>
            <c:numRef>
              <c:f>Cálculos!$T$91:$T$126</c:f>
              <c:numCache>
                <c:formatCode>General</c:formatCode>
                <c:ptCount val="36"/>
                <c:pt idx="0">
                  <c:v>100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06-4A3E-89B7-D817D62AFC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3929772"/>
        <c:axId val="15721907"/>
      </c:lineChart>
      <c:catAx>
        <c:axId val="239297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5721907"/>
        <c:crosses val="autoZero"/>
        <c:auto val="1"/>
        <c:lblAlgn val="ctr"/>
        <c:lblOffset val="100"/>
        <c:noMultiLvlLbl val="0"/>
      </c:catAx>
      <c:valAx>
        <c:axId val="157219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39297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chart" Target="../charts/chart30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" Type="http://schemas.openxmlformats.org/officeDocument/2006/relationships/chart" Target="../charts/chart19.xml"/><Relationship Id="rId16" Type="http://schemas.openxmlformats.org/officeDocument/2006/relationships/chart" Target="../charts/chart33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5" Type="http://schemas.openxmlformats.org/officeDocument/2006/relationships/chart" Target="../charts/chart3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chart" Target="../charts/chart3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13" Type="http://schemas.openxmlformats.org/officeDocument/2006/relationships/chart" Target="../charts/chart47.xml"/><Relationship Id="rId3" Type="http://schemas.openxmlformats.org/officeDocument/2006/relationships/chart" Target="../charts/chart37.xml"/><Relationship Id="rId7" Type="http://schemas.openxmlformats.org/officeDocument/2006/relationships/chart" Target="../charts/chart41.xml"/><Relationship Id="rId12" Type="http://schemas.openxmlformats.org/officeDocument/2006/relationships/chart" Target="../charts/chart46.xml"/><Relationship Id="rId17" Type="http://schemas.openxmlformats.org/officeDocument/2006/relationships/chart" Target="../charts/chart51.xml"/><Relationship Id="rId2" Type="http://schemas.openxmlformats.org/officeDocument/2006/relationships/chart" Target="../charts/chart36.xml"/><Relationship Id="rId16" Type="http://schemas.openxmlformats.org/officeDocument/2006/relationships/chart" Target="../charts/chart50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5" Type="http://schemas.openxmlformats.org/officeDocument/2006/relationships/chart" Target="../charts/chart39.xml"/><Relationship Id="rId15" Type="http://schemas.openxmlformats.org/officeDocument/2006/relationships/chart" Target="../charts/chart49.xml"/><Relationship Id="rId10" Type="http://schemas.openxmlformats.org/officeDocument/2006/relationships/chart" Target="../charts/chart44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Relationship Id="rId14" Type="http://schemas.openxmlformats.org/officeDocument/2006/relationships/chart" Target="../charts/chart48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9.xml"/><Relationship Id="rId13" Type="http://schemas.openxmlformats.org/officeDocument/2006/relationships/chart" Target="../charts/chart64.xml"/><Relationship Id="rId3" Type="http://schemas.openxmlformats.org/officeDocument/2006/relationships/chart" Target="../charts/chart54.xml"/><Relationship Id="rId7" Type="http://schemas.openxmlformats.org/officeDocument/2006/relationships/chart" Target="../charts/chart58.xml"/><Relationship Id="rId12" Type="http://schemas.openxmlformats.org/officeDocument/2006/relationships/chart" Target="../charts/chart63.xml"/><Relationship Id="rId17" Type="http://schemas.openxmlformats.org/officeDocument/2006/relationships/chart" Target="../charts/chart68.xml"/><Relationship Id="rId2" Type="http://schemas.openxmlformats.org/officeDocument/2006/relationships/chart" Target="../charts/chart53.xml"/><Relationship Id="rId16" Type="http://schemas.openxmlformats.org/officeDocument/2006/relationships/chart" Target="../charts/chart67.xml"/><Relationship Id="rId1" Type="http://schemas.openxmlformats.org/officeDocument/2006/relationships/chart" Target="../charts/chart52.xml"/><Relationship Id="rId6" Type="http://schemas.openxmlformats.org/officeDocument/2006/relationships/chart" Target="../charts/chart57.xml"/><Relationship Id="rId11" Type="http://schemas.openxmlformats.org/officeDocument/2006/relationships/chart" Target="../charts/chart62.xml"/><Relationship Id="rId5" Type="http://schemas.openxmlformats.org/officeDocument/2006/relationships/chart" Target="../charts/chart56.xml"/><Relationship Id="rId15" Type="http://schemas.openxmlformats.org/officeDocument/2006/relationships/chart" Target="../charts/chart66.xml"/><Relationship Id="rId10" Type="http://schemas.openxmlformats.org/officeDocument/2006/relationships/chart" Target="../charts/chart61.xml"/><Relationship Id="rId4" Type="http://schemas.openxmlformats.org/officeDocument/2006/relationships/chart" Target="../charts/chart55.xml"/><Relationship Id="rId9" Type="http://schemas.openxmlformats.org/officeDocument/2006/relationships/chart" Target="../charts/chart60.xml"/><Relationship Id="rId14" Type="http://schemas.openxmlformats.org/officeDocument/2006/relationships/chart" Target="../charts/chart6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6.xml"/><Relationship Id="rId13" Type="http://schemas.openxmlformats.org/officeDocument/2006/relationships/chart" Target="../charts/chart81.xml"/><Relationship Id="rId3" Type="http://schemas.openxmlformats.org/officeDocument/2006/relationships/chart" Target="../charts/chart71.xml"/><Relationship Id="rId7" Type="http://schemas.openxmlformats.org/officeDocument/2006/relationships/chart" Target="../charts/chart75.xml"/><Relationship Id="rId12" Type="http://schemas.openxmlformats.org/officeDocument/2006/relationships/chart" Target="../charts/chart80.xml"/><Relationship Id="rId17" Type="http://schemas.openxmlformats.org/officeDocument/2006/relationships/chart" Target="../charts/chart85.xml"/><Relationship Id="rId2" Type="http://schemas.openxmlformats.org/officeDocument/2006/relationships/chart" Target="../charts/chart70.xml"/><Relationship Id="rId16" Type="http://schemas.openxmlformats.org/officeDocument/2006/relationships/chart" Target="../charts/chart84.xml"/><Relationship Id="rId1" Type="http://schemas.openxmlformats.org/officeDocument/2006/relationships/chart" Target="../charts/chart69.xml"/><Relationship Id="rId6" Type="http://schemas.openxmlformats.org/officeDocument/2006/relationships/chart" Target="../charts/chart74.xml"/><Relationship Id="rId11" Type="http://schemas.openxmlformats.org/officeDocument/2006/relationships/chart" Target="../charts/chart79.xml"/><Relationship Id="rId5" Type="http://schemas.openxmlformats.org/officeDocument/2006/relationships/chart" Target="../charts/chart73.xml"/><Relationship Id="rId15" Type="http://schemas.openxmlformats.org/officeDocument/2006/relationships/chart" Target="../charts/chart83.xml"/><Relationship Id="rId10" Type="http://schemas.openxmlformats.org/officeDocument/2006/relationships/chart" Target="../charts/chart78.xml"/><Relationship Id="rId4" Type="http://schemas.openxmlformats.org/officeDocument/2006/relationships/chart" Target="../charts/chart72.xml"/><Relationship Id="rId9" Type="http://schemas.openxmlformats.org/officeDocument/2006/relationships/chart" Target="../charts/chart77.xml"/><Relationship Id="rId14" Type="http://schemas.openxmlformats.org/officeDocument/2006/relationships/chart" Target="../charts/chart8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86400</xdr:rowOff>
    </xdr:from>
    <xdr:to>
      <xdr:col>7</xdr:col>
      <xdr:colOff>306720</xdr:colOff>
      <xdr:row>19</xdr:row>
      <xdr:rowOff>176040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7</xdr:row>
      <xdr:rowOff>86400</xdr:rowOff>
    </xdr:from>
    <xdr:to>
      <xdr:col>15</xdr:col>
      <xdr:colOff>220635</xdr:colOff>
      <xdr:row>19</xdr:row>
      <xdr:rowOff>176040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21</xdr:row>
      <xdr:rowOff>86400</xdr:rowOff>
    </xdr:from>
    <xdr:to>
      <xdr:col>7</xdr:col>
      <xdr:colOff>306720</xdr:colOff>
      <xdr:row>33</xdr:row>
      <xdr:rowOff>176040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21</xdr:row>
      <xdr:rowOff>86400</xdr:rowOff>
    </xdr:from>
    <xdr:to>
      <xdr:col>15</xdr:col>
      <xdr:colOff>220635</xdr:colOff>
      <xdr:row>33</xdr:row>
      <xdr:rowOff>176040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35</xdr:row>
      <xdr:rowOff>86400</xdr:rowOff>
    </xdr:from>
    <xdr:to>
      <xdr:col>7</xdr:col>
      <xdr:colOff>306720</xdr:colOff>
      <xdr:row>47</xdr:row>
      <xdr:rowOff>176040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35</xdr:row>
      <xdr:rowOff>86400</xdr:rowOff>
    </xdr:from>
    <xdr:to>
      <xdr:col>15</xdr:col>
      <xdr:colOff>220635</xdr:colOff>
      <xdr:row>47</xdr:row>
      <xdr:rowOff>176040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49</xdr:row>
      <xdr:rowOff>86400</xdr:rowOff>
    </xdr:from>
    <xdr:to>
      <xdr:col>7</xdr:col>
      <xdr:colOff>306720</xdr:colOff>
      <xdr:row>61</xdr:row>
      <xdr:rowOff>176040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49</xdr:row>
      <xdr:rowOff>86400</xdr:rowOff>
    </xdr:from>
    <xdr:to>
      <xdr:col>15</xdr:col>
      <xdr:colOff>220635</xdr:colOff>
      <xdr:row>61</xdr:row>
      <xdr:rowOff>176040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63</xdr:row>
      <xdr:rowOff>86400</xdr:rowOff>
    </xdr:from>
    <xdr:to>
      <xdr:col>7</xdr:col>
      <xdr:colOff>306720</xdr:colOff>
      <xdr:row>75</xdr:row>
      <xdr:rowOff>176040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63</xdr:row>
      <xdr:rowOff>86400</xdr:rowOff>
    </xdr:from>
    <xdr:to>
      <xdr:col>15</xdr:col>
      <xdr:colOff>220635</xdr:colOff>
      <xdr:row>75</xdr:row>
      <xdr:rowOff>176040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77</xdr:row>
      <xdr:rowOff>86400</xdr:rowOff>
    </xdr:from>
    <xdr:to>
      <xdr:col>7</xdr:col>
      <xdr:colOff>306720</xdr:colOff>
      <xdr:row>89</xdr:row>
      <xdr:rowOff>176040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9</xdr:col>
      <xdr:colOff>0</xdr:colOff>
      <xdr:row>77</xdr:row>
      <xdr:rowOff>86400</xdr:rowOff>
    </xdr:from>
    <xdr:to>
      <xdr:col>15</xdr:col>
      <xdr:colOff>220635</xdr:colOff>
      <xdr:row>89</xdr:row>
      <xdr:rowOff>176040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</xdr:col>
      <xdr:colOff>0</xdr:colOff>
      <xdr:row>91</xdr:row>
      <xdr:rowOff>86400</xdr:rowOff>
    </xdr:from>
    <xdr:to>
      <xdr:col>7</xdr:col>
      <xdr:colOff>306720</xdr:colOff>
      <xdr:row>103</xdr:row>
      <xdr:rowOff>176040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91</xdr:row>
      <xdr:rowOff>86400</xdr:rowOff>
    </xdr:from>
    <xdr:to>
      <xdr:col>15</xdr:col>
      <xdr:colOff>220635</xdr:colOff>
      <xdr:row>103</xdr:row>
      <xdr:rowOff>176040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</xdr:col>
      <xdr:colOff>0</xdr:colOff>
      <xdr:row>105</xdr:row>
      <xdr:rowOff>86400</xdr:rowOff>
    </xdr:from>
    <xdr:to>
      <xdr:col>7</xdr:col>
      <xdr:colOff>306720</xdr:colOff>
      <xdr:row>117</xdr:row>
      <xdr:rowOff>176040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9</xdr:col>
      <xdr:colOff>0</xdr:colOff>
      <xdr:row>105</xdr:row>
      <xdr:rowOff>86400</xdr:rowOff>
    </xdr:from>
    <xdr:to>
      <xdr:col>15</xdr:col>
      <xdr:colOff>220635</xdr:colOff>
      <xdr:row>117</xdr:row>
      <xdr:rowOff>176040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</xdr:col>
      <xdr:colOff>0</xdr:colOff>
      <xdr:row>119</xdr:row>
      <xdr:rowOff>86400</xdr:rowOff>
    </xdr:from>
    <xdr:to>
      <xdr:col>7</xdr:col>
      <xdr:colOff>306720</xdr:colOff>
      <xdr:row>131</xdr:row>
      <xdr:rowOff>176040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86400</xdr:rowOff>
    </xdr:from>
    <xdr:to>
      <xdr:col>7</xdr:col>
      <xdr:colOff>306720</xdr:colOff>
      <xdr:row>19</xdr:row>
      <xdr:rowOff>176040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7</xdr:row>
      <xdr:rowOff>86400</xdr:rowOff>
    </xdr:from>
    <xdr:to>
      <xdr:col>15</xdr:col>
      <xdr:colOff>306360</xdr:colOff>
      <xdr:row>19</xdr:row>
      <xdr:rowOff>176040</xdr:rowOff>
    </xdr:to>
    <xdr:graphicFrame macro="">
      <xdr:nvGraphicFramePr>
        <xdr:cNvPr id="18" name="Chart 2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21</xdr:row>
      <xdr:rowOff>86400</xdr:rowOff>
    </xdr:from>
    <xdr:to>
      <xdr:col>7</xdr:col>
      <xdr:colOff>306720</xdr:colOff>
      <xdr:row>33</xdr:row>
      <xdr:rowOff>176040</xdr:rowOff>
    </xdr:to>
    <xdr:graphicFrame macro="">
      <xdr:nvGraphicFramePr>
        <xdr:cNvPr id="19" name="Chart 3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21</xdr:row>
      <xdr:rowOff>86400</xdr:rowOff>
    </xdr:from>
    <xdr:to>
      <xdr:col>15</xdr:col>
      <xdr:colOff>306360</xdr:colOff>
      <xdr:row>33</xdr:row>
      <xdr:rowOff>176040</xdr:rowOff>
    </xdr:to>
    <xdr:graphicFrame macro="">
      <xdr:nvGraphicFramePr>
        <xdr:cNvPr id="20" name="Chart 4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35</xdr:row>
      <xdr:rowOff>86400</xdr:rowOff>
    </xdr:from>
    <xdr:to>
      <xdr:col>7</xdr:col>
      <xdr:colOff>306720</xdr:colOff>
      <xdr:row>47</xdr:row>
      <xdr:rowOff>176040</xdr:rowOff>
    </xdr:to>
    <xdr:graphicFrame macro="">
      <xdr:nvGraphicFramePr>
        <xdr:cNvPr id="21" name="Chart 5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35</xdr:row>
      <xdr:rowOff>86400</xdr:rowOff>
    </xdr:from>
    <xdr:to>
      <xdr:col>15</xdr:col>
      <xdr:colOff>306360</xdr:colOff>
      <xdr:row>47</xdr:row>
      <xdr:rowOff>176040</xdr:rowOff>
    </xdr:to>
    <xdr:graphicFrame macro="">
      <xdr:nvGraphicFramePr>
        <xdr:cNvPr id="22" name="Chart 6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49</xdr:row>
      <xdr:rowOff>86400</xdr:rowOff>
    </xdr:from>
    <xdr:to>
      <xdr:col>7</xdr:col>
      <xdr:colOff>306720</xdr:colOff>
      <xdr:row>61</xdr:row>
      <xdr:rowOff>176040</xdr:rowOff>
    </xdr:to>
    <xdr:graphicFrame macro="">
      <xdr:nvGraphicFramePr>
        <xdr:cNvPr id="23" name="Chart 7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49</xdr:row>
      <xdr:rowOff>86400</xdr:rowOff>
    </xdr:from>
    <xdr:to>
      <xdr:col>15</xdr:col>
      <xdr:colOff>306360</xdr:colOff>
      <xdr:row>61</xdr:row>
      <xdr:rowOff>176040</xdr:rowOff>
    </xdr:to>
    <xdr:graphicFrame macro="">
      <xdr:nvGraphicFramePr>
        <xdr:cNvPr id="24" name="Chart 8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63</xdr:row>
      <xdr:rowOff>86400</xdr:rowOff>
    </xdr:from>
    <xdr:to>
      <xdr:col>7</xdr:col>
      <xdr:colOff>306720</xdr:colOff>
      <xdr:row>75</xdr:row>
      <xdr:rowOff>176040</xdr:rowOff>
    </xdr:to>
    <xdr:graphicFrame macro="">
      <xdr:nvGraphicFramePr>
        <xdr:cNvPr id="25" name="Chart 9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63</xdr:row>
      <xdr:rowOff>86400</xdr:rowOff>
    </xdr:from>
    <xdr:to>
      <xdr:col>15</xdr:col>
      <xdr:colOff>306360</xdr:colOff>
      <xdr:row>75</xdr:row>
      <xdr:rowOff>176040</xdr:rowOff>
    </xdr:to>
    <xdr:graphicFrame macro="">
      <xdr:nvGraphicFramePr>
        <xdr:cNvPr id="26" name="Chart 10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77</xdr:row>
      <xdr:rowOff>86400</xdr:rowOff>
    </xdr:from>
    <xdr:to>
      <xdr:col>7</xdr:col>
      <xdr:colOff>306720</xdr:colOff>
      <xdr:row>89</xdr:row>
      <xdr:rowOff>176040</xdr:rowOff>
    </xdr:to>
    <xdr:graphicFrame macro="">
      <xdr:nvGraphicFramePr>
        <xdr:cNvPr id="27" name="Chart 11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9</xdr:col>
      <xdr:colOff>0</xdr:colOff>
      <xdr:row>77</xdr:row>
      <xdr:rowOff>86400</xdr:rowOff>
    </xdr:from>
    <xdr:to>
      <xdr:col>15</xdr:col>
      <xdr:colOff>306360</xdr:colOff>
      <xdr:row>89</xdr:row>
      <xdr:rowOff>176040</xdr:rowOff>
    </xdr:to>
    <xdr:graphicFrame macro="">
      <xdr:nvGraphicFramePr>
        <xdr:cNvPr id="28" name="Chart 12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</xdr:col>
      <xdr:colOff>0</xdr:colOff>
      <xdr:row>91</xdr:row>
      <xdr:rowOff>86400</xdr:rowOff>
    </xdr:from>
    <xdr:to>
      <xdr:col>7</xdr:col>
      <xdr:colOff>306720</xdr:colOff>
      <xdr:row>103</xdr:row>
      <xdr:rowOff>176040</xdr:rowOff>
    </xdr:to>
    <xdr:graphicFrame macro="">
      <xdr:nvGraphicFramePr>
        <xdr:cNvPr id="29" name="Chart 13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91</xdr:row>
      <xdr:rowOff>86400</xdr:rowOff>
    </xdr:from>
    <xdr:to>
      <xdr:col>15</xdr:col>
      <xdr:colOff>306360</xdr:colOff>
      <xdr:row>103</xdr:row>
      <xdr:rowOff>176040</xdr:rowOff>
    </xdr:to>
    <xdr:graphicFrame macro="">
      <xdr:nvGraphicFramePr>
        <xdr:cNvPr id="30" name="Chart 14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</xdr:col>
      <xdr:colOff>0</xdr:colOff>
      <xdr:row>105</xdr:row>
      <xdr:rowOff>86400</xdr:rowOff>
    </xdr:from>
    <xdr:to>
      <xdr:col>7</xdr:col>
      <xdr:colOff>306720</xdr:colOff>
      <xdr:row>117</xdr:row>
      <xdr:rowOff>176040</xdr:rowOff>
    </xdr:to>
    <xdr:graphicFrame macro="">
      <xdr:nvGraphicFramePr>
        <xdr:cNvPr id="31" name="Chart 15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9</xdr:col>
      <xdr:colOff>0</xdr:colOff>
      <xdr:row>105</xdr:row>
      <xdr:rowOff>86400</xdr:rowOff>
    </xdr:from>
    <xdr:to>
      <xdr:col>15</xdr:col>
      <xdr:colOff>306360</xdr:colOff>
      <xdr:row>117</xdr:row>
      <xdr:rowOff>176040</xdr:rowOff>
    </xdr:to>
    <xdr:graphicFrame macro="">
      <xdr:nvGraphicFramePr>
        <xdr:cNvPr id="32" name="Chart 16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</xdr:col>
      <xdr:colOff>0</xdr:colOff>
      <xdr:row>119</xdr:row>
      <xdr:rowOff>86400</xdr:rowOff>
    </xdr:from>
    <xdr:to>
      <xdr:col>7</xdr:col>
      <xdr:colOff>306720</xdr:colOff>
      <xdr:row>131</xdr:row>
      <xdr:rowOff>176040</xdr:rowOff>
    </xdr:to>
    <xdr:graphicFrame macro="">
      <xdr:nvGraphicFramePr>
        <xdr:cNvPr id="33" name="Chart 17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86400</xdr:rowOff>
    </xdr:from>
    <xdr:to>
      <xdr:col>7</xdr:col>
      <xdr:colOff>306720</xdr:colOff>
      <xdr:row>19</xdr:row>
      <xdr:rowOff>176040</xdr:rowOff>
    </xdr:to>
    <xdr:graphicFrame macro="">
      <xdr:nvGraphicFramePr>
        <xdr:cNvPr id="34" name="Chart 1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7</xdr:row>
      <xdr:rowOff>86400</xdr:rowOff>
    </xdr:from>
    <xdr:to>
      <xdr:col>15</xdr:col>
      <xdr:colOff>306360</xdr:colOff>
      <xdr:row>19</xdr:row>
      <xdr:rowOff>176040</xdr:rowOff>
    </xdr:to>
    <xdr:graphicFrame macro="">
      <xdr:nvGraphicFramePr>
        <xdr:cNvPr id="35" name="Chart 2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21</xdr:row>
      <xdr:rowOff>86400</xdr:rowOff>
    </xdr:from>
    <xdr:to>
      <xdr:col>7</xdr:col>
      <xdr:colOff>306720</xdr:colOff>
      <xdr:row>33</xdr:row>
      <xdr:rowOff>176040</xdr:rowOff>
    </xdr:to>
    <xdr:graphicFrame macro="">
      <xdr:nvGraphicFramePr>
        <xdr:cNvPr id="36" name="Chart 3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21</xdr:row>
      <xdr:rowOff>86400</xdr:rowOff>
    </xdr:from>
    <xdr:to>
      <xdr:col>15</xdr:col>
      <xdr:colOff>306360</xdr:colOff>
      <xdr:row>33</xdr:row>
      <xdr:rowOff>176040</xdr:rowOff>
    </xdr:to>
    <xdr:graphicFrame macro="">
      <xdr:nvGraphicFramePr>
        <xdr:cNvPr id="37" name="Chart 4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35</xdr:row>
      <xdr:rowOff>86400</xdr:rowOff>
    </xdr:from>
    <xdr:to>
      <xdr:col>7</xdr:col>
      <xdr:colOff>306720</xdr:colOff>
      <xdr:row>47</xdr:row>
      <xdr:rowOff>176040</xdr:rowOff>
    </xdr:to>
    <xdr:graphicFrame macro="">
      <xdr:nvGraphicFramePr>
        <xdr:cNvPr id="38" name="Chart 5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35</xdr:row>
      <xdr:rowOff>86400</xdr:rowOff>
    </xdr:from>
    <xdr:to>
      <xdr:col>15</xdr:col>
      <xdr:colOff>306360</xdr:colOff>
      <xdr:row>47</xdr:row>
      <xdr:rowOff>176040</xdr:rowOff>
    </xdr:to>
    <xdr:graphicFrame macro="">
      <xdr:nvGraphicFramePr>
        <xdr:cNvPr id="39" name="Chart 6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49</xdr:row>
      <xdr:rowOff>86400</xdr:rowOff>
    </xdr:from>
    <xdr:to>
      <xdr:col>7</xdr:col>
      <xdr:colOff>306720</xdr:colOff>
      <xdr:row>61</xdr:row>
      <xdr:rowOff>176040</xdr:rowOff>
    </xdr:to>
    <xdr:graphicFrame macro="">
      <xdr:nvGraphicFramePr>
        <xdr:cNvPr id="40" name="Chart 7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49</xdr:row>
      <xdr:rowOff>86400</xdr:rowOff>
    </xdr:from>
    <xdr:to>
      <xdr:col>15</xdr:col>
      <xdr:colOff>306360</xdr:colOff>
      <xdr:row>61</xdr:row>
      <xdr:rowOff>176040</xdr:rowOff>
    </xdr:to>
    <xdr:graphicFrame macro="">
      <xdr:nvGraphicFramePr>
        <xdr:cNvPr id="41" name="Chart 8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63</xdr:row>
      <xdr:rowOff>86400</xdr:rowOff>
    </xdr:from>
    <xdr:to>
      <xdr:col>7</xdr:col>
      <xdr:colOff>306720</xdr:colOff>
      <xdr:row>75</xdr:row>
      <xdr:rowOff>176040</xdr:rowOff>
    </xdr:to>
    <xdr:graphicFrame macro="">
      <xdr:nvGraphicFramePr>
        <xdr:cNvPr id="42" name="Chart 9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63</xdr:row>
      <xdr:rowOff>86400</xdr:rowOff>
    </xdr:from>
    <xdr:to>
      <xdr:col>15</xdr:col>
      <xdr:colOff>306360</xdr:colOff>
      <xdr:row>75</xdr:row>
      <xdr:rowOff>176040</xdr:rowOff>
    </xdr:to>
    <xdr:graphicFrame macro="">
      <xdr:nvGraphicFramePr>
        <xdr:cNvPr id="43" name="Chart 10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77</xdr:row>
      <xdr:rowOff>86400</xdr:rowOff>
    </xdr:from>
    <xdr:to>
      <xdr:col>7</xdr:col>
      <xdr:colOff>306720</xdr:colOff>
      <xdr:row>89</xdr:row>
      <xdr:rowOff>176040</xdr:rowOff>
    </xdr:to>
    <xdr:graphicFrame macro="">
      <xdr:nvGraphicFramePr>
        <xdr:cNvPr id="44" name="Chart 11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9</xdr:col>
      <xdr:colOff>0</xdr:colOff>
      <xdr:row>77</xdr:row>
      <xdr:rowOff>86400</xdr:rowOff>
    </xdr:from>
    <xdr:to>
      <xdr:col>15</xdr:col>
      <xdr:colOff>306360</xdr:colOff>
      <xdr:row>89</xdr:row>
      <xdr:rowOff>176040</xdr:rowOff>
    </xdr:to>
    <xdr:graphicFrame macro="">
      <xdr:nvGraphicFramePr>
        <xdr:cNvPr id="45" name="Chart 12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</xdr:col>
      <xdr:colOff>0</xdr:colOff>
      <xdr:row>91</xdr:row>
      <xdr:rowOff>86400</xdr:rowOff>
    </xdr:from>
    <xdr:to>
      <xdr:col>7</xdr:col>
      <xdr:colOff>306720</xdr:colOff>
      <xdr:row>103</xdr:row>
      <xdr:rowOff>176040</xdr:rowOff>
    </xdr:to>
    <xdr:graphicFrame macro="">
      <xdr:nvGraphicFramePr>
        <xdr:cNvPr id="46" name="Chart 13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91</xdr:row>
      <xdr:rowOff>86400</xdr:rowOff>
    </xdr:from>
    <xdr:to>
      <xdr:col>15</xdr:col>
      <xdr:colOff>306360</xdr:colOff>
      <xdr:row>103</xdr:row>
      <xdr:rowOff>176040</xdr:rowOff>
    </xdr:to>
    <xdr:graphicFrame macro="">
      <xdr:nvGraphicFramePr>
        <xdr:cNvPr id="47" name="Chart 14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</xdr:col>
      <xdr:colOff>0</xdr:colOff>
      <xdr:row>105</xdr:row>
      <xdr:rowOff>86400</xdr:rowOff>
    </xdr:from>
    <xdr:to>
      <xdr:col>7</xdr:col>
      <xdr:colOff>306720</xdr:colOff>
      <xdr:row>117</xdr:row>
      <xdr:rowOff>176040</xdr:rowOff>
    </xdr:to>
    <xdr:graphicFrame macro="">
      <xdr:nvGraphicFramePr>
        <xdr:cNvPr id="48" name="Chart 15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9</xdr:col>
      <xdr:colOff>0</xdr:colOff>
      <xdr:row>105</xdr:row>
      <xdr:rowOff>86400</xdr:rowOff>
    </xdr:from>
    <xdr:to>
      <xdr:col>15</xdr:col>
      <xdr:colOff>306360</xdr:colOff>
      <xdr:row>117</xdr:row>
      <xdr:rowOff>176040</xdr:rowOff>
    </xdr:to>
    <xdr:graphicFrame macro="">
      <xdr:nvGraphicFramePr>
        <xdr:cNvPr id="49" name="Chart 16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</xdr:col>
      <xdr:colOff>0</xdr:colOff>
      <xdr:row>119</xdr:row>
      <xdr:rowOff>86400</xdr:rowOff>
    </xdr:from>
    <xdr:to>
      <xdr:col>7</xdr:col>
      <xdr:colOff>306720</xdr:colOff>
      <xdr:row>131</xdr:row>
      <xdr:rowOff>176040</xdr:rowOff>
    </xdr:to>
    <xdr:graphicFrame macro="">
      <xdr:nvGraphicFramePr>
        <xdr:cNvPr id="50" name="Chart 17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86400</xdr:rowOff>
    </xdr:from>
    <xdr:to>
      <xdr:col>7</xdr:col>
      <xdr:colOff>306720</xdr:colOff>
      <xdr:row>19</xdr:row>
      <xdr:rowOff>176040</xdr:rowOff>
    </xdr:to>
    <xdr:graphicFrame macro="">
      <xdr:nvGraphicFramePr>
        <xdr:cNvPr id="51" name="Chart 1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7</xdr:row>
      <xdr:rowOff>86400</xdr:rowOff>
    </xdr:from>
    <xdr:to>
      <xdr:col>15</xdr:col>
      <xdr:colOff>306360</xdr:colOff>
      <xdr:row>19</xdr:row>
      <xdr:rowOff>176040</xdr:rowOff>
    </xdr:to>
    <xdr:graphicFrame macro="">
      <xdr:nvGraphicFramePr>
        <xdr:cNvPr id="52" name="Chart 2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21</xdr:row>
      <xdr:rowOff>86400</xdr:rowOff>
    </xdr:from>
    <xdr:to>
      <xdr:col>7</xdr:col>
      <xdr:colOff>306720</xdr:colOff>
      <xdr:row>33</xdr:row>
      <xdr:rowOff>176040</xdr:rowOff>
    </xdr:to>
    <xdr:graphicFrame macro="">
      <xdr:nvGraphicFramePr>
        <xdr:cNvPr id="53" name="Chart 3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21</xdr:row>
      <xdr:rowOff>86400</xdr:rowOff>
    </xdr:from>
    <xdr:to>
      <xdr:col>15</xdr:col>
      <xdr:colOff>306360</xdr:colOff>
      <xdr:row>33</xdr:row>
      <xdr:rowOff>176040</xdr:rowOff>
    </xdr:to>
    <xdr:graphicFrame macro="">
      <xdr:nvGraphicFramePr>
        <xdr:cNvPr id="54" name="Chart 4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35</xdr:row>
      <xdr:rowOff>86400</xdr:rowOff>
    </xdr:from>
    <xdr:to>
      <xdr:col>7</xdr:col>
      <xdr:colOff>306720</xdr:colOff>
      <xdr:row>47</xdr:row>
      <xdr:rowOff>176040</xdr:rowOff>
    </xdr:to>
    <xdr:graphicFrame macro="">
      <xdr:nvGraphicFramePr>
        <xdr:cNvPr id="55" name="Chart 5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35</xdr:row>
      <xdr:rowOff>86400</xdr:rowOff>
    </xdr:from>
    <xdr:to>
      <xdr:col>15</xdr:col>
      <xdr:colOff>306360</xdr:colOff>
      <xdr:row>47</xdr:row>
      <xdr:rowOff>176040</xdr:rowOff>
    </xdr:to>
    <xdr:graphicFrame macro="">
      <xdr:nvGraphicFramePr>
        <xdr:cNvPr id="56" name="Chart 6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49</xdr:row>
      <xdr:rowOff>86400</xdr:rowOff>
    </xdr:from>
    <xdr:to>
      <xdr:col>7</xdr:col>
      <xdr:colOff>306720</xdr:colOff>
      <xdr:row>61</xdr:row>
      <xdr:rowOff>176040</xdr:rowOff>
    </xdr:to>
    <xdr:graphicFrame macro="">
      <xdr:nvGraphicFramePr>
        <xdr:cNvPr id="57" name="Chart 7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49</xdr:row>
      <xdr:rowOff>86400</xdr:rowOff>
    </xdr:from>
    <xdr:to>
      <xdr:col>15</xdr:col>
      <xdr:colOff>306360</xdr:colOff>
      <xdr:row>61</xdr:row>
      <xdr:rowOff>176040</xdr:rowOff>
    </xdr:to>
    <xdr:graphicFrame macro="">
      <xdr:nvGraphicFramePr>
        <xdr:cNvPr id="58" name="Chart 8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63</xdr:row>
      <xdr:rowOff>86400</xdr:rowOff>
    </xdr:from>
    <xdr:to>
      <xdr:col>7</xdr:col>
      <xdr:colOff>306720</xdr:colOff>
      <xdr:row>75</xdr:row>
      <xdr:rowOff>176040</xdr:rowOff>
    </xdr:to>
    <xdr:graphicFrame macro="">
      <xdr:nvGraphicFramePr>
        <xdr:cNvPr id="59" name="Chart 9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63</xdr:row>
      <xdr:rowOff>86400</xdr:rowOff>
    </xdr:from>
    <xdr:to>
      <xdr:col>15</xdr:col>
      <xdr:colOff>306360</xdr:colOff>
      <xdr:row>75</xdr:row>
      <xdr:rowOff>176040</xdr:rowOff>
    </xdr:to>
    <xdr:graphicFrame macro="">
      <xdr:nvGraphicFramePr>
        <xdr:cNvPr id="60" name="Chart 10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77</xdr:row>
      <xdr:rowOff>86400</xdr:rowOff>
    </xdr:from>
    <xdr:to>
      <xdr:col>7</xdr:col>
      <xdr:colOff>306720</xdr:colOff>
      <xdr:row>89</xdr:row>
      <xdr:rowOff>176040</xdr:rowOff>
    </xdr:to>
    <xdr:graphicFrame macro="">
      <xdr:nvGraphicFramePr>
        <xdr:cNvPr id="61" name="Chart 11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9</xdr:col>
      <xdr:colOff>0</xdr:colOff>
      <xdr:row>77</xdr:row>
      <xdr:rowOff>86400</xdr:rowOff>
    </xdr:from>
    <xdr:to>
      <xdr:col>15</xdr:col>
      <xdr:colOff>306360</xdr:colOff>
      <xdr:row>89</xdr:row>
      <xdr:rowOff>176040</xdr:rowOff>
    </xdr:to>
    <xdr:graphicFrame macro="">
      <xdr:nvGraphicFramePr>
        <xdr:cNvPr id="62" name="Chart 12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</xdr:col>
      <xdr:colOff>0</xdr:colOff>
      <xdr:row>91</xdr:row>
      <xdr:rowOff>86400</xdr:rowOff>
    </xdr:from>
    <xdr:to>
      <xdr:col>7</xdr:col>
      <xdr:colOff>306720</xdr:colOff>
      <xdr:row>103</xdr:row>
      <xdr:rowOff>176040</xdr:rowOff>
    </xdr:to>
    <xdr:graphicFrame macro="">
      <xdr:nvGraphicFramePr>
        <xdr:cNvPr id="63" name="Chart 13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91</xdr:row>
      <xdr:rowOff>86400</xdr:rowOff>
    </xdr:from>
    <xdr:to>
      <xdr:col>15</xdr:col>
      <xdr:colOff>306360</xdr:colOff>
      <xdr:row>103</xdr:row>
      <xdr:rowOff>176040</xdr:rowOff>
    </xdr:to>
    <xdr:graphicFrame macro="">
      <xdr:nvGraphicFramePr>
        <xdr:cNvPr id="64" name="Chart 14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</xdr:col>
      <xdr:colOff>0</xdr:colOff>
      <xdr:row>105</xdr:row>
      <xdr:rowOff>86400</xdr:rowOff>
    </xdr:from>
    <xdr:to>
      <xdr:col>7</xdr:col>
      <xdr:colOff>306720</xdr:colOff>
      <xdr:row>117</xdr:row>
      <xdr:rowOff>176040</xdr:rowOff>
    </xdr:to>
    <xdr:graphicFrame macro="">
      <xdr:nvGraphicFramePr>
        <xdr:cNvPr id="65" name="Chart 15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9</xdr:col>
      <xdr:colOff>0</xdr:colOff>
      <xdr:row>105</xdr:row>
      <xdr:rowOff>86400</xdr:rowOff>
    </xdr:from>
    <xdr:to>
      <xdr:col>15</xdr:col>
      <xdr:colOff>306360</xdr:colOff>
      <xdr:row>117</xdr:row>
      <xdr:rowOff>176040</xdr:rowOff>
    </xdr:to>
    <xdr:graphicFrame macro="">
      <xdr:nvGraphicFramePr>
        <xdr:cNvPr id="66" name="Chart 16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</xdr:col>
      <xdr:colOff>0</xdr:colOff>
      <xdr:row>119</xdr:row>
      <xdr:rowOff>86400</xdr:rowOff>
    </xdr:from>
    <xdr:to>
      <xdr:col>7</xdr:col>
      <xdr:colOff>306720</xdr:colOff>
      <xdr:row>131</xdr:row>
      <xdr:rowOff>176040</xdr:rowOff>
    </xdr:to>
    <xdr:graphicFrame macro="">
      <xdr:nvGraphicFramePr>
        <xdr:cNvPr id="67" name="Chart 17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86400</xdr:rowOff>
    </xdr:from>
    <xdr:to>
      <xdr:col>7</xdr:col>
      <xdr:colOff>306720</xdr:colOff>
      <xdr:row>19</xdr:row>
      <xdr:rowOff>176040</xdr:rowOff>
    </xdr:to>
    <xdr:graphicFrame macro="">
      <xdr:nvGraphicFramePr>
        <xdr:cNvPr id="68" name="Chart 1">
          <a:extLst>
            <a:ext uri="{FF2B5EF4-FFF2-40B4-BE49-F238E27FC236}">
              <a16:creationId xmlns:a16="http://schemas.microsoft.com/office/drawing/2014/main" id="{00000000-0008-0000-0500-00004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7</xdr:row>
      <xdr:rowOff>86400</xdr:rowOff>
    </xdr:from>
    <xdr:to>
      <xdr:col>15</xdr:col>
      <xdr:colOff>306360</xdr:colOff>
      <xdr:row>19</xdr:row>
      <xdr:rowOff>176040</xdr:rowOff>
    </xdr:to>
    <xdr:graphicFrame macro="">
      <xdr:nvGraphicFramePr>
        <xdr:cNvPr id="69" name="Chart 2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21</xdr:row>
      <xdr:rowOff>86400</xdr:rowOff>
    </xdr:from>
    <xdr:to>
      <xdr:col>7</xdr:col>
      <xdr:colOff>306720</xdr:colOff>
      <xdr:row>33</xdr:row>
      <xdr:rowOff>176040</xdr:rowOff>
    </xdr:to>
    <xdr:graphicFrame macro="">
      <xdr:nvGraphicFramePr>
        <xdr:cNvPr id="70" name="Chart 3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21</xdr:row>
      <xdr:rowOff>86400</xdr:rowOff>
    </xdr:from>
    <xdr:to>
      <xdr:col>15</xdr:col>
      <xdr:colOff>306360</xdr:colOff>
      <xdr:row>33</xdr:row>
      <xdr:rowOff>176040</xdr:rowOff>
    </xdr:to>
    <xdr:graphicFrame macro="">
      <xdr:nvGraphicFramePr>
        <xdr:cNvPr id="71" name="Chart 4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35</xdr:row>
      <xdr:rowOff>86400</xdr:rowOff>
    </xdr:from>
    <xdr:to>
      <xdr:col>7</xdr:col>
      <xdr:colOff>306720</xdr:colOff>
      <xdr:row>47</xdr:row>
      <xdr:rowOff>176040</xdr:rowOff>
    </xdr:to>
    <xdr:graphicFrame macro="">
      <xdr:nvGraphicFramePr>
        <xdr:cNvPr id="72" name="Chart 5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35</xdr:row>
      <xdr:rowOff>86400</xdr:rowOff>
    </xdr:from>
    <xdr:to>
      <xdr:col>15</xdr:col>
      <xdr:colOff>306360</xdr:colOff>
      <xdr:row>47</xdr:row>
      <xdr:rowOff>176040</xdr:rowOff>
    </xdr:to>
    <xdr:graphicFrame macro="">
      <xdr:nvGraphicFramePr>
        <xdr:cNvPr id="73" name="Chart 6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49</xdr:row>
      <xdr:rowOff>86400</xdr:rowOff>
    </xdr:from>
    <xdr:to>
      <xdr:col>7</xdr:col>
      <xdr:colOff>306720</xdr:colOff>
      <xdr:row>61</xdr:row>
      <xdr:rowOff>176040</xdr:rowOff>
    </xdr:to>
    <xdr:graphicFrame macro="">
      <xdr:nvGraphicFramePr>
        <xdr:cNvPr id="74" name="Chart 7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49</xdr:row>
      <xdr:rowOff>86400</xdr:rowOff>
    </xdr:from>
    <xdr:to>
      <xdr:col>15</xdr:col>
      <xdr:colOff>306360</xdr:colOff>
      <xdr:row>61</xdr:row>
      <xdr:rowOff>176040</xdr:rowOff>
    </xdr:to>
    <xdr:graphicFrame macro="">
      <xdr:nvGraphicFramePr>
        <xdr:cNvPr id="75" name="Chart 8">
          <a:extLst>
            <a:ext uri="{FF2B5EF4-FFF2-40B4-BE49-F238E27FC236}">
              <a16:creationId xmlns:a16="http://schemas.microsoft.com/office/drawing/2014/main" id="{00000000-0008-0000-0500-00004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63</xdr:row>
      <xdr:rowOff>86400</xdr:rowOff>
    </xdr:from>
    <xdr:to>
      <xdr:col>7</xdr:col>
      <xdr:colOff>306720</xdr:colOff>
      <xdr:row>75</xdr:row>
      <xdr:rowOff>176040</xdr:rowOff>
    </xdr:to>
    <xdr:graphicFrame macro="">
      <xdr:nvGraphicFramePr>
        <xdr:cNvPr id="76" name="Chart 9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63</xdr:row>
      <xdr:rowOff>86400</xdr:rowOff>
    </xdr:from>
    <xdr:to>
      <xdr:col>15</xdr:col>
      <xdr:colOff>306360</xdr:colOff>
      <xdr:row>75</xdr:row>
      <xdr:rowOff>176040</xdr:rowOff>
    </xdr:to>
    <xdr:graphicFrame macro="">
      <xdr:nvGraphicFramePr>
        <xdr:cNvPr id="77" name="Chart 10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77</xdr:row>
      <xdr:rowOff>86400</xdr:rowOff>
    </xdr:from>
    <xdr:to>
      <xdr:col>7</xdr:col>
      <xdr:colOff>306720</xdr:colOff>
      <xdr:row>89</xdr:row>
      <xdr:rowOff>176040</xdr:rowOff>
    </xdr:to>
    <xdr:graphicFrame macro="">
      <xdr:nvGraphicFramePr>
        <xdr:cNvPr id="78" name="Chart 11">
          <a:extLst>
            <a:ext uri="{FF2B5EF4-FFF2-40B4-BE49-F238E27FC236}">
              <a16:creationId xmlns:a16="http://schemas.microsoft.com/office/drawing/2014/main" id="{00000000-0008-0000-0500-00004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9</xdr:col>
      <xdr:colOff>0</xdr:colOff>
      <xdr:row>77</xdr:row>
      <xdr:rowOff>86400</xdr:rowOff>
    </xdr:from>
    <xdr:to>
      <xdr:col>15</xdr:col>
      <xdr:colOff>306360</xdr:colOff>
      <xdr:row>89</xdr:row>
      <xdr:rowOff>176040</xdr:rowOff>
    </xdr:to>
    <xdr:graphicFrame macro="">
      <xdr:nvGraphicFramePr>
        <xdr:cNvPr id="79" name="Chart 12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</xdr:col>
      <xdr:colOff>0</xdr:colOff>
      <xdr:row>91</xdr:row>
      <xdr:rowOff>86400</xdr:rowOff>
    </xdr:from>
    <xdr:to>
      <xdr:col>7</xdr:col>
      <xdr:colOff>306720</xdr:colOff>
      <xdr:row>103</xdr:row>
      <xdr:rowOff>176040</xdr:rowOff>
    </xdr:to>
    <xdr:graphicFrame macro="">
      <xdr:nvGraphicFramePr>
        <xdr:cNvPr id="80" name="Chart 13">
          <a:extLst>
            <a:ext uri="{FF2B5EF4-FFF2-40B4-BE49-F238E27FC236}">
              <a16:creationId xmlns:a16="http://schemas.microsoft.com/office/drawing/2014/main" id="{00000000-0008-0000-0500-00005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91</xdr:row>
      <xdr:rowOff>86400</xdr:rowOff>
    </xdr:from>
    <xdr:to>
      <xdr:col>15</xdr:col>
      <xdr:colOff>306360</xdr:colOff>
      <xdr:row>103</xdr:row>
      <xdr:rowOff>176040</xdr:rowOff>
    </xdr:to>
    <xdr:graphicFrame macro="">
      <xdr:nvGraphicFramePr>
        <xdr:cNvPr id="81" name="Chart 14">
          <a:extLst>
            <a:ext uri="{FF2B5EF4-FFF2-40B4-BE49-F238E27FC236}">
              <a16:creationId xmlns:a16="http://schemas.microsoft.com/office/drawing/2014/main" id="{00000000-0008-0000-0500-00005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</xdr:col>
      <xdr:colOff>0</xdr:colOff>
      <xdr:row>105</xdr:row>
      <xdr:rowOff>86400</xdr:rowOff>
    </xdr:from>
    <xdr:to>
      <xdr:col>7</xdr:col>
      <xdr:colOff>306720</xdr:colOff>
      <xdr:row>117</xdr:row>
      <xdr:rowOff>176040</xdr:rowOff>
    </xdr:to>
    <xdr:graphicFrame macro="">
      <xdr:nvGraphicFramePr>
        <xdr:cNvPr id="82" name="Chart 15">
          <a:extLst>
            <a:ext uri="{FF2B5EF4-FFF2-40B4-BE49-F238E27FC236}">
              <a16:creationId xmlns:a16="http://schemas.microsoft.com/office/drawing/2014/main" id="{00000000-0008-0000-0500-00005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9</xdr:col>
      <xdr:colOff>0</xdr:colOff>
      <xdr:row>105</xdr:row>
      <xdr:rowOff>86400</xdr:rowOff>
    </xdr:from>
    <xdr:to>
      <xdr:col>15</xdr:col>
      <xdr:colOff>306360</xdr:colOff>
      <xdr:row>117</xdr:row>
      <xdr:rowOff>176040</xdr:rowOff>
    </xdr:to>
    <xdr:graphicFrame macro="">
      <xdr:nvGraphicFramePr>
        <xdr:cNvPr id="83" name="Chart 16">
          <a:extLst>
            <a:ext uri="{FF2B5EF4-FFF2-40B4-BE49-F238E27FC236}">
              <a16:creationId xmlns:a16="http://schemas.microsoft.com/office/drawing/2014/main" id="{00000000-0008-0000-0500-00005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</xdr:col>
      <xdr:colOff>0</xdr:colOff>
      <xdr:row>119</xdr:row>
      <xdr:rowOff>86400</xdr:rowOff>
    </xdr:from>
    <xdr:to>
      <xdr:col>7</xdr:col>
      <xdr:colOff>306720</xdr:colOff>
      <xdr:row>131</xdr:row>
      <xdr:rowOff>176040</xdr:rowOff>
    </xdr:to>
    <xdr:graphicFrame macro="">
      <xdr:nvGraphicFramePr>
        <xdr:cNvPr id="84" name="Chart 17">
          <a:extLst>
            <a:ext uri="{FF2B5EF4-FFF2-40B4-BE49-F238E27FC236}">
              <a16:creationId xmlns:a16="http://schemas.microsoft.com/office/drawing/2014/main" id="{00000000-0008-0000-0500-00005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ColWidth="8.7109375" defaultRowHeight="15" x14ac:dyDescent="0.25"/>
  <cols>
    <col min="1" max="1" width="21" customWidth="1"/>
    <col min="2" max="2" width="23" customWidth="1"/>
    <col min="3" max="3" width="20" customWidth="1"/>
    <col min="4" max="4" width="21" customWidth="1"/>
    <col min="5" max="5" width="16" customWidth="1"/>
    <col min="6" max="6" width="15" customWidth="1"/>
    <col min="7" max="7" width="12" customWidth="1"/>
    <col min="8" max="8" width="18" customWidth="1"/>
    <col min="9" max="11" width="20" customWidth="1"/>
    <col min="12" max="12" width="16" customWidth="1"/>
    <col min="13" max="13" width="15" customWidth="1"/>
    <col min="14" max="14" width="23" customWidth="1"/>
    <col min="15" max="16" width="10" customWidth="1"/>
    <col min="17" max="17" width="11" customWidth="1"/>
    <col min="18" max="18" width="19" customWidth="1"/>
    <col min="19" max="19" width="14" customWidth="1"/>
    <col min="20" max="20" width="23" customWidth="1"/>
    <col min="21" max="23" width="25" customWidth="1"/>
    <col min="24" max="24" width="19" customWidth="1"/>
    <col min="25" max="25" width="10" customWidth="1"/>
    <col min="26" max="26" width="17" customWidth="1"/>
    <col min="27" max="27" width="15" customWidth="1"/>
    <col min="28" max="28" width="16" customWidth="1"/>
    <col min="29" max="29" width="24" customWidth="1"/>
  </cols>
  <sheetData>
    <row r="1" spans="1:2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995</v>
      </c>
      <c r="C2">
        <v>100</v>
      </c>
      <c r="D2" t="s">
        <v>30</v>
      </c>
      <c r="E2">
        <v>13.9</v>
      </c>
      <c r="F2">
        <v>15.6</v>
      </c>
      <c r="G2">
        <v>14.9</v>
      </c>
      <c r="H2">
        <v>94</v>
      </c>
      <c r="I2">
        <v>0</v>
      </c>
      <c r="J2">
        <v>0</v>
      </c>
      <c r="K2">
        <v>0</v>
      </c>
      <c r="L2">
        <v>86</v>
      </c>
      <c r="M2">
        <v>995</v>
      </c>
      <c r="N2" t="s">
        <v>31</v>
      </c>
      <c r="O2">
        <v>0</v>
      </c>
      <c r="P2">
        <v>11.7</v>
      </c>
      <c r="Q2">
        <v>0.6</v>
      </c>
      <c r="R2" t="s">
        <v>32</v>
      </c>
      <c r="S2">
        <v>15.4</v>
      </c>
      <c r="T2">
        <v>14.9</v>
      </c>
      <c r="U2">
        <v>-60</v>
      </c>
      <c r="V2">
        <v>-60</v>
      </c>
      <c r="W2">
        <v>-60</v>
      </c>
      <c r="X2" t="s">
        <v>33</v>
      </c>
      <c r="Y2">
        <v>0</v>
      </c>
      <c r="Z2">
        <v>9.6999999999999993</v>
      </c>
      <c r="AA2">
        <v>3.4</v>
      </c>
      <c r="AB2">
        <v>6.6</v>
      </c>
      <c r="AC2" t="s">
        <v>34</v>
      </c>
    </row>
    <row r="3" spans="1:29" x14ac:dyDescent="0.25">
      <c r="A3" t="s">
        <v>35</v>
      </c>
      <c r="B3">
        <v>995</v>
      </c>
      <c r="C3">
        <v>100</v>
      </c>
      <c r="D3" t="s">
        <v>30</v>
      </c>
      <c r="E3">
        <v>13.7</v>
      </c>
      <c r="F3">
        <v>15.1</v>
      </c>
      <c r="G3">
        <v>14.6</v>
      </c>
      <c r="H3">
        <v>95</v>
      </c>
      <c r="I3">
        <v>0</v>
      </c>
      <c r="J3">
        <v>0</v>
      </c>
      <c r="K3">
        <v>0</v>
      </c>
      <c r="L3">
        <v>86</v>
      </c>
      <c r="M3">
        <v>995</v>
      </c>
      <c r="N3" t="s">
        <v>31</v>
      </c>
      <c r="O3">
        <v>0</v>
      </c>
      <c r="P3">
        <v>11.7</v>
      </c>
      <c r="Q3">
        <v>0.4</v>
      </c>
      <c r="R3" t="s">
        <v>32</v>
      </c>
      <c r="S3">
        <v>15.3</v>
      </c>
      <c r="T3">
        <v>14.6</v>
      </c>
      <c r="U3">
        <v>-60</v>
      </c>
      <c r="V3">
        <v>-60</v>
      </c>
      <c r="W3">
        <v>-60</v>
      </c>
      <c r="X3" t="s">
        <v>33</v>
      </c>
      <c r="Y3">
        <v>0</v>
      </c>
      <c r="Z3">
        <v>9.6999999999999993</v>
      </c>
      <c r="AA3">
        <v>5.4</v>
      </c>
      <c r="AB3">
        <v>5.3</v>
      </c>
      <c r="AC3" t="s">
        <v>34</v>
      </c>
    </row>
    <row r="4" spans="1:29" x14ac:dyDescent="0.25">
      <c r="A4" t="s">
        <v>88</v>
      </c>
      <c r="B4">
        <v>995</v>
      </c>
      <c r="C4">
        <v>100</v>
      </c>
      <c r="D4" t="s">
        <v>30</v>
      </c>
      <c r="E4">
        <v>13.9</v>
      </c>
      <c r="F4">
        <v>15.5</v>
      </c>
      <c r="G4">
        <v>14.6</v>
      </c>
      <c r="H4">
        <v>96</v>
      </c>
      <c r="I4">
        <v>0</v>
      </c>
      <c r="J4">
        <v>0</v>
      </c>
      <c r="K4">
        <v>0</v>
      </c>
      <c r="L4">
        <v>87</v>
      </c>
      <c r="M4">
        <v>995</v>
      </c>
      <c r="N4" t="s">
        <v>31</v>
      </c>
      <c r="O4">
        <v>0</v>
      </c>
      <c r="P4">
        <v>11.7</v>
      </c>
      <c r="Q4">
        <v>0.4</v>
      </c>
      <c r="R4" t="s">
        <v>32</v>
      </c>
      <c r="S4">
        <v>15.2</v>
      </c>
      <c r="T4">
        <v>14.6</v>
      </c>
      <c r="U4">
        <v>-60</v>
      </c>
      <c r="V4">
        <v>-60</v>
      </c>
      <c r="W4">
        <v>-60</v>
      </c>
      <c r="X4" t="s">
        <v>33</v>
      </c>
      <c r="Y4">
        <v>0</v>
      </c>
      <c r="Z4">
        <v>9.6999999999999993</v>
      </c>
      <c r="AA4">
        <v>4.5</v>
      </c>
      <c r="AB4">
        <v>4.5999999999999996</v>
      </c>
      <c r="AC4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2:R7"/>
  <sheetViews>
    <sheetView showGridLines="0" zoomScaleNormal="100" workbookViewId="0"/>
  </sheetViews>
  <sheetFormatPr defaultColWidth="8.7109375" defaultRowHeight="15" x14ac:dyDescent="0.25"/>
  <cols>
    <col min="1" max="10" width="10" customWidth="1"/>
    <col min="11" max="11" width="10.5703125" bestFit="1" customWidth="1"/>
    <col min="12" max="13" width="10" customWidth="1"/>
    <col min="14" max="14" width="10.7109375" bestFit="1" customWidth="1"/>
    <col min="15" max="29" width="10" customWidth="1"/>
  </cols>
  <sheetData>
    <row r="2" spans="2:18" ht="23.25" x14ac:dyDescent="0.35">
      <c r="B2" s="2" t="s">
        <v>36</v>
      </c>
    </row>
    <row r="3" spans="2:18" x14ac:dyDescent="0.25">
      <c r="B3" s="3" t="str">
        <f>"Dia de referência: "&amp;RIGHT("0"&amp;DAY(Cálculos!$B$1),2)&amp;"/"&amp;RIGHT("0"&amp;MONTH(Cálculos!$B$1),2)&amp;"/"&amp;YEAR(Cálculos!$B$1)&amp;" · média por hora (chuvas: soma)"</f>
        <v>Dia de referência: 11/07/2026 · média por hora (chuvas: soma)</v>
      </c>
    </row>
    <row r="5" spans="2:18" x14ac:dyDescent="0.25">
      <c r="B5" s="4" t="s">
        <v>37</v>
      </c>
    </row>
    <row r="6" spans="2:18" x14ac:dyDescent="0.25">
      <c r="B6" s="5" t="s">
        <v>38</v>
      </c>
      <c r="C6" s="6"/>
      <c r="E6" s="5" t="s">
        <v>39</v>
      </c>
      <c r="F6" s="6"/>
      <c r="H6" s="5" t="s">
        <v>40</v>
      </c>
      <c r="I6" s="6"/>
      <c r="K6" s="5" t="s">
        <v>41</v>
      </c>
      <c r="L6" s="6"/>
      <c r="N6" s="5" t="s">
        <v>42</v>
      </c>
      <c r="O6" s="6"/>
      <c r="Q6" s="5" t="s">
        <v>43</v>
      </c>
      <c r="R6" s="6"/>
    </row>
    <row r="7" spans="2:18" ht="16.5" x14ac:dyDescent="0.25">
      <c r="B7" s="7">
        <f>LOOKUP(9.99E+307,Estação!$S$2:$S$50000)</f>
        <v>15.2</v>
      </c>
      <c r="C7" s="6"/>
      <c r="E7" s="8">
        <f>LOOKUP(9.99E+307,Estação!$H$2:$H$50000)</f>
        <v>96</v>
      </c>
      <c r="F7" s="6"/>
      <c r="H7" s="9">
        <f>LOOKUP(9.99E+307,Estação!$B$2:$B$50000)</f>
        <v>995</v>
      </c>
      <c r="I7" s="6"/>
      <c r="K7" s="10">
        <f>LOOKUP(9.99E+307,Estação!$P$2:$P$50000)</f>
        <v>11.7</v>
      </c>
      <c r="L7" s="6"/>
      <c r="N7" s="11">
        <f>LOOKUP(9.99E+307,Estação!$AA$2:$AA$50000)</f>
        <v>4.5</v>
      </c>
      <c r="O7" s="6"/>
      <c r="Q7" s="8">
        <f>LOOKUP(9.99E+307,Estação!$C$2:$C$50000)</f>
        <v>100</v>
      </c>
      <c r="R7" s="6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2:R7"/>
  <sheetViews>
    <sheetView showGridLines="0" zoomScaleNormal="100" workbookViewId="0"/>
  </sheetViews>
  <sheetFormatPr defaultColWidth="8.7109375" defaultRowHeight="15" x14ac:dyDescent="0.25"/>
  <cols>
    <col min="1" max="29" width="10" customWidth="1"/>
  </cols>
  <sheetData>
    <row r="2" spans="2:18" ht="23.25" x14ac:dyDescent="0.35">
      <c r="B2" s="2" t="s">
        <v>44</v>
      </c>
    </row>
    <row r="3" spans="2:18" x14ac:dyDescent="0.25">
      <c r="B3" s="3" t="str">
        <f>"Últimos 7 dias até "&amp;RIGHT("0"&amp;DAY(Cálculos!$B$1),2)&amp;"/"&amp;RIGHT("0"&amp;MONTH(Cálculos!$B$1),2)&amp;"/"&amp;YEAR(Cálculos!$B$1)&amp;" · média por dia (chuvas: soma)"</f>
        <v>Últimos 7 dias até 11/07/2026 · média por dia (chuvas: soma)</v>
      </c>
    </row>
    <row r="5" spans="2:18" x14ac:dyDescent="0.25">
      <c r="B5" s="4" t="s">
        <v>37</v>
      </c>
    </row>
    <row r="6" spans="2:18" x14ac:dyDescent="0.25">
      <c r="B6" s="5" t="s">
        <v>38</v>
      </c>
      <c r="C6" s="6"/>
      <c r="E6" s="5" t="s">
        <v>39</v>
      </c>
      <c r="F6" s="6"/>
      <c r="H6" s="5" t="s">
        <v>40</v>
      </c>
      <c r="I6" s="6"/>
      <c r="K6" s="5" t="s">
        <v>41</v>
      </c>
      <c r="L6" s="6"/>
      <c r="N6" s="5" t="s">
        <v>42</v>
      </c>
      <c r="O6" s="6"/>
      <c r="Q6" s="5" t="s">
        <v>43</v>
      </c>
      <c r="R6" s="6"/>
    </row>
    <row r="7" spans="2:18" ht="16.5" x14ac:dyDescent="0.25">
      <c r="B7" s="7">
        <f>LOOKUP(9.99E+307,Estação!$S$2:$S$50000)</f>
        <v>15.2</v>
      </c>
      <c r="C7" s="6"/>
      <c r="E7" s="8">
        <f>LOOKUP(9.99E+307,Estação!$H$2:$H$50000)</f>
        <v>96</v>
      </c>
      <c r="F7" s="6"/>
      <c r="H7" s="9">
        <f>LOOKUP(9.99E+307,Estação!$B$2:$B$50000)</f>
        <v>995</v>
      </c>
      <c r="I7" s="6"/>
      <c r="K7" s="10">
        <f>LOOKUP(9.99E+307,Estação!$P$2:$P$50000)</f>
        <v>11.7</v>
      </c>
      <c r="L7" s="6"/>
      <c r="N7" s="11">
        <f>LOOKUP(9.99E+307,Estação!$AA$2:$AA$50000)</f>
        <v>4.5</v>
      </c>
      <c r="O7" s="6"/>
      <c r="Q7" s="8">
        <f>LOOKUP(9.99E+307,Estação!$C$2:$C$50000)</f>
        <v>100</v>
      </c>
      <c r="R7" s="6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563EB"/>
  </sheetPr>
  <dimension ref="B2:R7"/>
  <sheetViews>
    <sheetView showGridLines="0" zoomScaleNormal="100" workbookViewId="0"/>
  </sheetViews>
  <sheetFormatPr defaultColWidth="8.7109375" defaultRowHeight="15" x14ac:dyDescent="0.25"/>
  <cols>
    <col min="1" max="29" width="10" customWidth="1"/>
  </cols>
  <sheetData>
    <row r="2" spans="2:18" ht="23.25" x14ac:dyDescent="0.35">
      <c r="B2" s="2" t="s">
        <v>45</v>
      </c>
    </row>
    <row r="3" spans="2:18" x14ac:dyDescent="0.25">
      <c r="B3" s="3" t="str">
        <f>"Mês de referência: "&amp;RIGHT("0"&amp;MONTH(Cálculos!$B$1),2)&amp;"/"&amp;YEAR(Cálculos!$B$1)&amp;" · média por dia (chuvas: soma)"</f>
        <v>Mês de referência: 07/2026 · média por dia (chuvas: soma)</v>
      </c>
    </row>
    <row r="5" spans="2:18" x14ac:dyDescent="0.25">
      <c r="B5" s="4" t="s">
        <v>37</v>
      </c>
    </row>
    <row r="6" spans="2:18" x14ac:dyDescent="0.25">
      <c r="B6" s="5" t="s">
        <v>38</v>
      </c>
      <c r="C6" s="6"/>
      <c r="E6" s="5" t="s">
        <v>39</v>
      </c>
      <c r="F6" s="6"/>
      <c r="H6" s="5" t="s">
        <v>40</v>
      </c>
      <c r="I6" s="6"/>
      <c r="K6" s="5" t="s">
        <v>41</v>
      </c>
      <c r="L6" s="6"/>
      <c r="N6" s="5" t="s">
        <v>42</v>
      </c>
      <c r="O6" s="6"/>
      <c r="Q6" s="5" t="s">
        <v>43</v>
      </c>
      <c r="R6" s="6"/>
    </row>
    <row r="7" spans="2:18" ht="16.5" x14ac:dyDescent="0.25">
      <c r="B7" s="7">
        <f>LOOKUP(9.99E+307,Estação!$S$2:$S$50000)</f>
        <v>15.2</v>
      </c>
      <c r="C7" s="6"/>
      <c r="E7" s="8">
        <f>LOOKUP(9.99E+307,Estação!$H$2:$H$50000)</f>
        <v>96</v>
      </c>
      <c r="F7" s="6"/>
      <c r="H7" s="9">
        <f>LOOKUP(9.99E+307,Estação!$B$2:$B$50000)</f>
        <v>995</v>
      </c>
      <c r="I7" s="6"/>
      <c r="K7" s="10">
        <f>LOOKUP(9.99E+307,Estação!$P$2:$P$50000)</f>
        <v>11.7</v>
      </c>
      <c r="L7" s="6"/>
      <c r="N7" s="11">
        <f>LOOKUP(9.99E+307,Estação!$AA$2:$AA$50000)</f>
        <v>4.5</v>
      </c>
      <c r="O7" s="6"/>
      <c r="Q7" s="8">
        <f>LOOKUP(9.99E+307,Estação!$C$2:$C$50000)</f>
        <v>100</v>
      </c>
      <c r="R7" s="6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563EB"/>
  </sheetPr>
  <dimension ref="B2:R7"/>
  <sheetViews>
    <sheetView showGridLines="0" zoomScaleNormal="100" workbookViewId="0"/>
  </sheetViews>
  <sheetFormatPr defaultColWidth="8.7109375" defaultRowHeight="15" x14ac:dyDescent="0.25"/>
  <cols>
    <col min="1" max="29" width="10" customWidth="1"/>
  </cols>
  <sheetData>
    <row r="2" spans="2:18" ht="23.25" x14ac:dyDescent="0.35">
      <c r="B2" s="2" t="s">
        <v>46</v>
      </c>
    </row>
    <row r="3" spans="2:18" x14ac:dyDescent="0.25">
      <c r="B3" s="3" t="str">
        <f>"Ano de referência: "&amp;YEAR(Cálculos!$B$1)&amp;" · média por mês (chuvas: soma)"</f>
        <v>Ano de referência: 2026 · média por mês (chuvas: soma)</v>
      </c>
    </row>
    <row r="5" spans="2:18" x14ac:dyDescent="0.25">
      <c r="B5" s="4" t="s">
        <v>37</v>
      </c>
    </row>
    <row r="6" spans="2:18" x14ac:dyDescent="0.25">
      <c r="B6" s="5" t="s">
        <v>38</v>
      </c>
      <c r="C6" s="6"/>
      <c r="E6" s="5" t="s">
        <v>39</v>
      </c>
      <c r="F6" s="6"/>
      <c r="H6" s="5" t="s">
        <v>40</v>
      </c>
      <c r="I6" s="6"/>
      <c r="K6" s="5" t="s">
        <v>41</v>
      </c>
      <c r="L6" s="6"/>
      <c r="N6" s="5" t="s">
        <v>42</v>
      </c>
      <c r="O6" s="6"/>
      <c r="Q6" s="5" t="s">
        <v>43</v>
      </c>
      <c r="R6" s="6"/>
    </row>
    <row r="7" spans="2:18" ht="16.5" x14ac:dyDescent="0.25">
      <c r="B7" s="7">
        <f>LOOKUP(9.99E+307,Estação!$S$2:$S$50000)</f>
        <v>15.2</v>
      </c>
      <c r="C7" s="6"/>
      <c r="E7" s="8">
        <f>LOOKUP(9.99E+307,Estação!$H$2:$H$50000)</f>
        <v>96</v>
      </c>
      <c r="F7" s="6"/>
      <c r="H7" s="9">
        <f>LOOKUP(9.99E+307,Estação!$B$2:$B$50000)</f>
        <v>995</v>
      </c>
      <c r="I7" s="6"/>
      <c r="K7" s="10">
        <f>LOOKUP(9.99E+307,Estação!$P$2:$P$50000)</f>
        <v>11.7</v>
      </c>
      <c r="L7" s="6"/>
      <c r="N7" s="11">
        <f>LOOKUP(9.99E+307,Estação!$AA$2:$AA$50000)</f>
        <v>4.5</v>
      </c>
      <c r="O7" s="6"/>
      <c r="Q7" s="8">
        <f>LOOKUP(9.99E+307,Estação!$C$2:$C$50000)</f>
        <v>100</v>
      </c>
      <c r="R7" s="6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563EB"/>
  </sheetPr>
  <dimension ref="B2:R7"/>
  <sheetViews>
    <sheetView showGridLines="0" zoomScaleNormal="100" workbookViewId="0"/>
  </sheetViews>
  <sheetFormatPr defaultColWidth="8.7109375" defaultRowHeight="15" x14ac:dyDescent="0.25"/>
  <cols>
    <col min="1" max="29" width="10" customWidth="1"/>
  </cols>
  <sheetData>
    <row r="2" spans="2:18" ht="23.25" x14ac:dyDescent="0.35">
      <c r="B2" s="2" t="s">
        <v>47</v>
      </c>
    </row>
    <row r="3" spans="2:18" x14ac:dyDescent="0.25">
      <c r="B3" s="3" t="str">
        <f>"Desde "&amp;RIGHT("0"&amp;DAY(Cálculos!$C$1),2)&amp;"/"&amp;RIGHT("0"&amp;MONTH(Cálculos!$C$1),2)&amp;"/"&amp;YEAR(Cálculos!$C$1)&amp;" · média mensal (chuvas: acumulado corrente)"</f>
        <v>Desde 11/07/2026 · média mensal (chuvas: acumulado corrente)</v>
      </c>
    </row>
    <row r="5" spans="2:18" x14ac:dyDescent="0.25">
      <c r="B5" s="4" t="s">
        <v>37</v>
      </c>
    </row>
    <row r="6" spans="2:18" x14ac:dyDescent="0.25">
      <c r="B6" s="5" t="s">
        <v>38</v>
      </c>
      <c r="C6" s="6"/>
      <c r="E6" s="5" t="s">
        <v>39</v>
      </c>
      <c r="F6" s="6"/>
      <c r="H6" s="5" t="s">
        <v>40</v>
      </c>
      <c r="I6" s="6"/>
      <c r="K6" s="5" t="s">
        <v>41</v>
      </c>
      <c r="L6" s="6"/>
      <c r="N6" s="5" t="s">
        <v>42</v>
      </c>
      <c r="O6" s="6"/>
      <c r="Q6" s="5" t="s">
        <v>43</v>
      </c>
      <c r="R6" s="6"/>
    </row>
    <row r="7" spans="2:18" ht="16.5" x14ac:dyDescent="0.25">
      <c r="B7" s="7">
        <f>LOOKUP(9.99E+307,Estação!$S$2:$S$50000)</f>
        <v>15.2</v>
      </c>
      <c r="C7" s="6"/>
      <c r="E7" s="8">
        <f>LOOKUP(9.99E+307,Estação!$H$2:$H$50000)</f>
        <v>96</v>
      </c>
      <c r="F7" s="6"/>
      <c r="H7" s="9">
        <f>LOOKUP(9.99E+307,Estação!$B$2:$B$50000)</f>
        <v>995</v>
      </c>
      <c r="I7" s="6"/>
      <c r="K7" s="10">
        <f>LOOKUP(9.99E+307,Estação!$P$2:$P$50000)</f>
        <v>11.7</v>
      </c>
      <c r="L7" s="6"/>
      <c r="N7" s="11">
        <f>LOOKUP(9.99E+307,Estação!$AA$2:$AA$50000)</f>
        <v>4.5</v>
      </c>
      <c r="O7" s="6"/>
      <c r="Q7" s="8">
        <f>LOOKUP(9.99E+307,Estação!$C$2:$C$50000)</f>
        <v>100</v>
      </c>
      <c r="R7" s="6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26"/>
  <sheetViews>
    <sheetView zoomScaleNormal="100" workbookViewId="0"/>
  </sheetViews>
  <sheetFormatPr defaultColWidth="8.7109375" defaultRowHeight="15" x14ac:dyDescent="0.25"/>
  <sheetData>
    <row r="1" spans="1:20" x14ac:dyDescent="0.25">
      <c r="A1" s="12" t="str">
        <f>LOOKUP(2,1/(Estação!$A$2:$A$50000&lt;&gt;""),Estação!$A$2:$A$50000)</f>
        <v>2026-07-11 20:05:35</v>
      </c>
      <c r="B1" s="13">
        <f>DATE(VALUE(LEFT($A$1,4)),VALUE(MID($A$1,6,2)),VALUE(MID($A$1,9,2)))</f>
        <v>46214</v>
      </c>
      <c r="C1" s="13">
        <f>DATE(VALUE(LEFT(Estação!$A$2,4)),VALUE(MID(Estação!$A$2,6,2)),VALUE(MID(Estação!$A$2,9,2)))</f>
        <v>46214</v>
      </c>
    </row>
    <row r="2" spans="1:20" x14ac:dyDescent="0.25">
      <c r="A2" s="12" t="s">
        <v>48</v>
      </c>
    </row>
    <row r="4" spans="1:20" x14ac:dyDescent="0.25">
      <c r="A4" s="12" t="s">
        <v>49</v>
      </c>
      <c r="B4" s="12" t="s">
        <v>50</v>
      </c>
      <c r="C4" s="12" t="s">
        <v>51</v>
      </c>
      <c r="D4" s="12" t="s">
        <v>18</v>
      </c>
      <c r="E4" s="12" t="s">
        <v>19</v>
      </c>
      <c r="F4" s="12" t="s">
        <v>5</v>
      </c>
      <c r="G4" s="12" t="s">
        <v>6</v>
      </c>
      <c r="H4" s="12" t="s">
        <v>25</v>
      </c>
      <c r="I4" s="12" t="s">
        <v>4</v>
      </c>
      <c r="J4" s="12" t="s">
        <v>7</v>
      </c>
      <c r="K4" s="12" t="s">
        <v>11</v>
      </c>
      <c r="L4" s="12" t="s">
        <v>1</v>
      </c>
      <c r="M4" s="12" t="s">
        <v>12</v>
      </c>
      <c r="N4" s="12" t="s">
        <v>14</v>
      </c>
      <c r="O4" s="12" t="s">
        <v>15</v>
      </c>
      <c r="P4" s="12" t="s">
        <v>16</v>
      </c>
      <c r="Q4" s="12" t="s">
        <v>26</v>
      </c>
      <c r="R4" s="12" t="s">
        <v>27</v>
      </c>
      <c r="S4" s="12" t="s">
        <v>24</v>
      </c>
      <c r="T4" s="12" t="s">
        <v>2</v>
      </c>
    </row>
    <row r="5" spans="1:20" x14ac:dyDescent="0.25">
      <c r="A5" s="12" t="s">
        <v>52</v>
      </c>
      <c r="B5" s="12" t="str">
        <f>""&amp;YEAR($B$1)&amp;"-"&amp;RIGHT("0"&amp;MONTH($B$1),2)&amp;"-"&amp;RIGHT("0"&amp;DAY($B$1),2)&amp;" 00*"</f>
        <v>2026-07-11 00*</v>
      </c>
      <c r="D5" s="12" t="str">
        <f>IFERROR(AVERAGEIFS(Estação!$S$2:$S$50000,Estação!$A$2:$A$50000,$B5,Estação!$S$2:$S$50000,"&gt;-50"),"")</f>
        <v/>
      </c>
      <c r="E5" s="12" t="str">
        <f>IFERROR(AVERAGEIFS(Estação!$T$2:$T$50000,Estação!$A$2:$A$50000,$B5,Estação!$T$2:$T$50000,"&gt;-50"),"")</f>
        <v/>
      </c>
      <c r="F5" s="12" t="str">
        <f>IFERROR(AVERAGEIFS(Estação!$F$2:$F$50000,Estação!$A$2:$A$50000,$B5,Estação!$F$2:$F$50000,"&gt;-50"),"")</f>
        <v/>
      </c>
      <c r="G5" s="12" t="str">
        <f>IFERROR(AVERAGEIFS(Estação!$G$2:$G$50000,Estação!$A$2:$A$50000,$B5,Estação!$G$2:$G$50000,"&gt;-50"),"")</f>
        <v/>
      </c>
      <c r="H5" s="12" t="str">
        <f>IFERROR(AVERAGEIFS(Estação!$Z$2:$Z$50000,Estação!$A$2:$A$50000,$B5,Estação!$Z$2:$Z$50000,"&gt;-50"),"")</f>
        <v/>
      </c>
      <c r="I5" s="12" t="str">
        <f>IFERROR(AVERAGEIFS(Estação!$E$2:$E$50000,Estação!$A$2:$A$50000,$B5,Estação!$E$2:$E$50000,"&gt;-50"),"")</f>
        <v/>
      </c>
      <c r="J5" s="12" t="str">
        <f>IFERROR(AVERAGEIFS(Estação!$H$2:$H$50000,Estação!$A$2:$A$50000,$B5,Estação!$H$2:$H$50000,"&gt;-50"),"")</f>
        <v/>
      </c>
      <c r="K5" s="12" t="str">
        <f>IFERROR(AVERAGEIFS(Estação!$L$2:$L$50000,Estação!$A$2:$A$50000,$B5,Estação!$L$2:$L$50000,"&gt;-50"),"")</f>
        <v/>
      </c>
      <c r="L5" s="12" t="str">
        <f>IFERROR(AVERAGEIFS(Estação!$B$2:$B$50000,Estação!$A$2:$A$50000,$B5,Estação!$B$2:$B$50000,"&gt;-50"),"")</f>
        <v/>
      </c>
      <c r="M5" s="12" t="str">
        <f>IFERROR(AVERAGEIFS(Estação!$M$2:$M$50000,Estação!$A$2:$A$50000,$B5,Estação!$M$2:$M$50000,"&gt;-50"),"")</f>
        <v/>
      </c>
      <c r="N5" s="12">
        <f>IF($B5="§","",SUMIFS(Estação!$O$2:$O$50000,Estação!$A$2:$A$50000,$B5))</f>
        <v>0</v>
      </c>
      <c r="O5" s="12">
        <f>IF($B5="§","",SUMIFS(Estação!$P$2:$P$50000,Estação!$A$2:$A$50000,$B5))</f>
        <v>0</v>
      </c>
      <c r="P5" s="12">
        <f>IF($B5="§","",SUMIFS(Estação!$Q$2:$Q$50000,Estação!$A$2:$A$50000,$B5))</f>
        <v>0</v>
      </c>
      <c r="Q5" s="12" t="str">
        <f>IFERROR(AVERAGEIFS(Estação!$AA$2:$AA$50000,Estação!$A$2:$A$50000,$B5,Estação!$AA$2:$AA$50000,"&gt;-50"),"")</f>
        <v/>
      </c>
      <c r="R5" s="12" t="str">
        <f>IFERROR(AVERAGEIFS(Estação!$AB$2:$AB$50000,Estação!$A$2:$A$50000,$B5,Estação!$AB$2:$AB$50000,"&gt;-50"),"")</f>
        <v/>
      </c>
      <c r="S5" s="12" t="str">
        <f>IFERROR(AVERAGEIFS(Estação!$Y$2:$Y$50000,Estação!$A$2:$A$50000,$B5,Estação!$Y$2:$Y$50000,"&gt;-50"),"")</f>
        <v/>
      </c>
      <c r="T5" s="12" t="str">
        <f>IFERROR(AVERAGEIFS(Estação!$C$2:$C$50000,Estação!$A$2:$A$50000,$B5,Estação!$C$2:$C$50000,"&gt;-50"),"")</f>
        <v/>
      </c>
    </row>
    <row r="6" spans="1:20" x14ac:dyDescent="0.25">
      <c r="A6" s="12" t="s">
        <v>53</v>
      </c>
      <c r="B6" s="12" t="str">
        <f>""&amp;YEAR($B$1)&amp;"-"&amp;RIGHT("0"&amp;MONTH($B$1),2)&amp;"-"&amp;RIGHT("0"&amp;DAY($B$1),2)&amp;" 01*"</f>
        <v>2026-07-11 01*</v>
      </c>
      <c r="D6" s="12" t="str">
        <f>IFERROR(AVERAGEIFS(Estação!$S$2:$S$50000,Estação!$A$2:$A$50000,$B6,Estação!$S$2:$S$50000,"&gt;-50"),"")</f>
        <v/>
      </c>
      <c r="E6" s="12" t="str">
        <f>IFERROR(AVERAGEIFS(Estação!$T$2:$T$50000,Estação!$A$2:$A$50000,$B6,Estação!$T$2:$T$50000,"&gt;-50"),"")</f>
        <v/>
      </c>
      <c r="F6" s="12" t="str">
        <f>IFERROR(AVERAGEIFS(Estação!$F$2:$F$50000,Estação!$A$2:$A$50000,$B6,Estação!$F$2:$F$50000,"&gt;-50"),"")</f>
        <v/>
      </c>
      <c r="G6" s="12" t="str">
        <f>IFERROR(AVERAGEIFS(Estação!$G$2:$G$50000,Estação!$A$2:$A$50000,$B6,Estação!$G$2:$G$50000,"&gt;-50"),"")</f>
        <v/>
      </c>
      <c r="H6" s="12" t="str">
        <f>IFERROR(AVERAGEIFS(Estação!$Z$2:$Z$50000,Estação!$A$2:$A$50000,$B6,Estação!$Z$2:$Z$50000,"&gt;-50"),"")</f>
        <v/>
      </c>
      <c r="I6" s="12" t="str">
        <f>IFERROR(AVERAGEIFS(Estação!$E$2:$E$50000,Estação!$A$2:$A$50000,$B6,Estação!$E$2:$E$50000,"&gt;-50"),"")</f>
        <v/>
      </c>
      <c r="J6" s="12" t="str">
        <f>IFERROR(AVERAGEIFS(Estação!$H$2:$H$50000,Estação!$A$2:$A$50000,$B6,Estação!$H$2:$H$50000,"&gt;-50"),"")</f>
        <v/>
      </c>
      <c r="K6" s="12" t="str">
        <f>IFERROR(AVERAGEIFS(Estação!$L$2:$L$50000,Estação!$A$2:$A$50000,$B6,Estação!$L$2:$L$50000,"&gt;-50"),"")</f>
        <v/>
      </c>
      <c r="L6" s="12" t="str">
        <f>IFERROR(AVERAGEIFS(Estação!$B$2:$B$50000,Estação!$A$2:$A$50000,$B6,Estação!$B$2:$B$50000,"&gt;-50"),"")</f>
        <v/>
      </c>
      <c r="M6" s="12" t="str">
        <f>IFERROR(AVERAGEIFS(Estação!$M$2:$M$50000,Estação!$A$2:$A$50000,$B6,Estação!$M$2:$M$50000,"&gt;-50"),"")</f>
        <v/>
      </c>
      <c r="N6" s="12">
        <f>IF($B6="§","",SUMIFS(Estação!$O$2:$O$50000,Estação!$A$2:$A$50000,$B6))</f>
        <v>0</v>
      </c>
      <c r="O6" s="12">
        <f>IF($B6="§","",SUMIFS(Estação!$P$2:$P$50000,Estação!$A$2:$A$50000,$B6))</f>
        <v>0</v>
      </c>
      <c r="P6" s="12">
        <f>IF($B6="§","",SUMIFS(Estação!$Q$2:$Q$50000,Estação!$A$2:$A$50000,$B6))</f>
        <v>0</v>
      </c>
      <c r="Q6" s="12" t="str">
        <f>IFERROR(AVERAGEIFS(Estação!$AA$2:$AA$50000,Estação!$A$2:$A$50000,$B6,Estação!$AA$2:$AA$50000,"&gt;-50"),"")</f>
        <v/>
      </c>
      <c r="R6" s="12" t="str">
        <f>IFERROR(AVERAGEIFS(Estação!$AB$2:$AB$50000,Estação!$A$2:$A$50000,$B6,Estação!$AB$2:$AB$50000,"&gt;-50"),"")</f>
        <v/>
      </c>
      <c r="S6" s="12" t="str">
        <f>IFERROR(AVERAGEIFS(Estação!$Y$2:$Y$50000,Estação!$A$2:$A$50000,$B6,Estação!$Y$2:$Y$50000,"&gt;-50"),"")</f>
        <v/>
      </c>
      <c r="T6" s="12" t="str">
        <f>IFERROR(AVERAGEIFS(Estação!$C$2:$C$50000,Estação!$A$2:$A$50000,$B6,Estação!$C$2:$C$50000,"&gt;-50"),"")</f>
        <v/>
      </c>
    </row>
    <row r="7" spans="1:20" x14ac:dyDescent="0.25">
      <c r="A7" s="12" t="s">
        <v>54</v>
      </c>
      <c r="B7" s="12" t="str">
        <f>""&amp;YEAR($B$1)&amp;"-"&amp;RIGHT("0"&amp;MONTH($B$1),2)&amp;"-"&amp;RIGHT("0"&amp;DAY($B$1),2)&amp;" 02*"</f>
        <v>2026-07-11 02*</v>
      </c>
      <c r="D7" s="12" t="str">
        <f>IFERROR(AVERAGEIFS(Estação!$S$2:$S$50000,Estação!$A$2:$A$50000,$B7,Estação!$S$2:$S$50000,"&gt;-50"),"")</f>
        <v/>
      </c>
      <c r="E7" s="12" t="str">
        <f>IFERROR(AVERAGEIFS(Estação!$T$2:$T$50000,Estação!$A$2:$A$50000,$B7,Estação!$T$2:$T$50000,"&gt;-50"),"")</f>
        <v/>
      </c>
      <c r="F7" s="12" t="str">
        <f>IFERROR(AVERAGEIFS(Estação!$F$2:$F$50000,Estação!$A$2:$A$50000,$B7,Estação!$F$2:$F$50000,"&gt;-50"),"")</f>
        <v/>
      </c>
      <c r="G7" s="12" t="str">
        <f>IFERROR(AVERAGEIFS(Estação!$G$2:$G$50000,Estação!$A$2:$A$50000,$B7,Estação!$G$2:$G$50000,"&gt;-50"),"")</f>
        <v/>
      </c>
      <c r="H7" s="12" t="str">
        <f>IFERROR(AVERAGEIFS(Estação!$Z$2:$Z$50000,Estação!$A$2:$A$50000,$B7,Estação!$Z$2:$Z$50000,"&gt;-50"),"")</f>
        <v/>
      </c>
      <c r="I7" s="12" t="str">
        <f>IFERROR(AVERAGEIFS(Estação!$E$2:$E$50000,Estação!$A$2:$A$50000,$B7,Estação!$E$2:$E$50000,"&gt;-50"),"")</f>
        <v/>
      </c>
      <c r="J7" s="12" t="str">
        <f>IFERROR(AVERAGEIFS(Estação!$H$2:$H$50000,Estação!$A$2:$A$50000,$B7,Estação!$H$2:$H$50000,"&gt;-50"),"")</f>
        <v/>
      </c>
      <c r="K7" s="12" t="str">
        <f>IFERROR(AVERAGEIFS(Estação!$L$2:$L$50000,Estação!$A$2:$A$50000,$B7,Estação!$L$2:$L$50000,"&gt;-50"),"")</f>
        <v/>
      </c>
      <c r="L7" s="12" t="str">
        <f>IFERROR(AVERAGEIFS(Estação!$B$2:$B$50000,Estação!$A$2:$A$50000,$B7,Estação!$B$2:$B$50000,"&gt;-50"),"")</f>
        <v/>
      </c>
      <c r="M7" s="12" t="str">
        <f>IFERROR(AVERAGEIFS(Estação!$M$2:$M$50000,Estação!$A$2:$A$50000,$B7,Estação!$M$2:$M$50000,"&gt;-50"),"")</f>
        <v/>
      </c>
      <c r="N7" s="12">
        <f>IF($B7="§","",SUMIFS(Estação!$O$2:$O$50000,Estação!$A$2:$A$50000,$B7))</f>
        <v>0</v>
      </c>
      <c r="O7" s="12">
        <f>IF($B7="§","",SUMIFS(Estação!$P$2:$P$50000,Estação!$A$2:$A$50000,$B7))</f>
        <v>0</v>
      </c>
      <c r="P7" s="12">
        <f>IF($B7="§","",SUMIFS(Estação!$Q$2:$Q$50000,Estação!$A$2:$A$50000,$B7))</f>
        <v>0</v>
      </c>
      <c r="Q7" s="12" t="str">
        <f>IFERROR(AVERAGEIFS(Estação!$AA$2:$AA$50000,Estação!$A$2:$A$50000,$B7,Estação!$AA$2:$AA$50000,"&gt;-50"),"")</f>
        <v/>
      </c>
      <c r="R7" s="12" t="str">
        <f>IFERROR(AVERAGEIFS(Estação!$AB$2:$AB$50000,Estação!$A$2:$A$50000,$B7,Estação!$AB$2:$AB$50000,"&gt;-50"),"")</f>
        <v/>
      </c>
      <c r="S7" s="12" t="str">
        <f>IFERROR(AVERAGEIFS(Estação!$Y$2:$Y$50000,Estação!$A$2:$A$50000,$B7,Estação!$Y$2:$Y$50000,"&gt;-50"),"")</f>
        <v/>
      </c>
      <c r="T7" s="12" t="str">
        <f>IFERROR(AVERAGEIFS(Estação!$C$2:$C$50000,Estação!$A$2:$A$50000,$B7,Estação!$C$2:$C$50000,"&gt;-50"),"")</f>
        <v/>
      </c>
    </row>
    <row r="8" spans="1:20" x14ac:dyDescent="0.25">
      <c r="A8" s="12" t="s">
        <v>55</v>
      </c>
      <c r="B8" s="12" t="str">
        <f>""&amp;YEAR($B$1)&amp;"-"&amp;RIGHT("0"&amp;MONTH($B$1),2)&amp;"-"&amp;RIGHT("0"&amp;DAY($B$1),2)&amp;" 03*"</f>
        <v>2026-07-11 03*</v>
      </c>
      <c r="D8" s="12" t="str">
        <f>IFERROR(AVERAGEIFS(Estação!$S$2:$S$50000,Estação!$A$2:$A$50000,$B8,Estação!$S$2:$S$50000,"&gt;-50"),"")</f>
        <v/>
      </c>
      <c r="E8" s="12" t="str">
        <f>IFERROR(AVERAGEIFS(Estação!$T$2:$T$50000,Estação!$A$2:$A$50000,$B8,Estação!$T$2:$T$50000,"&gt;-50"),"")</f>
        <v/>
      </c>
      <c r="F8" s="12" t="str">
        <f>IFERROR(AVERAGEIFS(Estação!$F$2:$F$50000,Estação!$A$2:$A$50000,$B8,Estação!$F$2:$F$50000,"&gt;-50"),"")</f>
        <v/>
      </c>
      <c r="G8" s="12" t="str">
        <f>IFERROR(AVERAGEIFS(Estação!$G$2:$G$50000,Estação!$A$2:$A$50000,$B8,Estação!$G$2:$G$50000,"&gt;-50"),"")</f>
        <v/>
      </c>
      <c r="H8" s="12" t="str">
        <f>IFERROR(AVERAGEIFS(Estação!$Z$2:$Z$50000,Estação!$A$2:$A$50000,$B8,Estação!$Z$2:$Z$50000,"&gt;-50"),"")</f>
        <v/>
      </c>
      <c r="I8" s="12" t="str">
        <f>IFERROR(AVERAGEIFS(Estação!$E$2:$E$50000,Estação!$A$2:$A$50000,$B8,Estação!$E$2:$E$50000,"&gt;-50"),"")</f>
        <v/>
      </c>
      <c r="J8" s="12" t="str">
        <f>IFERROR(AVERAGEIFS(Estação!$H$2:$H$50000,Estação!$A$2:$A$50000,$B8,Estação!$H$2:$H$50000,"&gt;-50"),"")</f>
        <v/>
      </c>
      <c r="K8" s="12" t="str">
        <f>IFERROR(AVERAGEIFS(Estação!$L$2:$L$50000,Estação!$A$2:$A$50000,$B8,Estação!$L$2:$L$50000,"&gt;-50"),"")</f>
        <v/>
      </c>
      <c r="L8" s="12" t="str">
        <f>IFERROR(AVERAGEIFS(Estação!$B$2:$B$50000,Estação!$A$2:$A$50000,$B8,Estação!$B$2:$B$50000,"&gt;-50"),"")</f>
        <v/>
      </c>
      <c r="M8" s="12" t="str">
        <f>IFERROR(AVERAGEIFS(Estação!$M$2:$M$50000,Estação!$A$2:$A$50000,$B8,Estação!$M$2:$M$50000,"&gt;-50"),"")</f>
        <v/>
      </c>
      <c r="N8" s="12">
        <f>IF($B8="§","",SUMIFS(Estação!$O$2:$O$50000,Estação!$A$2:$A$50000,$B8))</f>
        <v>0</v>
      </c>
      <c r="O8" s="12">
        <f>IF($B8="§","",SUMIFS(Estação!$P$2:$P$50000,Estação!$A$2:$A$50000,$B8))</f>
        <v>0</v>
      </c>
      <c r="P8" s="12">
        <f>IF($B8="§","",SUMIFS(Estação!$Q$2:$Q$50000,Estação!$A$2:$A$50000,$B8))</f>
        <v>0</v>
      </c>
      <c r="Q8" s="12" t="str">
        <f>IFERROR(AVERAGEIFS(Estação!$AA$2:$AA$50000,Estação!$A$2:$A$50000,$B8,Estação!$AA$2:$AA$50000,"&gt;-50"),"")</f>
        <v/>
      </c>
      <c r="R8" s="12" t="str">
        <f>IFERROR(AVERAGEIFS(Estação!$AB$2:$AB$50000,Estação!$A$2:$A$50000,$B8,Estação!$AB$2:$AB$50000,"&gt;-50"),"")</f>
        <v/>
      </c>
      <c r="S8" s="12" t="str">
        <f>IFERROR(AVERAGEIFS(Estação!$Y$2:$Y$50000,Estação!$A$2:$A$50000,$B8,Estação!$Y$2:$Y$50000,"&gt;-50"),"")</f>
        <v/>
      </c>
      <c r="T8" s="12" t="str">
        <f>IFERROR(AVERAGEIFS(Estação!$C$2:$C$50000,Estação!$A$2:$A$50000,$B8,Estação!$C$2:$C$50000,"&gt;-50"),"")</f>
        <v/>
      </c>
    </row>
    <row r="9" spans="1:20" x14ac:dyDescent="0.25">
      <c r="A9" s="12" t="s">
        <v>56</v>
      </c>
      <c r="B9" s="12" t="str">
        <f>""&amp;YEAR($B$1)&amp;"-"&amp;RIGHT("0"&amp;MONTH($B$1),2)&amp;"-"&amp;RIGHT("0"&amp;DAY($B$1),2)&amp;" 04*"</f>
        <v>2026-07-11 04*</v>
      </c>
      <c r="D9" s="12" t="str">
        <f>IFERROR(AVERAGEIFS(Estação!$S$2:$S$50000,Estação!$A$2:$A$50000,$B9,Estação!$S$2:$S$50000,"&gt;-50"),"")</f>
        <v/>
      </c>
      <c r="E9" s="12" t="str">
        <f>IFERROR(AVERAGEIFS(Estação!$T$2:$T$50000,Estação!$A$2:$A$50000,$B9,Estação!$T$2:$T$50000,"&gt;-50"),"")</f>
        <v/>
      </c>
      <c r="F9" s="12" t="str">
        <f>IFERROR(AVERAGEIFS(Estação!$F$2:$F$50000,Estação!$A$2:$A$50000,$B9,Estação!$F$2:$F$50000,"&gt;-50"),"")</f>
        <v/>
      </c>
      <c r="G9" s="12" t="str">
        <f>IFERROR(AVERAGEIFS(Estação!$G$2:$G$50000,Estação!$A$2:$A$50000,$B9,Estação!$G$2:$G$50000,"&gt;-50"),"")</f>
        <v/>
      </c>
      <c r="H9" s="12" t="str">
        <f>IFERROR(AVERAGEIFS(Estação!$Z$2:$Z$50000,Estação!$A$2:$A$50000,$B9,Estação!$Z$2:$Z$50000,"&gt;-50"),"")</f>
        <v/>
      </c>
      <c r="I9" s="12" t="str">
        <f>IFERROR(AVERAGEIFS(Estação!$E$2:$E$50000,Estação!$A$2:$A$50000,$B9,Estação!$E$2:$E$50000,"&gt;-50"),"")</f>
        <v/>
      </c>
      <c r="J9" s="12" t="str">
        <f>IFERROR(AVERAGEIFS(Estação!$H$2:$H$50000,Estação!$A$2:$A$50000,$B9,Estação!$H$2:$H$50000,"&gt;-50"),"")</f>
        <v/>
      </c>
      <c r="K9" s="12" t="str">
        <f>IFERROR(AVERAGEIFS(Estação!$L$2:$L$50000,Estação!$A$2:$A$50000,$B9,Estação!$L$2:$L$50000,"&gt;-50"),"")</f>
        <v/>
      </c>
      <c r="L9" s="12" t="str">
        <f>IFERROR(AVERAGEIFS(Estação!$B$2:$B$50000,Estação!$A$2:$A$50000,$B9,Estação!$B$2:$B$50000,"&gt;-50"),"")</f>
        <v/>
      </c>
      <c r="M9" s="12" t="str">
        <f>IFERROR(AVERAGEIFS(Estação!$M$2:$M$50000,Estação!$A$2:$A$50000,$B9,Estação!$M$2:$M$50000,"&gt;-50"),"")</f>
        <v/>
      </c>
      <c r="N9" s="12">
        <f>IF($B9="§","",SUMIFS(Estação!$O$2:$O$50000,Estação!$A$2:$A$50000,$B9))</f>
        <v>0</v>
      </c>
      <c r="O9" s="12">
        <f>IF($B9="§","",SUMIFS(Estação!$P$2:$P$50000,Estação!$A$2:$A$50000,$B9))</f>
        <v>0</v>
      </c>
      <c r="P9" s="12">
        <f>IF($B9="§","",SUMIFS(Estação!$Q$2:$Q$50000,Estação!$A$2:$A$50000,$B9))</f>
        <v>0</v>
      </c>
      <c r="Q9" s="12" t="str">
        <f>IFERROR(AVERAGEIFS(Estação!$AA$2:$AA$50000,Estação!$A$2:$A$50000,$B9,Estação!$AA$2:$AA$50000,"&gt;-50"),"")</f>
        <v/>
      </c>
      <c r="R9" s="12" t="str">
        <f>IFERROR(AVERAGEIFS(Estação!$AB$2:$AB$50000,Estação!$A$2:$A$50000,$B9,Estação!$AB$2:$AB$50000,"&gt;-50"),"")</f>
        <v/>
      </c>
      <c r="S9" s="12" t="str">
        <f>IFERROR(AVERAGEIFS(Estação!$Y$2:$Y$50000,Estação!$A$2:$A$50000,$B9,Estação!$Y$2:$Y$50000,"&gt;-50"),"")</f>
        <v/>
      </c>
      <c r="T9" s="12" t="str">
        <f>IFERROR(AVERAGEIFS(Estação!$C$2:$C$50000,Estação!$A$2:$A$50000,$B9,Estação!$C$2:$C$50000,"&gt;-50"),"")</f>
        <v/>
      </c>
    </row>
    <row r="10" spans="1:20" x14ac:dyDescent="0.25">
      <c r="A10" s="12" t="s">
        <v>57</v>
      </c>
      <c r="B10" s="12" t="str">
        <f>""&amp;YEAR($B$1)&amp;"-"&amp;RIGHT("0"&amp;MONTH($B$1),2)&amp;"-"&amp;RIGHT("0"&amp;DAY($B$1),2)&amp;" 05*"</f>
        <v>2026-07-11 05*</v>
      </c>
      <c r="D10" s="12" t="str">
        <f>IFERROR(AVERAGEIFS(Estação!$S$2:$S$50000,Estação!$A$2:$A$50000,$B10,Estação!$S$2:$S$50000,"&gt;-50"),"")</f>
        <v/>
      </c>
      <c r="E10" s="12" t="str">
        <f>IFERROR(AVERAGEIFS(Estação!$T$2:$T$50000,Estação!$A$2:$A$50000,$B10,Estação!$T$2:$T$50000,"&gt;-50"),"")</f>
        <v/>
      </c>
      <c r="F10" s="12" t="str">
        <f>IFERROR(AVERAGEIFS(Estação!$F$2:$F$50000,Estação!$A$2:$A$50000,$B10,Estação!$F$2:$F$50000,"&gt;-50"),"")</f>
        <v/>
      </c>
      <c r="G10" s="12" t="str">
        <f>IFERROR(AVERAGEIFS(Estação!$G$2:$G$50000,Estação!$A$2:$A$50000,$B10,Estação!$G$2:$G$50000,"&gt;-50"),"")</f>
        <v/>
      </c>
      <c r="H10" s="12" t="str">
        <f>IFERROR(AVERAGEIFS(Estação!$Z$2:$Z$50000,Estação!$A$2:$A$50000,$B10,Estação!$Z$2:$Z$50000,"&gt;-50"),"")</f>
        <v/>
      </c>
      <c r="I10" s="12" t="str">
        <f>IFERROR(AVERAGEIFS(Estação!$E$2:$E$50000,Estação!$A$2:$A$50000,$B10,Estação!$E$2:$E$50000,"&gt;-50"),"")</f>
        <v/>
      </c>
      <c r="J10" s="12" t="str">
        <f>IFERROR(AVERAGEIFS(Estação!$H$2:$H$50000,Estação!$A$2:$A$50000,$B10,Estação!$H$2:$H$50000,"&gt;-50"),"")</f>
        <v/>
      </c>
      <c r="K10" s="12" t="str">
        <f>IFERROR(AVERAGEIFS(Estação!$L$2:$L$50000,Estação!$A$2:$A$50000,$B10,Estação!$L$2:$L$50000,"&gt;-50"),"")</f>
        <v/>
      </c>
      <c r="L10" s="12" t="str">
        <f>IFERROR(AVERAGEIFS(Estação!$B$2:$B$50000,Estação!$A$2:$A$50000,$B10,Estação!$B$2:$B$50000,"&gt;-50"),"")</f>
        <v/>
      </c>
      <c r="M10" s="12" t="str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>0</v>
      </c>
      <c r="O10" s="12">
        <f>IF($B10="§","",SUMIFS(Estação!$P$2:$P$50000,Estação!$A$2:$A$50000,$B10))</f>
        <v>0</v>
      </c>
      <c r="P10" s="12">
        <f>IF($B10="§","",SUMIFS(Estação!$Q$2:$Q$50000,Estação!$A$2:$A$50000,$B10))</f>
        <v>0</v>
      </c>
      <c r="Q10" s="12" t="str">
        <f>IFERROR(AVERAGEIFS(Estação!$AA$2:$AA$50000,Estação!$A$2:$A$50000,$B10,Estação!$AA$2:$AA$50000,"&gt;-50"),"")</f>
        <v/>
      </c>
      <c r="R10" s="12" t="str">
        <f>IFERROR(AVERAGEIFS(Estação!$AB$2:$AB$50000,Estação!$A$2:$A$50000,$B10,Estação!$AB$2:$AB$50000,"&gt;-50"),"")</f>
        <v/>
      </c>
      <c r="S10" s="12" t="str">
        <f>IFERROR(AVERAGEIFS(Estação!$Y$2:$Y$50000,Estação!$A$2:$A$50000,$B10,Estação!$Y$2:$Y$50000,"&gt;-50"),"")</f>
        <v/>
      </c>
      <c r="T10" s="12" t="str">
        <f>IFERROR(AVERAGEIFS(Estação!$C$2:$C$50000,Estação!$A$2:$A$50000,$B10,Estação!$C$2:$C$50000,"&gt;-50"),"")</f>
        <v/>
      </c>
    </row>
    <row r="11" spans="1:20" x14ac:dyDescent="0.25">
      <c r="A11" s="12" t="s">
        <v>58</v>
      </c>
      <c r="B11" s="12" t="str">
        <f>""&amp;YEAR($B$1)&amp;"-"&amp;RIGHT("0"&amp;MONTH($B$1),2)&amp;"-"&amp;RIGHT("0"&amp;DAY($B$1),2)&amp;" 06*"</f>
        <v>2026-07-11 06*</v>
      </c>
      <c r="D11" s="12" t="str">
        <f>IFERROR(AVERAGEIFS(Estação!$S$2:$S$50000,Estação!$A$2:$A$50000,$B11,Estação!$S$2:$S$50000,"&gt;-50"),"")</f>
        <v/>
      </c>
      <c r="E11" s="12" t="str">
        <f>IFERROR(AVERAGEIFS(Estação!$T$2:$T$50000,Estação!$A$2:$A$50000,$B11,Estação!$T$2:$T$50000,"&gt;-50"),"")</f>
        <v/>
      </c>
      <c r="F11" s="12" t="str">
        <f>IFERROR(AVERAGEIFS(Estação!$F$2:$F$50000,Estação!$A$2:$A$50000,$B11,Estação!$F$2:$F$50000,"&gt;-50"),"")</f>
        <v/>
      </c>
      <c r="G11" s="12" t="str">
        <f>IFERROR(AVERAGEIFS(Estação!$G$2:$G$50000,Estação!$A$2:$A$50000,$B11,Estação!$G$2:$G$50000,"&gt;-50"),"")</f>
        <v/>
      </c>
      <c r="H11" s="12" t="str">
        <f>IFERROR(AVERAGEIFS(Estação!$Z$2:$Z$50000,Estação!$A$2:$A$50000,$B11,Estação!$Z$2:$Z$50000,"&gt;-50"),"")</f>
        <v/>
      </c>
      <c r="I11" s="12" t="str">
        <f>IFERROR(AVERAGEIFS(Estação!$E$2:$E$50000,Estação!$A$2:$A$50000,$B11,Estação!$E$2:$E$50000,"&gt;-50"),"")</f>
        <v/>
      </c>
      <c r="J11" s="12" t="str">
        <f>IFERROR(AVERAGEIFS(Estação!$H$2:$H$50000,Estação!$A$2:$A$50000,$B11,Estação!$H$2:$H$50000,"&gt;-50"),"")</f>
        <v/>
      </c>
      <c r="K11" s="12" t="str">
        <f>IFERROR(AVERAGEIFS(Estação!$L$2:$L$50000,Estação!$A$2:$A$50000,$B11,Estação!$L$2:$L$50000,"&gt;-50"),"")</f>
        <v/>
      </c>
      <c r="L11" s="12" t="str">
        <f>IFERROR(AVERAGEIFS(Estação!$B$2:$B$50000,Estação!$A$2:$A$50000,$B11,Estação!$B$2:$B$50000,"&gt;-50"),"")</f>
        <v/>
      </c>
      <c r="M11" s="12" t="str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>0</v>
      </c>
      <c r="O11" s="12">
        <f>IF($B11="§","",SUMIFS(Estação!$P$2:$P$50000,Estação!$A$2:$A$50000,$B11))</f>
        <v>0</v>
      </c>
      <c r="P11" s="12">
        <f>IF($B11="§","",SUMIFS(Estação!$Q$2:$Q$50000,Estação!$A$2:$A$50000,$B11))</f>
        <v>0</v>
      </c>
      <c r="Q11" s="12" t="str">
        <f>IFERROR(AVERAGEIFS(Estação!$AA$2:$AA$50000,Estação!$A$2:$A$50000,$B11,Estação!$AA$2:$AA$50000,"&gt;-50"),"")</f>
        <v/>
      </c>
      <c r="R11" s="12" t="str">
        <f>IFERROR(AVERAGEIFS(Estação!$AB$2:$AB$50000,Estação!$A$2:$A$50000,$B11,Estação!$AB$2:$AB$50000,"&gt;-50"),"")</f>
        <v/>
      </c>
      <c r="S11" s="12" t="str">
        <f>IFERROR(AVERAGEIFS(Estação!$Y$2:$Y$50000,Estação!$A$2:$A$50000,$B11,Estação!$Y$2:$Y$50000,"&gt;-50"),"")</f>
        <v/>
      </c>
      <c r="T11" s="12" t="str">
        <f>IFERROR(AVERAGEIFS(Estação!$C$2:$C$50000,Estação!$A$2:$A$50000,$B11,Estação!$C$2:$C$50000,"&gt;-50"),"")</f>
        <v/>
      </c>
    </row>
    <row r="12" spans="1:20" x14ac:dyDescent="0.25">
      <c r="A12" s="12" t="s">
        <v>59</v>
      </c>
      <c r="B12" s="12" t="str">
        <f>""&amp;YEAR($B$1)&amp;"-"&amp;RIGHT("0"&amp;MONTH($B$1),2)&amp;"-"&amp;RIGHT("0"&amp;DAY($B$1),2)&amp;" 07*"</f>
        <v>2026-07-11 07*</v>
      </c>
      <c r="D12" s="12" t="str">
        <f>IFERROR(AVERAGEIFS(Estação!$S$2:$S$50000,Estação!$A$2:$A$50000,$B12,Estação!$S$2:$S$50000,"&gt;-50"),"")</f>
        <v/>
      </c>
      <c r="E12" s="12" t="str">
        <f>IFERROR(AVERAGEIFS(Estação!$T$2:$T$50000,Estação!$A$2:$A$50000,$B12,Estação!$T$2:$T$50000,"&gt;-50"),"")</f>
        <v/>
      </c>
      <c r="F12" s="12" t="str">
        <f>IFERROR(AVERAGEIFS(Estação!$F$2:$F$50000,Estação!$A$2:$A$50000,$B12,Estação!$F$2:$F$50000,"&gt;-50"),"")</f>
        <v/>
      </c>
      <c r="G12" s="12" t="str">
        <f>IFERROR(AVERAGEIFS(Estação!$G$2:$G$50000,Estação!$A$2:$A$50000,$B12,Estação!$G$2:$G$50000,"&gt;-50"),"")</f>
        <v/>
      </c>
      <c r="H12" s="12" t="str">
        <f>IFERROR(AVERAGEIFS(Estação!$Z$2:$Z$50000,Estação!$A$2:$A$50000,$B12,Estação!$Z$2:$Z$50000,"&gt;-50"),"")</f>
        <v/>
      </c>
      <c r="I12" s="12" t="str">
        <f>IFERROR(AVERAGEIFS(Estação!$E$2:$E$50000,Estação!$A$2:$A$50000,$B12,Estação!$E$2:$E$50000,"&gt;-50"),"")</f>
        <v/>
      </c>
      <c r="J12" s="12" t="str">
        <f>IFERROR(AVERAGEIFS(Estação!$H$2:$H$50000,Estação!$A$2:$A$50000,$B12,Estação!$H$2:$H$50000,"&gt;-50"),"")</f>
        <v/>
      </c>
      <c r="K12" s="12" t="str">
        <f>IFERROR(AVERAGEIFS(Estação!$L$2:$L$50000,Estação!$A$2:$A$50000,$B12,Estação!$L$2:$L$50000,"&gt;-50"),"")</f>
        <v/>
      </c>
      <c r="L12" s="12" t="str">
        <f>IFERROR(AVERAGEIFS(Estação!$B$2:$B$50000,Estação!$A$2:$A$50000,$B12,Estação!$B$2:$B$50000,"&gt;-50"),"")</f>
        <v/>
      </c>
      <c r="M12" s="12" t="str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>0</v>
      </c>
      <c r="O12" s="12">
        <f>IF($B12="§","",SUMIFS(Estação!$P$2:$P$50000,Estação!$A$2:$A$50000,$B12))</f>
        <v>0</v>
      </c>
      <c r="P12" s="12">
        <f>IF($B12="§","",SUMIFS(Estação!$Q$2:$Q$50000,Estação!$A$2:$A$50000,$B12))</f>
        <v>0</v>
      </c>
      <c r="Q12" s="12" t="str">
        <f>IFERROR(AVERAGEIFS(Estação!$AA$2:$AA$50000,Estação!$A$2:$A$50000,$B12,Estação!$AA$2:$AA$50000,"&gt;-50"),"")</f>
        <v/>
      </c>
      <c r="R12" s="12" t="str">
        <f>IFERROR(AVERAGEIFS(Estação!$AB$2:$AB$50000,Estação!$A$2:$A$50000,$B12,Estação!$AB$2:$AB$50000,"&gt;-50"),"")</f>
        <v/>
      </c>
      <c r="S12" s="12" t="str">
        <f>IFERROR(AVERAGEIFS(Estação!$Y$2:$Y$50000,Estação!$A$2:$A$50000,$B12,Estação!$Y$2:$Y$50000,"&gt;-50"),"")</f>
        <v/>
      </c>
      <c r="T12" s="12" t="str">
        <f>IFERROR(AVERAGEIFS(Estação!$C$2:$C$50000,Estação!$A$2:$A$50000,$B12,Estação!$C$2:$C$50000,"&gt;-50"),"")</f>
        <v/>
      </c>
    </row>
    <row r="13" spans="1:20" x14ac:dyDescent="0.25">
      <c r="A13" s="12" t="s">
        <v>60</v>
      </c>
      <c r="B13" s="12" t="str">
        <f>""&amp;YEAR($B$1)&amp;"-"&amp;RIGHT("0"&amp;MONTH($B$1),2)&amp;"-"&amp;RIGHT("0"&amp;DAY($B$1),2)&amp;" 08*"</f>
        <v>2026-07-11 08*</v>
      </c>
      <c r="D13" s="12" t="str">
        <f>IFERROR(AVERAGEIFS(Estação!$S$2:$S$50000,Estação!$A$2:$A$50000,$B13,Estação!$S$2:$S$50000,"&gt;-50"),"")</f>
        <v/>
      </c>
      <c r="E13" s="12" t="str">
        <f>IFERROR(AVERAGEIFS(Estação!$T$2:$T$50000,Estação!$A$2:$A$50000,$B13,Estação!$T$2:$T$50000,"&gt;-50"),"")</f>
        <v/>
      </c>
      <c r="F13" s="12" t="str">
        <f>IFERROR(AVERAGEIFS(Estação!$F$2:$F$50000,Estação!$A$2:$A$50000,$B13,Estação!$F$2:$F$50000,"&gt;-50"),"")</f>
        <v/>
      </c>
      <c r="G13" s="12" t="str">
        <f>IFERROR(AVERAGEIFS(Estação!$G$2:$G$50000,Estação!$A$2:$A$50000,$B13,Estação!$G$2:$G$50000,"&gt;-50"),"")</f>
        <v/>
      </c>
      <c r="H13" s="12" t="str">
        <f>IFERROR(AVERAGEIFS(Estação!$Z$2:$Z$50000,Estação!$A$2:$A$50000,$B13,Estação!$Z$2:$Z$50000,"&gt;-50"),"")</f>
        <v/>
      </c>
      <c r="I13" s="12" t="str">
        <f>IFERROR(AVERAGEIFS(Estação!$E$2:$E$50000,Estação!$A$2:$A$50000,$B13,Estação!$E$2:$E$50000,"&gt;-50"),"")</f>
        <v/>
      </c>
      <c r="J13" s="12" t="str">
        <f>IFERROR(AVERAGEIFS(Estação!$H$2:$H$50000,Estação!$A$2:$A$50000,$B13,Estação!$H$2:$H$50000,"&gt;-50"),"")</f>
        <v/>
      </c>
      <c r="K13" s="12" t="str">
        <f>IFERROR(AVERAGEIFS(Estação!$L$2:$L$50000,Estação!$A$2:$A$50000,$B13,Estação!$L$2:$L$50000,"&gt;-50"),"")</f>
        <v/>
      </c>
      <c r="L13" s="12" t="str">
        <f>IFERROR(AVERAGEIFS(Estação!$B$2:$B$50000,Estação!$A$2:$A$50000,$B13,Estação!$B$2:$B$50000,"&gt;-50"),"")</f>
        <v/>
      </c>
      <c r="M13" s="12" t="str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>0</v>
      </c>
      <c r="O13" s="12">
        <f>IF($B13="§","",SUMIFS(Estação!$P$2:$P$50000,Estação!$A$2:$A$50000,$B13))</f>
        <v>0</v>
      </c>
      <c r="P13" s="12">
        <f>IF($B13="§","",SUMIFS(Estação!$Q$2:$Q$50000,Estação!$A$2:$A$50000,$B13))</f>
        <v>0</v>
      </c>
      <c r="Q13" s="12" t="str">
        <f>IFERROR(AVERAGEIFS(Estação!$AA$2:$AA$50000,Estação!$A$2:$A$50000,$B13,Estação!$AA$2:$AA$50000,"&gt;-50"),"")</f>
        <v/>
      </c>
      <c r="R13" s="12" t="str">
        <f>IFERROR(AVERAGEIFS(Estação!$AB$2:$AB$50000,Estação!$A$2:$A$50000,$B13,Estação!$AB$2:$AB$50000,"&gt;-50"),"")</f>
        <v/>
      </c>
      <c r="S13" s="12" t="str">
        <f>IFERROR(AVERAGEIFS(Estação!$Y$2:$Y$50000,Estação!$A$2:$A$50000,$B13,Estação!$Y$2:$Y$50000,"&gt;-50"),"")</f>
        <v/>
      </c>
      <c r="T13" s="12" t="str">
        <f>IFERROR(AVERAGEIFS(Estação!$C$2:$C$50000,Estação!$A$2:$A$50000,$B13,Estação!$C$2:$C$50000,"&gt;-50"),"")</f>
        <v/>
      </c>
    </row>
    <row r="14" spans="1:20" x14ac:dyDescent="0.25">
      <c r="A14" s="12" t="s">
        <v>61</v>
      </c>
      <c r="B14" s="12" t="str">
        <f>""&amp;YEAR($B$1)&amp;"-"&amp;RIGHT("0"&amp;MONTH($B$1),2)&amp;"-"&amp;RIGHT("0"&amp;DAY($B$1),2)&amp;" 09*"</f>
        <v>2026-07-11 09*</v>
      </c>
      <c r="D14" s="12" t="str">
        <f>IFERROR(AVERAGEIFS(Estação!$S$2:$S$50000,Estação!$A$2:$A$50000,$B14,Estação!$S$2:$S$50000,"&gt;-50"),"")</f>
        <v/>
      </c>
      <c r="E14" s="12" t="str">
        <f>IFERROR(AVERAGEIFS(Estação!$T$2:$T$50000,Estação!$A$2:$A$50000,$B14,Estação!$T$2:$T$50000,"&gt;-50"),"")</f>
        <v/>
      </c>
      <c r="F14" s="12" t="str">
        <f>IFERROR(AVERAGEIFS(Estação!$F$2:$F$50000,Estação!$A$2:$A$50000,$B14,Estação!$F$2:$F$50000,"&gt;-50"),"")</f>
        <v/>
      </c>
      <c r="G14" s="12" t="str">
        <f>IFERROR(AVERAGEIFS(Estação!$G$2:$G$50000,Estação!$A$2:$A$50000,$B14,Estação!$G$2:$G$50000,"&gt;-50"),"")</f>
        <v/>
      </c>
      <c r="H14" s="12" t="str">
        <f>IFERROR(AVERAGEIFS(Estação!$Z$2:$Z$50000,Estação!$A$2:$A$50000,$B14,Estação!$Z$2:$Z$50000,"&gt;-50"),"")</f>
        <v/>
      </c>
      <c r="I14" s="12" t="str">
        <f>IFERROR(AVERAGEIFS(Estação!$E$2:$E$50000,Estação!$A$2:$A$50000,$B14,Estação!$E$2:$E$50000,"&gt;-50"),"")</f>
        <v/>
      </c>
      <c r="J14" s="12" t="str">
        <f>IFERROR(AVERAGEIFS(Estação!$H$2:$H$50000,Estação!$A$2:$A$50000,$B14,Estação!$H$2:$H$50000,"&gt;-50"),"")</f>
        <v/>
      </c>
      <c r="K14" s="12" t="str">
        <f>IFERROR(AVERAGEIFS(Estação!$L$2:$L$50000,Estação!$A$2:$A$50000,$B14,Estação!$L$2:$L$50000,"&gt;-50"),"")</f>
        <v/>
      </c>
      <c r="L14" s="12" t="str">
        <f>IFERROR(AVERAGEIFS(Estação!$B$2:$B$50000,Estação!$A$2:$A$50000,$B14,Estação!$B$2:$B$50000,"&gt;-50"),"")</f>
        <v/>
      </c>
      <c r="M14" s="12" t="str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>0</v>
      </c>
      <c r="O14" s="12">
        <f>IF($B14="§","",SUMIFS(Estação!$P$2:$P$50000,Estação!$A$2:$A$50000,$B14))</f>
        <v>0</v>
      </c>
      <c r="P14" s="12">
        <f>IF($B14="§","",SUMIFS(Estação!$Q$2:$Q$50000,Estação!$A$2:$A$50000,$B14))</f>
        <v>0</v>
      </c>
      <c r="Q14" s="12" t="str">
        <f>IFERROR(AVERAGEIFS(Estação!$AA$2:$AA$50000,Estação!$A$2:$A$50000,$B14,Estação!$AA$2:$AA$50000,"&gt;-50"),"")</f>
        <v/>
      </c>
      <c r="R14" s="12" t="str">
        <f>IFERROR(AVERAGEIFS(Estação!$AB$2:$AB$50000,Estação!$A$2:$A$50000,$B14,Estação!$AB$2:$AB$50000,"&gt;-50"),"")</f>
        <v/>
      </c>
      <c r="S14" s="12" t="str">
        <f>IFERROR(AVERAGEIFS(Estação!$Y$2:$Y$50000,Estação!$A$2:$A$50000,$B14,Estação!$Y$2:$Y$50000,"&gt;-50"),"")</f>
        <v/>
      </c>
      <c r="T14" s="12" t="str">
        <f>IFERROR(AVERAGEIFS(Estação!$C$2:$C$50000,Estação!$A$2:$A$50000,$B14,Estação!$C$2:$C$50000,"&gt;-50"),"")</f>
        <v/>
      </c>
    </row>
    <row r="15" spans="1:20" x14ac:dyDescent="0.25">
      <c r="A15" s="12" t="s">
        <v>62</v>
      </c>
      <c r="B15" s="12" t="str">
        <f>""&amp;YEAR($B$1)&amp;"-"&amp;RIGHT("0"&amp;MONTH($B$1),2)&amp;"-"&amp;RIGHT("0"&amp;DAY($B$1),2)&amp;" 10*"</f>
        <v>2026-07-11 10*</v>
      </c>
      <c r="D15" s="12" t="str">
        <f>IFERROR(AVERAGEIFS(Estação!$S$2:$S$50000,Estação!$A$2:$A$50000,$B15,Estação!$S$2:$S$50000,"&gt;-50"),"")</f>
        <v/>
      </c>
      <c r="E15" s="12" t="str">
        <f>IFERROR(AVERAGEIFS(Estação!$T$2:$T$50000,Estação!$A$2:$A$50000,$B15,Estação!$T$2:$T$50000,"&gt;-50"),"")</f>
        <v/>
      </c>
      <c r="F15" s="12" t="str">
        <f>IFERROR(AVERAGEIFS(Estação!$F$2:$F$50000,Estação!$A$2:$A$50000,$B15,Estação!$F$2:$F$50000,"&gt;-50"),"")</f>
        <v/>
      </c>
      <c r="G15" s="12" t="str">
        <f>IFERROR(AVERAGEIFS(Estação!$G$2:$G$50000,Estação!$A$2:$A$50000,$B15,Estação!$G$2:$G$50000,"&gt;-50"),"")</f>
        <v/>
      </c>
      <c r="H15" s="12" t="str">
        <f>IFERROR(AVERAGEIFS(Estação!$Z$2:$Z$50000,Estação!$A$2:$A$50000,$B15,Estação!$Z$2:$Z$50000,"&gt;-50"),"")</f>
        <v/>
      </c>
      <c r="I15" s="12" t="str">
        <f>IFERROR(AVERAGEIFS(Estação!$E$2:$E$50000,Estação!$A$2:$A$50000,$B15,Estação!$E$2:$E$50000,"&gt;-50"),"")</f>
        <v/>
      </c>
      <c r="J15" s="12" t="str">
        <f>IFERROR(AVERAGEIFS(Estação!$H$2:$H$50000,Estação!$A$2:$A$50000,$B15,Estação!$H$2:$H$50000,"&gt;-50"),"")</f>
        <v/>
      </c>
      <c r="K15" s="12" t="str">
        <f>IFERROR(AVERAGEIFS(Estação!$L$2:$L$50000,Estação!$A$2:$A$50000,$B15,Estação!$L$2:$L$50000,"&gt;-50"),"")</f>
        <v/>
      </c>
      <c r="L15" s="12" t="str">
        <f>IFERROR(AVERAGEIFS(Estação!$B$2:$B$50000,Estação!$A$2:$A$50000,$B15,Estação!$B$2:$B$50000,"&gt;-50"),"")</f>
        <v/>
      </c>
      <c r="M15" s="12" t="str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>0</v>
      </c>
      <c r="O15" s="12">
        <f>IF($B15="§","",SUMIFS(Estação!$P$2:$P$50000,Estação!$A$2:$A$50000,$B15))</f>
        <v>0</v>
      </c>
      <c r="P15" s="12">
        <f>IF($B15="§","",SUMIFS(Estação!$Q$2:$Q$50000,Estação!$A$2:$A$50000,$B15))</f>
        <v>0</v>
      </c>
      <c r="Q15" s="12" t="str">
        <f>IFERROR(AVERAGEIFS(Estação!$AA$2:$AA$50000,Estação!$A$2:$A$50000,$B15,Estação!$AA$2:$AA$50000,"&gt;-50"),"")</f>
        <v/>
      </c>
      <c r="R15" s="12" t="str">
        <f>IFERROR(AVERAGEIFS(Estação!$AB$2:$AB$50000,Estação!$A$2:$A$50000,$B15,Estação!$AB$2:$AB$50000,"&gt;-50"),"")</f>
        <v/>
      </c>
      <c r="S15" s="12" t="str">
        <f>IFERROR(AVERAGEIFS(Estação!$Y$2:$Y$50000,Estação!$A$2:$A$50000,$B15,Estação!$Y$2:$Y$50000,"&gt;-50"),"")</f>
        <v/>
      </c>
      <c r="T15" s="12" t="str">
        <f>IFERROR(AVERAGEIFS(Estação!$C$2:$C$50000,Estação!$A$2:$A$50000,$B15,Estação!$C$2:$C$50000,"&gt;-50"),"")</f>
        <v/>
      </c>
    </row>
    <row r="16" spans="1:20" x14ac:dyDescent="0.25">
      <c r="A16" s="12" t="s">
        <v>63</v>
      </c>
      <c r="B16" s="12" t="str">
        <f>""&amp;YEAR($B$1)&amp;"-"&amp;RIGHT("0"&amp;MONTH($B$1),2)&amp;"-"&amp;RIGHT("0"&amp;DAY($B$1),2)&amp;" 11*"</f>
        <v>2026-07-11 11*</v>
      </c>
      <c r="D16" s="12" t="str">
        <f>IFERROR(AVERAGEIFS(Estação!$S$2:$S$50000,Estação!$A$2:$A$50000,$B16,Estação!$S$2:$S$50000,"&gt;-50"),"")</f>
        <v/>
      </c>
      <c r="E16" s="12" t="str">
        <f>IFERROR(AVERAGEIFS(Estação!$T$2:$T$50000,Estação!$A$2:$A$50000,$B16,Estação!$T$2:$T$50000,"&gt;-50"),"")</f>
        <v/>
      </c>
      <c r="F16" s="12" t="str">
        <f>IFERROR(AVERAGEIFS(Estação!$F$2:$F$50000,Estação!$A$2:$A$50000,$B16,Estação!$F$2:$F$50000,"&gt;-50"),"")</f>
        <v/>
      </c>
      <c r="G16" s="12" t="str">
        <f>IFERROR(AVERAGEIFS(Estação!$G$2:$G$50000,Estação!$A$2:$A$50000,$B16,Estação!$G$2:$G$50000,"&gt;-50"),"")</f>
        <v/>
      </c>
      <c r="H16" s="12" t="str">
        <f>IFERROR(AVERAGEIFS(Estação!$Z$2:$Z$50000,Estação!$A$2:$A$50000,$B16,Estação!$Z$2:$Z$50000,"&gt;-50"),"")</f>
        <v/>
      </c>
      <c r="I16" s="12" t="str">
        <f>IFERROR(AVERAGEIFS(Estação!$E$2:$E$50000,Estação!$A$2:$A$50000,$B16,Estação!$E$2:$E$50000,"&gt;-50"),"")</f>
        <v/>
      </c>
      <c r="J16" s="12" t="str">
        <f>IFERROR(AVERAGEIFS(Estação!$H$2:$H$50000,Estação!$A$2:$A$50000,$B16,Estação!$H$2:$H$50000,"&gt;-50"),"")</f>
        <v/>
      </c>
      <c r="K16" s="12" t="str">
        <f>IFERROR(AVERAGEIFS(Estação!$L$2:$L$50000,Estação!$A$2:$A$50000,$B16,Estação!$L$2:$L$50000,"&gt;-50"),"")</f>
        <v/>
      </c>
      <c r="L16" s="12" t="str">
        <f>IFERROR(AVERAGEIFS(Estação!$B$2:$B$50000,Estação!$A$2:$A$50000,$B16,Estação!$B$2:$B$50000,"&gt;-50"),"")</f>
        <v/>
      </c>
      <c r="M16" s="12" t="str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>0</v>
      </c>
      <c r="O16" s="12">
        <f>IF($B16="§","",SUMIFS(Estação!$P$2:$P$50000,Estação!$A$2:$A$50000,$B16))</f>
        <v>0</v>
      </c>
      <c r="P16" s="12">
        <f>IF($B16="§","",SUMIFS(Estação!$Q$2:$Q$50000,Estação!$A$2:$A$50000,$B16))</f>
        <v>0</v>
      </c>
      <c r="Q16" s="12" t="str">
        <f>IFERROR(AVERAGEIFS(Estação!$AA$2:$AA$50000,Estação!$A$2:$A$50000,$B16,Estação!$AA$2:$AA$50000,"&gt;-50"),"")</f>
        <v/>
      </c>
      <c r="R16" s="12" t="str">
        <f>IFERROR(AVERAGEIFS(Estação!$AB$2:$AB$50000,Estação!$A$2:$A$50000,$B16,Estação!$AB$2:$AB$50000,"&gt;-50"),"")</f>
        <v/>
      </c>
      <c r="S16" s="12" t="str">
        <f>IFERROR(AVERAGEIFS(Estação!$Y$2:$Y$50000,Estação!$A$2:$A$50000,$B16,Estação!$Y$2:$Y$50000,"&gt;-50"),"")</f>
        <v/>
      </c>
      <c r="T16" s="12" t="str">
        <f>IFERROR(AVERAGEIFS(Estação!$C$2:$C$50000,Estação!$A$2:$A$50000,$B16,Estação!$C$2:$C$50000,"&gt;-50"),"")</f>
        <v/>
      </c>
    </row>
    <row r="17" spans="1:20" x14ac:dyDescent="0.25">
      <c r="A17" s="12" t="s">
        <v>64</v>
      </c>
      <c r="B17" s="12" t="str">
        <f>""&amp;YEAR($B$1)&amp;"-"&amp;RIGHT("0"&amp;MONTH($B$1),2)&amp;"-"&amp;RIGHT("0"&amp;DAY($B$1),2)&amp;" 12*"</f>
        <v>2026-07-11 12*</v>
      </c>
      <c r="D17" s="12" t="str">
        <f>IFERROR(AVERAGEIFS(Estação!$S$2:$S$50000,Estação!$A$2:$A$50000,$B17,Estação!$S$2:$S$50000,"&gt;-50"),"")</f>
        <v/>
      </c>
      <c r="E17" s="12" t="str">
        <f>IFERROR(AVERAGEIFS(Estação!$T$2:$T$50000,Estação!$A$2:$A$50000,$B17,Estação!$T$2:$T$50000,"&gt;-50"),"")</f>
        <v/>
      </c>
      <c r="F17" s="12" t="str">
        <f>IFERROR(AVERAGEIFS(Estação!$F$2:$F$50000,Estação!$A$2:$A$50000,$B17,Estação!$F$2:$F$50000,"&gt;-50"),"")</f>
        <v/>
      </c>
      <c r="G17" s="12" t="str">
        <f>IFERROR(AVERAGEIFS(Estação!$G$2:$G$50000,Estação!$A$2:$A$50000,$B17,Estação!$G$2:$G$50000,"&gt;-50"),"")</f>
        <v/>
      </c>
      <c r="H17" s="12" t="str">
        <f>IFERROR(AVERAGEIFS(Estação!$Z$2:$Z$50000,Estação!$A$2:$A$50000,$B17,Estação!$Z$2:$Z$50000,"&gt;-50"),"")</f>
        <v/>
      </c>
      <c r="I17" s="12" t="str">
        <f>IFERROR(AVERAGEIFS(Estação!$E$2:$E$50000,Estação!$A$2:$A$50000,$B17,Estação!$E$2:$E$50000,"&gt;-50"),"")</f>
        <v/>
      </c>
      <c r="J17" s="12" t="str">
        <f>IFERROR(AVERAGEIFS(Estação!$H$2:$H$50000,Estação!$A$2:$A$50000,$B17,Estação!$H$2:$H$50000,"&gt;-50"),"")</f>
        <v/>
      </c>
      <c r="K17" s="12" t="str">
        <f>IFERROR(AVERAGEIFS(Estação!$L$2:$L$50000,Estação!$A$2:$A$50000,$B17,Estação!$L$2:$L$50000,"&gt;-50"),"")</f>
        <v/>
      </c>
      <c r="L17" s="12" t="str">
        <f>IFERROR(AVERAGEIFS(Estação!$B$2:$B$50000,Estação!$A$2:$A$50000,$B17,Estação!$B$2:$B$50000,"&gt;-50"),"")</f>
        <v/>
      </c>
      <c r="M17" s="12" t="str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>0</v>
      </c>
      <c r="O17" s="12">
        <f>IF($B17="§","",SUMIFS(Estação!$P$2:$P$50000,Estação!$A$2:$A$50000,$B17))</f>
        <v>0</v>
      </c>
      <c r="P17" s="12">
        <f>IF($B17="§","",SUMIFS(Estação!$Q$2:$Q$50000,Estação!$A$2:$A$50000,$B17))</f>
        <v>0</v>
      </c>
      <c r="Q17" s="12" t="str">
        <f>IFERROR(AVERAGEIFS(Estação!$AA$2:$AA$50000,Estação!$A$2:$A$50000,$B17,Estação!$AA$2:$AA$50000,"&gt;-50"),"")</f>
        <v/>
      </c>
      <c r="R17" s="12" t="str">
        <f>IFERROR(AVERAGEIFS(Estação!$AB$2:$AB$50000,Estação!$A$2:$A$50000,$B17,Estação!$AB$2:$AB$50000,"&gt;-50"),"")</f>
        <v/>
      </c>
      <c r="S17" s="12" t="str">
        <f>IFERROR(AVERAGEIFS(Estação!$Y$2:$Y$50000,Estação!$A$2:$A$50000,$B17,Estação!$Y$2:$Y$50000,"&gt;-50"),"")</f>
        <v/>
      </c>
      <c r="T17" s="12" t="str">
        <f>IFERROR(AVERAGEIFS(Estação!$C$2:$C$50000,Estação!$A$2:$A$50000,$B17,Estação!$C$2:$C$50000,"&gt;-50"),"")</f>
        <v/>
      </c>
    </row>
    <row r="18" spans="1:20" x14ac:dyDescent="0.25">
      <c r="A18" s="12" t="s">
        <v>65</v>
      </c>
      <c r="B18" s="12" t="str">
        <f>""&amp;YEAR($B$1)&amp;"-"&amp;RIGHT("0"&amp;MONTH($B$1),2)&amp;"-"&amp;RIGHT("0"&amp;DAY($B$1),2)&amp;" 13*"</f>
        <v>2026-07-11 13*</v>
      </c>
      <c r="D18" s="12" t="str">
        <f>IFERROR(AVERAGEIFS(Estação!$S$2:$S$50000,Estação!$A$2:$A$50000,$B18,Estação!$S$2:$S$50000,"&gt;-50"),"")</f>
        <v/>
      </c>
      <c r="E18" s="12" t="str">
        <f>IFERROR(AVERAGEIFS(Estação!$T$2:$T$50000,Estação!$A$2:$A$50000,$B18,Estação!$T$2:$T$50000,"&gt;-50"),"")</f>
        <v/>
      </c>
      <c r="F18" s="12" t="str">
        <f>IFERROR(AVERAGEIFS(Estação!$F$2:$F$50000,Estação!$A$2:$A$50000,$B18,Estação!$F$2:$F$50000,"&gt;-50"),"")</f>
        <v/>
      </c>
      <c r="G18" s="12" t="str">
        <f>IFERROR(AVERAGEIFS(Estação!$G$2:$G$50000,Estação!$A$2:$A$50000,$B18,Estação!$G$2:$G$50000,"&gt;-50"),"")</f>
        <v/>
      </c>
      <c r="H18" s="12" t="str">
        <f>IFERROR(AVERAGEIFS(Estação!$Z$2:$Z$50000,Estação!$A$2:$A$50000,$B18,Estação!$Z$2:$Z$50000,"&gt;-50"),"")</f>
        <v/>
      </c>
      <c r="I18" s="12" t="str">
        <f>IFERROR(AVERAGEIFS(Estação!$E$2:$E$50000,Estação!$A$2:$A$50000,$B18,Estação!$E$2:$E$50000,"&gt;-50"),"")</f>
        <v/>
      </c>
      <c r="J18" s="12" t="str">
        <f>IFERROR(AVERAGEIFS(Estação!$H$2:$H$50000,Estação!$A$2:$A$50000,$B18,Estação!$H$2:$H$50000,"&gt;-50"),"")</f>
        <v/>
      </c>
      <c r="K18" s="12" t="str">
        <f>IFERROR(AVERAGEIFS(Estação!$L$2:$L$50000,Estação!$A$2:$A$50000,$B18,Estação!$L$2:$L$50000,"&gt;-50"),"")</f>
        <v/>
      </c>
      <c r="L18" s="12" t="str">
        <f>IFERROR(AVERAGEIFS(Estação!$B$2:$B$50000,Estação!$A$2:$A$50000,$B18,Estação!$B$2:$B$50000,"&gt;-50"),"")</f>
        <v/>
      </c>
      <c r="M18" s="12" t="str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>0</v>
      </c>
      <c r="O18" s="12">
        <f>IF($B18="§","",SUMIFS(Estação!$P$2:$P$50000,Estação!$A$2:$A$50000,$B18))</f>
        <v>0</v>
      </c>
      <c r="P18" s="12">
        <f>IF($B18="§","",SUMIFS(Estação!$Q$2:$Q$50000,Estação!$A$2:$A$50000,$B18))</f>
        <v>0</v>
      </c>
      <c r="Q18" s="12" t="str">
        <f>IFERROR(AVERAGEIFS(Estação!$AA$2:$AA$50000,Estação!$A$2:$A$50000,$B18,Estação!$AA$2:$AA$50000,"&gt;-50"),"")</f>
        <v/>
      </c>
      <c r="R18" s="12" t="str">
        <f>IFERROR(AVERAGEIFS(Estação!$AB$2:$AB$50000,Estação!$A$2:$A$50000,$B18,Estação!$AB$2:$AB$50000,"&gt;-50"),"")</f>
        <v/>
      </c>
      <c r="S18" s="12" t="str">
        <f>IFERROR(AVERAGEIFS(Estação!$Y$2:$Y$50000,Estação!$A$2:$A$50000,$B18,Estação!$Y$2:$Y$50000,"&gt;-50"),"")</f>
        <v/>
      </c>
      <c r="T18" s="12" t="str">
        <f>IFERROR(AVERAGEIFS(Estação!$C$2:$C$50000,Estação!$A$2:$A$50000,$B18,Estação!$C$2:$C$50000,"&gt;-50"),"")</f>
        <v/>
      </c>
    </row>
    <row r="19" spans="1:20" x14ac:dyDescent="0.25">
      <c r="A19" s="12" t="s">
        <v>66</v>
      </c>
      <c r="B19" s="12" t="str">
        <f>""&amp;YEAR($B$1)&amp;"-"&amp;RIGHT("0"&amp;MONTH($B$1),2)&amp;"-"&amp;RIGHT("0"&amp;DAY($B$1),2)&amp;" 14*"</f>
        <v>2026-07-11 14*</v>
      </c>
      <c r="D19" s="12" t="str">
        <f>IFERROR(AVERAGEIFS(Estação!$S$2:$S$50000,Estação!$A$2:$A$50000,$B19,Estação!$S$2:$S$50000,"&gt;-50"),"")</f>
        <v/>
      </c>
      <c r="E19" s="12" t="str">
        <f>IFERROR(AVERAGEIFS(Estação!$T$2:$T$50000,Estação!$A$2:$A$50000,$B19,Estação!$T$2:$T$50000,"&gt;-50"),"")</f>
        <v/>
      </c>
      <c r="F19" s="12" t="str">
        <f>IFERROR(AVERAGEIFS(Estação!$F$2:$F$50000,Estação!$A$2:$A$50000,$B19,Estação!$F$2:$F$50000,"&gt;-50"),"")</f>
        <v/>
      </c>
      <c r="G19" s="12" t="str">
        <f>IFERROR(AVERAGEIFS(Estação!$G$2:$G$50000,Estação!$A$2:$A$50000,$B19,Estação!$G$2:$G$50000,"&gt;-50"),"")</f>
        <v/>
      </c>
      <c r="H19" s="12" t="str">
        <f>IFERROR(AVERAGEIFS(Estação!$Z$2:$Z$50000,Estação!$A$2:$A$50000,$B19,Estação!$Z$2:$Z$50000,"&gt;-50"),"")</f>
        <v/>
      </c>
      <c r="I19" s="12" t="str">
        <f>IFERROR(AVERAGEIFS(Estação!$E$2:$E$50000,Estação!$A$2:$A$50000,$B19,Estação!$E$2:$E$50000,"&gt;-50"),"")</f>
        <v/>
      </c>
      <c r="J19" s="12" t="str">
        <f>IFERROR(AVERAGEIFS(Estação!$H$2:$H$50000,Estação!$A$2:$A$50000,$B19,Estação!$H$2:$H$50000,"&gt;-50"),"")</f>
        <v/>
      </c>
      <c r="K19" s="12" t="str">
        <f>IFERROR(AVERAGEIFS(Estação!$L$2:$L$50000,Estação!$A$2:$A$50000,$B19,Estação!$L$2:$L$50000,"&gt;-50"),"")</f>
        <v/>
      </c>
      <c r="L19" s="12" t="str">
        <f>IFERROR(AVERAGEIFS(Estação!$B$2:$B$50000,Estação!$A$2:$A$50000,$B19,Estação!$B$2:$B$50000,"&gt;-50"),"")</f>
        <v/>
      </c>
      <c r="M19" s="12" t="str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>0</v>
      </c>
      <c r="O19" s="12">
        <f>IF($B19="§","",SUMIFS(Estação!$P$2:$P$50000,Estação!$A$2:$A$50000,$B19))</f>
        <v>0</v>
      </c>
      <c r="P19" s="12">
        <f>IF($B19="§","",SUMIFS(Estação!$Q$2:$Q$50000,Estação!$A$2:$A$50000,$B19))</f>
        <v>0</v>
      </c>
      <c r="Q19" s="12" t="str">
        <f>IFERROR(AVERAGEIFS(Estação!$AA$2:$AA$50000,Estação!$A$2:$A$50000,$B19,Estação!$AA$2:$AA$50000,"&gt;-50"),"")</f>
        <v/>
      </c>
      <c r="R19" s="12" t="str">
        <f>IFERROR(AVERAGEIFS(Estação!$AB$2:$AB$50000,Estação!$A$2:$A$50000,$B19,Estação!$AB$2:$AB$50000,"&gt;-50"),"")</f>
        <v/>
      </c>
      <c r="S19" s="12" t="str">
        <f>IFERROR(AVERAGEIFS(Estação!$Y$2:$Y$50000,Estação!$A$2:$A$50000,$B19,Estação!$Y$2:$Y$50000,"&gt;-50"),"")</f>
        <v/>
      </c>
      <c r="T19" s="12" t="str">
        <f>IFERROR(AVERAGEIFS(Estação!$C$2:$C$50000,Estação!$A$2:$A$50000,$B19,Estação!$C$2:$C$50000,"&gt;-50"),"")</f>
        <v/>
      </c>
    </row>
    <row r="20" spans="1:20" x14ac:dyDescent="0.25">
      <c r="A20" s="12" t="s">
        <v>67</v>
      </c>
      <c r="B20" s="12" t="str">
        <f>""&amp;YEAR($B$1)&amp;"-"&amp;RIGHT("0"&amp;MONTH($B$1),2)&amp;"-"&amp;RIGHT("0"&amp;DAY($B$1),2)&amp;" 15*"</f>
        <v>2026-07-11 15*</v>
      </c>
      <c r="D20" s="12" t="str">
        <f>IFERROR(AVERAGEIFS(Estação!$S$2:$S$50000,Estação!$A$2:$A$50000,$B20,Estação!$S$2:$S$50000,"&gt;-50"),"")</f>
        <v/>
      </c>
      <c r="E20" s="12" t="str">
        <f>IFERROR(AVERAGEIFS(Estação!$T$2:$T$50000,Estação!$A$2:$A$50000,$B20,Estação!$T$2:$T$50000,"&gt;-50"),"")</f>
        <v/>
      </c>
      <c r="F20" s="12" t="str">
        <f>IFERROR(AVERAGEIFS(Estação!$F$2:$F$50000,Estação!$A$2:$A$50000,$B20,Estação!$F$2:$F$50000,"&gt;-50"),"")</f>
        <v/>
      </c>
      <c r="G20" s="12" t="str">
        <f>IFERROR(AVERAGEIFS(Estação!$G$2:$G$50000,Estação!$A$2:$A$50000,$B20,Estação!$G$2:$G$50000,"&gt;-50"),"")</f>
        <v/>
      </c>
      <c r="H20" s="12" t="str">
        <f>IFERROR(AVERAGEIFS(Estação!$Z$2:$Z$50000,Estação!$A$2:$A$50000,$B20,Estação!$Z$2:$Z$50000,"&gt;-50"),"")</f>
        <v/>
      </c>
      <c r="I20" s="12" t="str">
        <f>IFERROR(AVERAGEIFS(Estação!$E$2:$E$50000,Estação!$A$2:$A$50000,$B20,Estação!$E$2:$E$50000,"&gt;-50"),"")</f>
        <v/>
      </c>
      <c r="J20" s="12" t="str">
        <f>IFERROR(AVERAGEIFS(Estação!$H$2:$H$50000,Estação!$A$2:$A$50000,$B20,Estação!$H$2:$H$50000,"&gt;-50"),"")</f>
        <v/>
      </c>
      <c r="K20" s="12" t="str">
        <f>IFERROR(AVERAGEIFS(Estação!$L$2:$L$50000,Estação!$A$2:$A$50000,$B20,Estação!$L$2:$L$50000,"&gt;-50"),"")</f>
        <v/>
      </c>
      <c r="L20" s="12" t="str">
        <f>IFERROR(AVERAGEIFS(Estação!$B$2:$B$50000,Estação!$A$2:$A$50000,$B20,Estação!$B$2:$B$50000,"&gt;-50"),"")</f>
        <v/>
      </c>
      <c r="M20" s="12" t="str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>0</v>
      </c>
      <c r="O20" s="12">
        <f>IF($B20="§","",SUMIFS(Estação!$P$2:$P$50000,Estação!$A$2:$A$50000,$B20))</f>
        <v>0</v>
      </c>
      <c r="P20" s="12">
        <f>IF($B20="§","",SUMIFS(Estação!$Q$2:$Q$50000,Estação!$A$2:$A$50000,$B20))</f>
        <v>0</v>
      </c>
      <c r="Q20" s="12" t="str">
        <f>IFERROR(AVERAGEIFS(Estação!$AA$2:$AA$50000,Estação!$A$2:$A$50000,$B20,Estação!$AA$2:$AA$50000,"&gt;-50"),"")</f>
        <v/>
      </c>
      <c r="R20" s="12" t="str">
        <f>IFERROR(AVERAGEIFS(Estação!$AB$2:$AB$50000,Estação!$A$2:$A$50000,$B20,Estação!$AB$2:$AB$50000,"&gt;-50"),"")</f>
        <v/>
      </c>
      <c r="S20" s="12" t="str">
        <f>IFERROR(AVERAGEIFS(Estação!$Y$2:$Y$50000,Estação!$A$2:$A$50000,$B20,Estação!$Y$2:$Y$50000,"&gt;-50"),"")</f>
        <v/>
      </c>
      <c r="T20" s="12" t="str">
        <f>IFERROR(AVERAGEIFS(Estação!$C$2:$C$50000,Estação!$A$2:$A$50000,$B20,Estação!$C$2:$C$50000,"&gt;-50"),"")</f>
        <v/>
      </c>
    </row>
    <row r="21" spans="1:20" x14ac:dyDescent="0.25">
      <c r="A21" s="12" t="s">
        <v>68</v>
      </c>
      <c r="B21" s="12" t="str">
        <f>""&amp;YEAR($B$1)&amp;"-"&amp;RIGHT("0"&amp;MONTH($B$1),2)&amp;"-"&amp;RIGHT("0"&amp;DAY($B$1),2)&amp;" 16*"</f>
        <v>2026-07-11 16*</v>
      </c>
      <c r="D21" s="12" t="str">
        <f>IFERROR(AVERAGEIFS(Estação!$S$2:$S$50000,Estação!$A$2:$A$50000,$B21,Estação!$S$2:$S$50000,"&gt;-50"),"")</f>
        <v/>
      </c>
      <c r="E21" s="12" t="str">
        <f>IFERROR(AVERAGEIFS(Estação!$T$2:$T$50000,Estação!$A$2:$A$50000,$B21,Estação!$T$2:$T$50000,"&gt;-50"),"")</f>
        <v/>
      </c>
      <c r="F21" s="12" t="str">
        <f>IFERROR(AVERAGEIFS(Estação!$F$2:$F$50000,Estação!$A$2:$A$50000,$B21,Estação!$F$2:$F$50000,"&gt;-50"),"")</f>
        <v/>
      </c>
      <c r="G21" s="12" t="str">
        <f>IFERROR(AVERAGEIFS(Estação!$G$2:$G$50000,Estação!$A$2:$A$50000,$B21,Estação!$G$2:$G$50000,"&gt;-50"),"")</f>
        <v/>
      </c>
      <c r="H21" s="12" t="str">
        <f>IFERROR(AVERAGEIFS(Estação!$Z$2:$Z$50000,Estação!$A$2:$A$50000,$B21,Estação!$Z$2:$Z$50000,"&gt;-50"),"")</f>
        <v/>
      </c>
      <c r="I21" s="12" t="str">
        <f>IFERROR(AVERAGEIFS(Estação!$E$2:$E$50000,Estação!$A$2:$A$50000,$B21,Estação!$E$2:$E$50000,"&gt;-50"),"")</f>
        <v/>
      </c>
      <c r="J21" s="12" t="str">
        <f>IFERROR(AVERAGEIFS(Estação!$H$2:$H$50000,Estação!$A$2:$A$50000,$B21,Estação!$H$2:$H$50000,"&gt;-50"),"")</f>
        <v/>
      </c>
      <c r="K21" s="12" t="str">
        <f>IFERROR(AVERAGEIFS(Estação!$L$2:$L$50000,Estação!$A$2:$A$50000,$B21,Estação!$L$2:$L$50000,"&gt;-50"),"")</f>
        <v/>
      </c>
      <c r="L21" s="12" t="str">
        <f>IFERROR(AVERAGEIFS(Estação!$B$2:$B$50000,Estação!$A$2:$A$50000,$B21,Estação!$B$2:$B$50000,"&gt;-50"),"")</f>
        <v/>
      </c>
      <c r="M21" s="12" t="str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>0</v>
      </c>
      <c r="O21" s="12">
        <f>IF($B21="§","",SUMIFS(Estação!$P$2:$P$50000,Estação!$A$2:$A$50000,$B21))</f>
        <v>0</v>
      </c>
      <c r="P21" s="12">
        <f>IF($B21="§","",SUMIFS(Estação!$Q$2:$Q$50000,Estação!$A$2:$A$50000,$B21))</f>
        <v>0</v>
      </c>
      <c r="Q21" s="12" t="str">
        <f>IFERROR(AVERAGEIFS(Estação!$AA$2:$AA$50000,Estação!$A$2:$A$50000,$B21,Estação!$AA$2:$AA$50000,"&gt;-50"),"")</f>
        <v/>
      </c>
      <c r="R21" s="12" t="str">
        <f>IFERROR(AVERAGEIFS(Estação!$AB$2:$AB$50000,Estação!$A$2:$A$50000,$B21,Estação!$AB$2:$AB$50000,"&gt;-50"),"")</f>
        <v/>
      </c>
      <c r="S21" s="12" t="str">
        <f>IFERROR(AVERAGEIFS(Estação!$Y$2:$Y$50000,Estação!$A$2:$A$50000,$B21,Estação!$Y$2:$Y$50000,"&gt;-50"),"")</f>
        <v/>
      </c>
      <c r="T21" s="12" t="str">
        <f>IFERROR(AVERAGEIFS(Estação!$C$2:$C$50000,Estação!$A$2:$A$50000,$B21,Estação!$C$2:$C$50000,"&gt;-50"),"")</f>
        <v/>
      </c>
    </row>
    <row r="22" spans="1:20" x14ac:dyDescent="0.25">
      <c r="A22" s="12" t="s">
        <v>69</v>
      </c>
      <c r="B22" s="12" t="str">
        <f>""&amp;YEAR($B$1)&amp;"-"&amp;RIGHT("0"&amp;MONTH($B$1),2)&amp;"-"&amp;RIGHT("0"&amp;DAY($B$1),2)&amp;" 17*"</f>
        <v>2026-07-11 17*</v>
      </c>
      <c r="D22" s="12" t="str">
        <f>IFERROR(AVERAGEIFS(Estação!$S$2:$S$50000,Estação!$A$2:$A$50000,$B22,Estação!$S$2:$S$50000,"&gt;-50"),"")</f>
        <v/>
      </c>
      <c r="E22" s="12" t="str">
        <f>IFERROR(AVERAGEIFS(Estação!$T$2:$T$50000,Estação!$A$2:$A$50000,$B22,Estação!$T$2:$T$50000,"&gt;-50"),"")</f>
        <v/>
      </c>
      <c r="F22" s="12" t="str">
        <f>IFERROR(AVERAGEIFS(Estação!$F$2:$F$50000,Estação!$A$2:$A$50000,$B22,Estação!$F$2:$F$50000,"&gt;-50"),"")</f>
        <v/>
      </c>
      <c r="G22" s="12" t="str">
        <f>IFERROR(AVERAGEIFS(Estação!$G$2:$G$50000,Estação!$A$2:$A$50000,$B22,Estação!$G$2:$G$50000,"&gt;-50"),"")</f>
        <v/>
      </c>
      <c r="H22" s="12" t="str">
        <f>IFERROR(AVERAGEIFS(Estação!$Z$2:$Z$50000,Estação!$A$2:$A$50000,$B22,Estação!$Z$2:$Z$50000,"&gt;-50"),"")</f>
        <v/>
      </c>
      <c r="I22" s="12" t="str">
        <f>IFERROR(AVERAGEIFS(Estação!$E$2:$E$50000,Estação!$A$2:$A$50000,$B22,Estação!$E$2:$E$50000,"&gt;-50"),"")</f>
        <v/>
      </c>
      <c r="J22" s="12" t="str">
        <f>IFERROR(AVERAGEIFS(Estação!$H$2:$H$50000,Estação!$A$2:$A$50000,$B22,Estação!$H$2:$H$50000,"&gt;-50"),"")</f>
        <v/>
      </c>
      <c r="K22" s="12" t="str">
        <f>IFERROR(AVERAGEIFS(Estação!$L$2:$L$50000,Estação!$A$2:$A$50000,$B22,Estação!$L$2:$L$50000,"&gt;-50"),"")</f>
        <v/>
      </c>
      <c r="L22" s="12" t="str">
        <f>IFERROR(AVERAGEIFS(Estação!$B$2:$B$50000,Estação!$A$2:$A$50000,$B22,Estação!$B$2:$B$50000,"&gt;-50"),"")</f>
        <v/>
      </c>
      <c r="M22" s="12" t="str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>0</v>
      </c>
      <c r="O22" s="12">
        <f>IF($B22="§","",SUMIFS(Estação!$P$2:$P$50000,Estação!$A$2:$A$50000,$B22))</f>
        <v>0</v>
      </c>
      <c r="P22" s="12">
        <f>IF($B22="§","",SUMIFS(Estação!$Q$2:$Q$50000,Estação!$A$2:$A$50000,$B22))</f>
        <v>0</v>
      </c>
      <c r="Q22" s="12" t="str">
        <f>IFERROR(AVERAGEIFS(Estação!$AA$2:$AA$50000,Estação!$A$2:$A$50000,$B22,Estação!$AA$2:$AA$50000,"&gt;-50"),"")</f>
        <v/>
      </c>
      <c r="R22" s="12" t="str">
        <f>IFERROR(AVERAGEIFS(Estação!$AB$2:$AB$50000,Estação!$A$2:$A$50000,$B22,Estação!$AB$2:$AB$50000,"&gt;-50"),"")</f>
        <v/>
      </c>
      <c r="S22" s="12" t="str">
        <f>IFERROR(AVERAGEIFS(Estação!$Y$2:$Y$50000,Estação!$A$2:$A$50000,$B22,Estação!$Y$2:$Y$50000,"&gt;-50"),"")</f>
        <v/>
      </c>
      <c r="T22" s="12" t="str">
        <f>IFERROR(AVERAGEIFS(Estação!$C$2:$C$50000,Estação!$A$2:$A$50000,$B22,Estação!$C$2:$C$50000,"&gt;-50"),"")</f>
        <v/>
      </c>
    </row>
    <row r="23" spans="1:20" x14ac:dyDescent="0.25">
      <c r="A23" s="12" t="s">
        <v>70</v>
      </c>
      <c r="B23" s="12" t="str">
        <f>""&amp;YEAR($B$1)&amp;"-"&amp;RIGHT("0"&amp;MONTH($B$1),2)&amp;"-"&amp;RIGHT("0"&amp;DAY($B$1),2)&amp;" 18*"</f>
        <v>2026-07-11 18*</v>
      </c>
      <c r="D23" s="12">
        <f>IFERROR(AVERAGEIFS(Estação!$S$2:$S$50000,Estação!$A$2:$A$50000,$B23,Estação!$S$2:$S$50000,"&gt;-50"),"")</f>
        <v>15.4</v>
      </c>
      <c r="E23" s="12">
        <f>IFERROR(AVERAGEIFS(Estação!$T$2:$T$50000,Estação!$A$2:$A$50000,$B23,Estação!$T$2:$T$50000,"&gt;-50"),"")</f>
        <v>14.9</v>
      </c>
      <c r="F23" s="12">
        <f>IFERROR(AVERAGEIFS(Estação!$F$2:$F$50000,Estação!$A$2:$A$50000,$B23,Estação!$F$2:$F$50000,"&gt;-50"),"")</f>
        <v>15.6</v>
      </c>
      <c r="G23" s="12">
        <f>IFERROR(AVERAGEIFS(Estação!$G$2:$G$50000,Estação!$A$2:$A$50000,$B23,Estação!$G$2:$G$50000,"&gt;-50"),"")</f>
        <v>14.9</v>
      </c>
      <c r="H23" s="12">
        <f>IFERROR(AVERAGEIFS(Estação!$Z$2:$Z$50000,Estação!$A$2:$A$50000,$B23,Estação!$Z$2:$Z$50000,"&gt;-50"),"")</f>
        <v>9.6999999999999993</v>
      </c>
      <c r="I23" s="12">
        <f>IFERROR(AVERAGEIFS(Estação!$E$2:$E$50000,Estação!$A$2:$A$50000,$B23,Estação!$E$2:$E$50000,"&gt;-50"),"")</f>
        <v>13.9</v>
      </c>
      <c r="J23" s="12">
        <f>IFERROR(AVERAGEIFS(Estação!$H$2:$H$50000,Estação!$A$2:$A$50000,$B23,Estação!$H$2:$H$50000,"&gt;-50"),"")</f>
        <v>94</v>
      </c>
      <c r="K23" s="12">
        <f>IFERROR(AVERAGEIFS(Estação!$L$2:$L$50000,Estação!$A$2:$A$50000,$B23,Estação!$L$2:$L$50000,"&gt;-50"),"")</f>
        <v>86</v>
      </c>
      <c r="L23" s="12">
        <f>IFERROR(AVERAGEIFS(Estação!$B$2:$B$50000,Estação!$A$2:$A$50000,$B23,Estação!$B$2:$B$50000,"&gt;-50"),"")</f>
        <v>995</v>
      </c>
      <c r="M23" s="12">
        <f>IFERROR(AVERAGEIFS(Estação!$M$2:$M$50000,Estação!$A$2:$A$50000,$B23,Estação!$M$2:$M$50000,"&gt;-50"),"")</f>
        <v>995</v>
      </c>
      <c r="N23" s="12">
        <f>IF($B23="§","",SUMIFS(Estação!$O$2:$O$50000,Estação!$A$2:$A$50000,$B23))</f>
        <v>0</v>
      </c>
      <c r="O23" s="12">
        <f>IF($B23="§","",SUMIFS(Estação!$P$2:$P$50000,Estação!$A$2:$A$50000,$B23))</f>
        <v>11.7</v>
      </c>
      <c r="P23" s="12">
        <f>IF($B23="§","",SUMIFS(Estação!$Q$2:$Q$50000,Estação!$A$2:$A$50000,$B23))</f>
        <v>0.6</v>
      </c>
      <c r="Q23" s="12">
        <f>IFERROR(AVERAGEIFS(Estação!$AA$2:$AA$50000,Estação!$A$2:$A$50000,$B23,Estação!$AA$2:$AA$50000,"&gt;-50"),"")</f>
        <v>3.4</v>
      </c>
      <c r="R23" s="12">
        <f>IFERROR(AVERAGEIFS(Estação!$AB$2:$AB$50000,Estação!$A$2:$A$50000,$B23,Estação!$AB$2:$AB$50000,"&gt;-50"),"")</f>
        <v>6.6</v>
      </c>
      <c r="S23" s="12">
        <f>IFERROR(AVERAGEIFS(Estação!$Y$2:$Y$50000,Estação!$A$2:$A$50000,$B23,Estação!$Y$2:$Y$50000,"&gt;-50"),"")</f>
        <v>0</v>
      </c>
      <c r="T23" s="12">
        <f>IFERROR(AVERAGEIFS(Estação!$C$2:$C$50000,Estação!$A$2:$A$50000,$B23,Estação!$C$2:$C$50000,"&gt;-50"),"")</f>
        <v>100</v>
      </c>
    </row>
    <row r="24" spans="1:20" x14ac:dyDescent="0.25">
      <c r="A24" s="12" t="s">
        <v>71</v>
      </c>
      <c r="B24" s="12" t="str">
        <f>""&amp;YEAR($B$1)&amp;"-"&amp;RIGHT("0"&amp;MONTH($B$1),2)&amp;"-"&amp;RIGHT("0"&amp;DAY($B$1),2)&amp;" 19*"</f>
        <v>2026-07-11 19*</v>
      </c>
      <c r="D24" s="12">
        <f>IFERROR(AVERAGEIFS(Estação!$S$2:$S$50000,Estação!$A$2:$A$50000,$B24,Estação!$S$2:$S$50000,"&gt;-50"),"")</f>
        <v>15.3</v>
      </c>
      <c r="E24" s="12">
        <f>IFERROR(AVERAGEIFS(Estação!$T$2:$T$50000,Estação!$A$2:$A$50000,$B24,Estação!$T$2:$T$50000,"&gt;-50"),"")</f>
        <v>14.6</v>
      </c>
      <c r="F24" s="12">
        <f>IFERROR(AVERAGEIFS(Estação!$F$2:$F$50000,Estação!$A$2:$A$50000,$B24,Estação!$F$2:$F$50000,"&gt;-50"),"")</f>
        <v>15.1</v>
      </c>
      <c r="G24" s="12">
        <f>IFERROR(AVERAGEIFS(Estação!$G$2:$G$50000,Estação!$A$2:$A$50000,$B24,Estação!$G$2:$G$50000,"&gt;-50"),"")</f>
        <v>14.6</v>
      </c>
      <c r="H24" s="12">
        <f>IFERROR(AVERAGEIFS(Estação!$Z$2:$Z$50000,Estação!$A$2:$A$50000,$B24,Estação!$Z$2:$Z$50000,"&gt;-50"),"")</f>
        <v>9.6999999999999993</v>
      </c>
      <c r="I24" s="12">
        <f>IFERROR(AVERAGEIFS(Estação!$E$2:$E$50000,Estação!$A$2:$A$50000,$B24,Estação!$E$2:$E$50000,"&gt;-50"),"")</f>
        <v>13.7</v>
      </c>
      <c r="J24" s="12">
        <f>IFERROR(AVERAGEIFS(Estação!$H$2:$H$50000,Estação!$A$2:$A$50000,$B24,Estação!$H$2:$H$50000,"&gt;-50"),"")</f>
        <v>95</v>
      </c>
      <c r="K24" s="12">
        <f>IFERROR(AVERAGEIFS(Estação!$L$2:$L$50000,Estação!$A$2:$A$50000,$B24,Estação!$L$2:$L$50000,"&gt;-50"),"")</f>
        <v>86</v>
      </c>
      <c r="L24" s="12">
        <f>IFERROR(AVERAGEIFS(Estação!$B$2:$B$50000,Estação!$A$2:$A$50000,$B24,Estação!$B$2:$B$50000,"&gt;-50"),"")</f>
        <v>995</v>
      </c>
      <c r="M24" s="12">
        <f>IFERROR(AVERAGEIFS(Estação!$M$2:$M$50000,Estação!$A$2:$A$50000,$B24,Estação!$M$2:$M$50000,"&gt;-50"),"")</f>
        <v>995</v>
      </c>
      <c r="N24" s="12">
        <f>IF($B24="§","",SUMIFS(Estação!$O$2:$O$50000,Estação!$A$2:$A$50000,$B24))</f>
        <v>0</v>
      </c>
      <c r="O24" s="12">
        <f>IF($B24="§","",SUMIFS(Estação!$P$2:$P$50000,Estação!$A$2:$A$50000,$B24))</f>
        <v>11.7</v>
      </c>
      <c r="P24" s="12">
        <f>IF($B24="§","",SUMIFS(Estação!$Q$2:$Q$50000,Estação!$A$2:$A$50000,$B24))</f>
        <v>0.4</v>
      </c>
      <c r="Q24" s="12">
        <f>IFERROR(AVERAGEIFS(Estação!$AA$2:$AA$50000,Estação!$A$2:$A$50000,$B24,Estação!$AA$2:$AA$50000,"&gt;-50"),"")</f>
        <v>5.4</v>
      </c>
      <c r="R24" s="12">
        <f>IFERROR(AVERAGEIFS(Estação!$AB$2:$AB$50000,Estação!$A$2:$A$50000,$B24,Estação!$AB$2:$AB$50000,"&gt;-50"),"")</f>
        <v>5.3</v>
      </c>
      <c r="S24" s="12">
        <f>IFERROR(AVERAGEIFS(Estação!$Y$2:$Y$50000,Estação!$A$2:$A$50000,$B24,Estação!$Y$2:$Y$50000,"&gt;-50"),"")</f>
        <v>0</v>
      </c>
      <c r="T24" s="12">
        <f>IFERROR(AVERAGEIFS(Estação!$C$2:$C$50000,Estação!$A$2:$A$50000,$B24,Estação!$C$2:$C$50000,"&gt;-50"),"")</f>
        <v>100</v>
      </c>
    </row>
    <row r="25" spans="1:20" x14ac:dyDescent="0.25">
      <c r="A25" s="12" t="s">
        <v>72</v>
      </c>
      <c r="B25" s="12" t="str">
        <f>""&amp;YEAR($B$1)&amp;"-"&amp;RIGHT("0"&amp;MONTH($B$1),2)&amp;"-"&amp;RIGHT("0"&amp;DAY($B$1),2)&amp;" 20*"</f>
        <v>2026-07-11 20*</v>
      </c>
      <c r="D25" s="12">
        <f>IFERROR(AVERAGEIFS(Estação!$S$2:$S$50000,Estação!$A$2:$A$50000,$B25,Estação!$S$2:$S$50000,"&gt;-50"),"")</f>
        <v>15.2</v>
      </c>
      <c r="E25" s="12">
        <f>IFERROR(AVERAGEIFS(Estação!$T$2:$T$50000,Estação!$A$2:$A$50000,$B25,Estação!$T$2:$T$50000,"&gt;-50"),"")</f>
        <v>14.6</v>
      </c>
      <c r="F25" s="12">
        <f>IFERROR(AVERAGEIFS(Estação!$F$2:$F$50000,Estação!$A$2:$A$50000,$B25,Estação!$F$2:$F$50000,"&gt;-50"),"")</f>
        <v>15.5</v>
      </c>
      <c r="G25" s="12">
        <f>IFERROR(AVERAGEIFS(Estação!$G$2:$G$50000,Estação!$A$2:$A$50000,$B25,Estação!$G$2:$G$50000,"&gt;-50"),"")</f>
        <v>14.6</v>
      </c>
      <c r="H25" s="12">
        <f>IFERROR(AVERAGEIFS(Estação!$Z$2:$Z$50000,Estação!$A$2:$A$50000,$B25,Estação!$Z$2:$Z$50000,"&gt;-50"),"")</f>
        <v>9.6999999999999993</v>
      </c>
      <c r="I25" s="12">
        <f>IFERROR(AVERAGEIFS(Estação!$E$2:$E$50000,Estação!$A$2:$A$50000,$B25,Estação!$E$2:$E$50000,"&gt;-50"),"")</f>
        <v>13.9</v>
      </c>
      <c r="J25" s="12">
        <f>IFERROR(AVERAGEIFS(Estação!$H$2:$H$50000,Estação!$A$2:$A$50000,$B25,Estação!$H$2:$H$50000,"&gt;-50"),"")</f>
        <v>96</v>
      </c>
      <c r="K25" s="12">
        <f>IFERROR(AVERAGEIFS(Estação!$L$2:$L$50000,Estação!$A$2:$A$50000,$B25,Estação!$L$2:$L$50000,"&gt;-50"),"")</f>
        <v>87</v>
      </c>
      <c r="L25" s="12">
        <f>IFERROR(AVERAGEIFS(Estação!$B$2:$B$50000,Estação!$A$2:$A$50000,$B25,Estação!$B$2:$B$50000,"&gt;-50"),"")</f>
        <v>995</v>
      </c>
      <c r="M25" s="12">
        <f>IFERROR(AVERAGEIFS(Estação!$M$2:$M$50000,Estação!$A$2:$A$50000,$B25,Estação!$M$2:$M$50000,"&gt;-50"),"")</f>
        <v>995</v>
      </c>
      <c r="N25" s="12">
        <f>IF($B25="§","",SUMIFS(Estação!$O$2:$O$50000,Estação!$A$2:$A$50000,$B25))</f>
        <v>0</v>
      </c>
      <c r="O25" s="12">
        <f>IF($B25="§","",SUMIFS(Estação!$P$2:$P$50000,Estação!$A$2:$A$50000,$B25))</f>
        <v>11.7</v>
      </c>
      <c r="P25" s="12">
        <f>IF($B25="§","",SUMIFS(Estação!$Q$2:$Q$50000,Estação!$A$2:$A$50000,$B25))</f>
        <v>0.4</v>
      </c>
      <c r="Q25" s="12">
        <f>IFERROR(AVERAGEIFS(Estação!$AA$2:$AA$50000,Estação!$A$2:$A$50000,$B25,Estação!$AA$2:$AA$50000,"&gt;-50"),"")</f>
        <v>4.5</v>
      </c>
      <c r="R25" s="12">
        <f>IFERROR(AVERAGEIFS(Estação!$AB$2:$AB$50000,Estação!$A$2:$A$50000,$B25,Estação!$AB$2:$AB$50000,"&gt;-50"),"")</f>
        <v>4.5999999999999996</v>
      </c>
      <c r="S25" s="12">
        <f>IFERROR(AVERAGEIFS(Estação!$Y$2:$Y$50000,Estação!$A$2:$A$50000,$B25,Estação!$Y$2:$Y$50000,"&gt;-50"),"")</f>
        <v>0</v>
      </c>
      <c r="T25" s="12">
        <f>IFERROR(AVERAGEIFS(Estação!$C$2:$C$50000,Estação!$A$2:$A$50000,$B25,Estação!$C$2:$C$50000,"&gt;-50"),"")</f>
        <v>100</v>
      </c>
    </row>
    <row r="26" spans="1:20" x14ac:dyDescent="0.25">
      <c r="A26" s="12" t="s">
        <v>73</v>
      </c>
      <c r="B26" s="12" t="str">
        <f>""&amp;YEAR($B$1)&amp;"-"&amp;RIGHT("0"&amp;MONTH($B$1),2)&amp;"-"&amp;RIGHT("0"&amp;DAY($B$1),2)&amp;" 21*"</f>
        <v>2026-07-11 21*</v>
      </c>
      <c r="D26" s="12" t="str">
        <f>IFERROR(AVERAGEIFS(Estação!$S$2:$S$50000,Estação!$A$2:$A$50000,$B26,Estação!$S$2:$S$50000,"&gt;-50"),"")</f>
        <v/>
      </c>
      <c r="E26" s="12" t="str">
        <f>IFERROR(AVERAGEIFS(Estação!$T$2:$T$50000,Estação!$A$2:$A$50000,$B26,Estação!$T$2:$T$50000,"&gt;-50"),"")</f>
        <v/>
      </c>
      <c r="F26" s="12" t="str">
        <f>IFERROR(AVERAGEIFS(Estação!$F$2:$F$50000,Estação!$A$2:$A$50000,$B26,Estação!$F$2:$F$50000,"&gt;-50"),"")</f>
        <v/>
      </c>
      <c r="G26" s="12" t="str">
        <f>IFERROR(AVERAGEIFS(Estação!$G$2:$G$50000,Estação!$A$2:$A$50000,$B26,Estação!$G$2:$G$50000,"&gt;-50"),"")</f>
        <v/>
      </c>
      <c r="H26" s="12" t="str">
        <f>IFERROR(AVERAGEIFS(Estação!$Z$2:$Z$50000,Estação!$A$2:$A$50000,$B26,Estação!$Z$2:$Z$50000,"&gt;-50"),"")</f>
        <v/>
      </c>
      <c r="I26" s="12" t="str">
        <f>IFERROR(AVERAGEIFS(Estação!$E$2:$E$50000,Estação!$A$2:$A$50000,$B26,Estação!$E$2:$E$50000,"&gt;-50"),"")</f>
        <v/>
      </c>
      <c r="J26" s="12" t="str">
        <f>IFERROR(AVERAGEIFS(Estação!$H$2:$H$50000,Estação!$A$2:$A$50000,$B26,Estação!$H$2:$H$50000,"&gt;-50"),"")</f>
        <v/>
      </c>
      <c r="K26" s="12" t="str">
        <f>IFERROR(AVERAGEIFS(Estação!$L$2:$L$50000,Estação!$A$2:$A$50000,$B26,Estação!$L$2:$L$50000,"&gt;-50"),"")</f>
        <v/>
      </c>
      <c r="L26" s="12" t="str">
        <f>IFERROR(AVERAGEIFS(Estação!$B$2:$B$50000,Estação!$A$2:$A$50000,$B26,Estação!$B$2:$B$50000,"&gt;-50"),"")</f>
        <v/>
      </c>
      <c r="M26" s="12" t="str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>0</v>
      </c>
      <c r="O26" s="12">
        <f>IF($B26="§","",SUMIFS(Estação!$P$2:$P$50000,Estação!$A$2:$A$50000,$B26))</f>
        <v>0</v>
      </c>
      <c r="P26" s="12">
        <f>IF($B26="§","",SUMIFS(Estação!$Q$2:$Q$50000,Estação!$A$2:$A$50000,$B26))</f>
        <v>0</v>
      </c>
      <c r="Q26" s="12" t="str">
        <f>IFERROR(AVERAGEIFS(Estação!$AA$2:$AA$50000,Estação!$A$2:$A$50000,$B26,Estação!$AA$2:$AA$50000,"&gt;-50"),"")</f>
        <v/>
      </c>
      <c r="R26" s="12" t="str">
        <f>IFERROR(AVERAGEIFS(Estação!$AB$2:$AB$50000,Estação!$A$2:$A$50000,$B26,Estação!$AB$2:$AB$50000,"&gt;-50"),"")</f>
        <v/>
      </c>
      <c r="S26" s="12" t="str">
        <f>IFERROR(AVERAGEIFS(Estação!$Y$2:$Y$50000,Estação!$A$2:$A$50000,$B26,Estação!$Y$2:$Y$50000,"&gt;-50"),"")</f>
        <v/>
      </c>
      <c r="T26" s="12" t="str">
        <f>IFERROR(AVERAGEIFS(Estação!$C$2:$C$50000,Estação!$A$2:$A$50000,$B26,Estação!$C$2:$C$50000,"&gt;-50"),"")</f>
        <v/>
      </c>
    </row>
    <row r="27" spans="1:20" x14ac:dyDescent="0.25">
      <c r="A27" s="12" t="s">
        <v>74</v>
      </c>
      <c r="B27" s="12" t="str">
        <f>""&amp;YEAR($B$1)&amp;"-"&amp;RIGHT("0"&amp;MONTH($B$1),2)&amp;"-"&amp;RIGHT("0"&amp;DAY($B$1),2)&amp;" 22*"</f>
        <v>2026-07-11 22*</v>
      </c>
      <c r="D27" s="12" t="str">
        <f>IFERROR(AVERAGEIFS(Estação!$S$2:$S$50000,Estação!$A$2:$A$50000,$B27,Estação!$S$2:$S$50000,"&gt;-50"),"")</f>
        <v/>
      </c>
      <c r="E27" s="12" t="str">
        <f>IFERROR(AVERAGEIFS(Estação!$T$2:$T$50000,Estação!$A$2:$A$50000,$B27,Estação!$T$2:$T$50000,"&gt;-50"),"")</f>
        <v/>
      </c>
      <c r="F27" s="12" t="str">
        <f>IFERROR(AVERAGEIFS(Estação!$F$2:$F$50000,Estação!$A$2:$A$50000,$B27,Estação!$F$2:$F$50000,"&gt;-50"),"")</f>
        <v/>
      </c>
      <c r="G27" s="12" t="str">
        <f>IFERROR(AVERAGEIFS(Estação!$G$2:$G$50000,Estação!$A$2:$A$50000,$B27,Estação!$G$2:$G$50000,"&gt;-50"),"")</f>
        <v/>
      </c>
      <c r="H27" s="12" t="str">
        <f>IFERROR(AVERAGEIFS(Estação!$Z$2:$Z$50000,Estação!$A$2:$A$50000,$B27,Estação!$Z$2:$Z$50000,"&gt;-50"),"")</f>
        <v/>
      </c>
      <c r="I27" s="12" t="str">
        <f>IFERROR(AVERAGEIFS(Estação!$E$2:$E$50000,Estação!$A$2:$A$50000,$B27,Estação!$E$2:$E$50000,"&gt;-50"),"")</f>
        <v/>
      </c>
      <c r="J27" s="12" t="str">
        <f>IFERROR(AVERAGEIFS(Estação!$H$2:$H$50000,Estação!$A$2:$A$50000,$B27,Estação!$H$2:$H$50000,"&gt;-50"),"")</f>
        <v/>
      </c>
      <c r="K27" s="12" t="str">
        <f>IFERROR(AVERAGEIFS(Estação!$L$2:$L$50000,Estação!$A$2:$A$50000,$B27,Estação!$L$2:$L$50000,"&gt;-50"),"")</f>
        <v/>
      </c>
      <c r="L27" s="12" t="str">
        <f>IFERROR(AVERAGEIFS(Estação!$B$2:$B$50000,Estação!$A$2:$A$50000,$B27,Estação!$B$2:$B$50000,"&gt;-50"),"")</f>
        <v/>
      </c>
      <c r="M27" s="12" t="str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>0</v>
      </c>
      <c r="O27" s="12">
        <f>IF($B27="§","",SUMIFS(Estação!$P$2:$P$50000,Estação!$A$2:$A$50000,$B27))</f>
        <v>0</v>
      </c>
      <c r="P27" s="12">
        <f>IF($B27="§","",SUMIFS(Estação!$Q$2:$Q$50000,Estação!$A$2:$A$50000,$B27))</f>
        <v>0</v>
      </c>
      <c r="Q27" s="12" t="str">
        <f>IFERROR(AVERAGEIFS(Estação!$AA$2:$AA$50000,Estação!$A$2:$A$50000,$B27,Estação!$AA$2:$AA$50000,"&gt;-50"),"")</f>
        <v/>
      </c>
      <c r="R27" s="12" t="str">
        <f>IFERROR(AVERAGEIFS(Estação!$AB$2:$AB$50000,Estação!$A$2:$A$50000,$B27,Estação!$AB$2:$AB$50000,"&gt;-50"),"")</f>
        <v/>
      </c>
      <c r="S27" s="12" t="str">
        <f>IFERROR(AVERAGEIFS(Estação!$Y$2:$Y$50000,Estação!$A$2:$A$50000,$B27,Estação!$Y$2:$Y$50000,"&gt;-50"),"")</f>
        <v/>
      </c>
      <c r="T27" s="12" t="str">
        <f>IFERROR(AVERAGEIFS(Estação!$C$2:$C$50000,Estação!$A$2:$A$50000,$B27,Estação!$C$2:$C$50000,"&gt;-50"),"")</f>
        <v/>
      </c>
    </row>
    <row r="28" spans="1:20" x14ac:dyDescent="0.25">
      <c r="A28" s="12" t="s">
        <v>75</v>
      </c>
      <c r="B28" s="12" t="str">
        <f>""&amp;YEAR($B$1)&amp;"-"&amp;RIGHT("0"&amp;MONTH($B$1),2)&amp;"-"&amp;RIGHT("0"&amp;DAY($B$1),2)&amp;" 23*"</f>
        <v>2026-07-11 23*</v>
      </c>
      <c r="D28" s="12" t="str">
        <f>IFERROR(AVERAGEIFS(Estação!$S$2:$S$50000,Estação!$A$2:$A$50000,$B28,Estação!$S$2:$S$50000,"&gt;-50"),"")</f>
        <v/>
      </c>
      <c r="E28" s="12" t="str">
        <f>IFERROR(AVERAGEIFS(Estação!$T$2:$T$50000,Estação!$A$2:$A$50000,$B28,Estação!$T$2:$T$50000,"&gt;-50"),"")</f>
        <v/>
      </c>
      <c r="F28" s="12" t="str">
        <f>IFERROR(AVERAGEIFS(Estação!$F$2:$F$50000,Estação!$A$2:$A$50000,$B28,Estação!$F$2:$F$50000,"&gt;-50"),"")</f>
        <v/>
      </c>
      <c r="G28" s="12" t="str">
        <f>IFERROR(AVERAGEIFS(Estação!$G$2:$G$50000,Estação!$A$2:$A$50000,$B28,Estação!$G$2:$G$50000,"&gt;-50"),"")</f>
        <v/>
      </c>
      <c r="H28" s="12" t="str">
        <f>IFERROR(AVERAGEIFS(Estação!$Z$2:$Z$50000,Estação!$A$2:$A$50000,$B28,Estação!$Z$2:$Z$50000,"&gt;-50"),"")</f>
        <v/>
      </c>
      <c r="I28" s="12" t="str">
        <f>IFERROR(AVERAGEIFS(Estação!$E$2:$E$50000,Estação!$A$2:$A$50000,$B28,Estação!$E$2:$E$50000,"&gt;-50"),"")</f>
        <v/>
      </c>
      <c r="J28" s="12" t="str">
        <f>IFERROR(AVERAGEIFS(Estação!$H$2:$H$50000,Estação!$A$2:$A$50000,$B28,Estação!$H$2:$H$50000,"&gt;-50"),"")</f>
        <v/>
      </c>
      <c r="K28" s="12" t="str">
        <f>IFERROR(AVERAGEIFS(Estação!$L$2:$L$50000,Estação!$A$2:$A$50000,$B28,Estação!$L$2:$L$50000,"&gt;-50"),"")</f>
        <v/>
      </c>
      <c r="L28" s="12" t="str">
        <f>IFERROR(AVERAGEIFS(Estação!$B$2:$B$50000,Estação!$A$2:$A$50000,$B28,Estação!$B$2:$B$50000,"&gt;-50"),"")</f>
        <v/>
      </c>
      <c r="M28" s="12" t="str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>0</v>
      </c>
      <c r="O28" s="12">
        <f>IF($B28="§","",SUMIFS(Estação!$P$2:$P$50000,Estação!$A$2:$A$50000,$B28))</f>
        <v>0</v>
      </c>
      <c r="P28" s="12">
        <f>IF($B28="§","",SUMIFS(Estação!$Q$2:$Q$50000,Estação!$A$2:$A$50000,$B28))</f>
        <v>0</v>
      </c>
      <c r="Q28" s="12" t="str">
        <f>IFERROR(AVERAGEIFS(Estação!$AA$2:$AA$50000,Estação!$A$2:$A$50000,$B28,Estação!$AA$2:$AA$50000,"&gt;-50"),"")</f>
        <v/>
      </c>
      <c r="R28" s="12" t="str">
        <f>IFERROR(AVERAGEIFS(Estação!$AB$2:$AB$50000,Estação!$A$2:$A$50000,$B28,Estação!$AB$2:$AB$50000,"&gt;-50"),"")</f>
        <v/>
      </c>
      <c r="S28" s="12" t="str">
        <f>IFERROR(AVERAGEIFS(Estação!$Y$2:$Y$50000,Estação!$A$2:$A$50000,$B28,Estação!$Y$2:$Y$50000,"&gt;-50"),"")</f>
        <v/>
      </c>
      <c r="T28" s="12" t="str">
        <f>IFERROR(AVERAGEIFS(Estação!$C$2:$C$50000,Estação!$A$2:$A$50000,$B28,Estação!$C$2:$C$50000,"&gt;-50"),"")</f>
        <v/>
      </c>
    </row>
    <row r="31" spans="1:20" x14ac:dyDescent="0.25">
      <c r="A31" s="12" t="s">
        <v>49</v>
      </c>
      <c r="B31" s="12" t="s">
        <v>50</v>
      </c>
      <c r="C31" s="12" t="s">
        <v>51</v>
      </c>
      <c r="D31" s="12" t="s">
        <v>18</v>
      </c>
      <c r="E31" s="12" t="s">
        <v>19</v>
      </c>
      <c r="F31" s="12" t="s">
        <v>5</v>
      </c>
      <c r="G31" s="12" t="s">
        <v>6</v>
      </c>
      <c r="H31" s="12" t="s">
        <v>25</v>
      </c>
      <c r="I31" s="12" t="s">
        <v>4</v>
      </c>
      <c r="J31" s="12" t="s">
        <v>7</v>
      </c>
      <c r="K31" s="12" t="s">
        <v>11</v>
      </c>
      <c r="L31" s="12" t="s">
        <v>1</v>
      </c>
      <c r="M31" s="12" t="s">
        <v>12</v>
      </c>
      <c r="N31" s="12" t="s">
        <v>14</v>
      </c>
      <c r="O31" s="12" t="s">
        <v>15</v>
      </c>
      <c r="P31" s="12" t="s">
        <v>16</v>
      </c>
      <c r="Q31" s="12" t="s">
        <v>26</v>
      </c>
      <c r="R31" s="12" t="s">
        <v>27</v>
      </c>
      <c r="S31" s="12" t="s">
        <v>24</v>
      </c>
      <c r="T31" s="12" t="s">
        <v>2</v>
      </c>
    </row>
    <row r="32" spans="1:20" x14ac:dyDescent="0.25">
      <c r="A32" s="12" t="str">
        <f t="shared" ref="A32:A38" si="0">RIGHT("0"&amp;DAY($C32),2)&amp;"/"&amp;RIGHT("0"&amp;MONTH($C32),2)</f>
        <v>05/07</v>
      </c>
      <c r="B32" s="12" t="str">
        <f t="shared" ref="B32:B38" si="1">YEAR($C32)&amp;"-"&amp;RIGHT("0"&amp;MONTH($C32),2)&amp;"-"&amp;RIGHT("0"&amp;DAY($C32),2)&amp;"*"</f>
        <v>2026-07-05*</v>
      </c>
      <c r="C32" s="13">
        <f>$B$1-6</f>
        <v>46208</v>
      </c>
      <c r="D32" s="12" t="str">
        <f>IFERROR(AVERAGEIFS(Estação!$S$2:$S$50000,Estação!$A$2:$A$50000,$B32,Estação!$S$2:$S$50000,"&gt;-50"),"")</f>
        <v/>
      </c>
      <c r="E32" s="12" t="str">
        <f>IFERROR(AVERAGEIFS(Estação!$T$2:$T$50000,Estação!$A$2:$A$50000,$B32,Estação!$T$2:$T$50000,"&gt;-50"),"")</f>
        <v/>
      </c>
      <c r="F32" s="12" t="str">
        <f>IFERROR(AVERAGEIFS(Estação!$F$2:$F$50000,Estação!$A$2:$A$50000,$B32,Estação!$F$2:$F$50000,"&gt;-50"),"")</f>
        <v/>
      </c>
      <c r="G32" s="12" t="str">
        <f>IFERROR(AVERAGEIFS(Estação!$G$2:$G$50000,Estação!$A$2:$A$50000,$B32,Estação!$G$2:$G$50000,"&gt;-50"),"")</f>
        <v/>
      </c>
      <c r="H32" s="12" t="str">
        <f>IFERROR(AVERAGEIFS(Estação!$Z$2:$Z$50000,Estação!$A$2:$A$50000,$B32,Estação!$Z$2:$Z$50000,"&gt;-50"),"")</f>
        <v/>
      </c>
      <c r="I32" s="12" t="str">
        <f>IFERROR(AVERAGEIFS(Estação!$E$2:$E$50000,Estação!$A$2:$A$50000,$B32,Estação!$E$2:$E$50000,"&gt;-50"),"")</f>
        <v/>
      </c>
      <c r="J32" s="12" t="str">
        <f>IFERROR(AVERAGEIFS(Estação!$H$2:$H$50000,Estação!$A$2:$A$50000,$B32,Estação!$H$2:$H$50000,"&gt;-50"),"")</f>
        <v/>
      </c>
      <c r="K32" s="12" t="str">
        <f>IFERROR(AVERAGEIFS(Estação!$L$2:$L$50000,Estação!$A$2:$A$50000,$B32,Estação!$L$2:$L$50000,"&gt;-50"),"")</f>
        <v/>
      </c>
      <c r="L32" s="12" t="str">
        <f>IFERROR(AVERAGEIFS(Estação!$B$2:$B$50000,Estação!$A$2:$A$50000,$B32,Estação!$B$2:$B$50000,"&gt;-50"),"")</f>
        <v/>
      </c>
      <c r="M32" s="12" t="str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>0</v>
      </c>
      <c r="O32" s="12">
        <f>IF($B32="§","",SUMIFS(Estação!$P$2:$P$50000,Estação!$A$2:$A$50000,$B32))</f>
        <v>0</v>
      </c>
      <c r="P32" s="12">
        <f>IF($B32="§","",SUMIFS(Estação!$Q$2:$Q$50000,Estação!$A$2:$A$50000,$B32))</f>
        <v>0</v>
      </c>
      <c r="Q32" s="12" t="str">
        <f>IFERROR(AVERAGEIFS(Estação!$AA$2:$AA$50000,Estação!$A$2:$A$50000,$B32,Estação!$AA$2:$AA$50000,"&gt;-50"),"")</f>
        <v/>
      </c>
      <c r="R32" s="12" t="str">
        <f>IFERROR(AVERAGEIFS(Estação!$AB$2:$AB$50000,Estação!$A$2:$A$50000,$B32,Estação!$AB$2:$AB$50000,"&gt;-50"),"")</f>
        <v/>
      </c>
      <c r="S32" s="12" t="str">
        <f>IFERROR(AVERAGEIFS(Estação!$Y$2:$Y$50000,Estação!$A$2:$A$50000,$B32,Estação!$Y$2:$Y$50000,"&gt;-50"),"")</f>
        <v/>
      </c>
      <c r="T32" s="12" t="str">
        <f>IFERROR(AVERAGEIFS(Estação!$C$2:$C$50000,Estação!$A$2:$A$50000,$B32,Estação!$C$2:$C$50000,"&gt;-50"),"")</f>
        <v/>
      </c>
    </row>
    <row r="33" spans="1:20" x14ac:dyDescent="0.25">
      <c r="A33" s="12" t="str">
        <f t="shared" si="0"/>
        <v>06/07</v>
      </c>
      <c r="B33" s="12" t="str">
        <f t="shared" si="1"/>
        <v>2026-07-06*</v>
      </c>
      <c r="C33" s="13">
        <f>$B$1-5</f>
        <v>46209</v>
      </c>
      <c r="D33" s="12" t="str">
        <f>IFERROR(AVERAGEIFS(Estação!$S$2:$S$50000,Estação!$A$2:$A$50000,$B33,Estação!$S$2:$S$50000,"&gt;-50"),"")</f>
        <v/>
      </c>
      <c r="E33" s="12" t="str">
        <f>IFERROR(AVERAGEIFS(Estação!$T$2:$T$50000,Estação!$A$2:$A$50000,$B33,Estação!$T$2:$T$50000,"&gt;-50"),"")</f>
        <v/>
      </c>
      <c r="F33" s="12" t="str">
        <f>IFERROR(AVERAGEIFS(Estação!$F$2:$F$50000,Estação!$A$2:$A$50000,$B33,Estação!$F$2:$F$50000,"&gt;-50"),"")</f>
        <v/>
      </c>
      <c r="G33" s="12" t="str">
        <f>IFERROR(AVERAGEIFS(Estação!$G$2:$G$50000,Estação!$A$2:$A$50000,$B33,Estação!$G$2:$G$50000,"&gt;-50"),"")</f>
        <v/>
      </c>
      <c r="H33" s="12" t="str">
        <f>IFERROR(AVERAGEIFS(Estação!$Z$2:$Z$50000,Estação!$A$2:$A$50000,$B33,Estação!$Z$2:$Z$50000,"&gt;-50"),"")</f>
        <v/>
      </c>
      <c r="I33" s="12" t="str">
        <f>IFERROR(AVERAGEIFS(Estação!$E$2:$E$50000,Estação!$A$2:$A$50000,$B33,Estação!$E$2:$E$50000,"&gt;-50"),"")</f>
        <v/>
      </c>
      <c r="J33" s="12" t="str">
        <f>IFERROR(AVERAGEIFS(Estação!$H$2:$H$50000,Estação!$A$2:$A$50000,$B33,Estação!$H$2:$H$50000,"&gt;-50"),"")</f>
        <v/>
      </c>
      <c r="K33" s="12" t="str">
        <f>IFERROR(AVERAGEIFS(Estação!$L$2:$L$50000,Estação!$A$2:$A$50000,$B33,Estação!$L$2:$L$50000,"&gt;-50"),"")</f>
        <v/>
      </c>
      <c r="L33" s="12" t="str">
        <f>IFERROR(AVERAGEIFS(Estação!$B$2:$B$50000,Estação!$A$2:$A$50000,$B33,Estação!$B$2:$B$50000,"&gt;-50"),"")</f>
        <v/>
      </c>
      <c r="M33" s="12" t="str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>0</v>
      </c>
      <c r="O33" s="12">
        <f>IF($B33="§","",SUMIFS(Estação!$P$2:$P$50000,Estação!$A$2:$A$50000,$B33))</f>
        <v>0</v>
      </c>
      <c r="P33" s="12">
        <f>IF($B33="§","",SUMIFS(Estação!$Q$2:$Q$50000,Estação!$A$2:$A$50000,$B33))</f>
        <v>0</v>
      </c>
      <c r="Q33" s="12" t="str">
        <f>IFERROR(AVERAGEIFS(Estação!$AA$2:$AA$50000,Estação!$A$2:$A$50000,$B33,Estação!$AA$2:$AA$50000,"&gt;-50"),"")</f>
        <v/>
      </c>
      <c r="R33" s="12" t="str">
        <f>IFERROR(AVERAGEIFS(Estação!$AB$2:$AB$50000,Estação!$A$2:$A$50000,$B33,Estação!$AB$2:$AB$50000,"&gt;-50"),"")</f>
        <v/>
      </c>
      <c r="S33" s="12" t="str">
        <f>IFERROR(AVERAGEIFS(Estação!$Y$2:$Y$50000,Estação!$A$2:$A$50000,$B33,Estação!$Y$2:$Y$50000,"&gt;-50"),"")</f>
        <v/>
      </c>
      <c r="T33" s="12" t="str">
        <f>IFERROR(AVERAGEIFS(Estação!$C$2:$C$50000,Estação!$A$2:$A$50000,$B33,Estação!$C$2:$C$50000,"&gt;-50"),"")</f>
        <v/>
      </c>
    </row>
    <row r="34" spans="1:20" x14ac:dyDescent="0.25">
      <c r="A34" s="12" t="str">
        <f t="shared" si="0"/>
        <v>07/07</v>
      </c>
      <c r="B34" s="12" t="str">
        <f t="shared" si="1"/>
        <v>2026-07-07*</v>
      </c>
      <c r="C34" s="13">
        <f>$B$1-4</f>
        <v>46210</v>
      </c>
      <c r="D34" s="12" t="str">
        <f>IFERROR(AVERAGEIFS(Estação!$S$2:$S$50000,Estação!$A$2:$A$50000,$B34,Estação!$S$2:$S$50000,"&gt;-50"),"")</f>
        <v/>
      </c>
      <c r="E34" s="12" t="str">
        <f>IFERROR(AVERAGEIFS(Estação!$T$2:$T$50000,Estação!$A$2:$A$50000,$B34,Estação!$T$2:$T$50000,"&gt;-50"),"")</f>
        <v/>
      </c>
      <c r="F34" s="12" t="str">
        <f>IFERROR(AVERAGEIFS(Estação!$F$2:$F$50000,Estação!$A$2:$A$50000,$B34,Estação!$F$2:$F$50000,"&gt;-50"),"")</f>
        <v/>
      </c>
      <c r="G34" s="12" t="str">
        <f>IFERROR(AVERAGEIFS(Estação!$G$2:$G$50000,Estação!$A$2:$A$50000,$B34,Estação!$G$2:$G$50000,"&gt;-50"),"")</f>
        <v/>
      </c>
      <c r="H34" s="12" t="str">
        <f>IFERROR(AVERAGEIFS(Estação!$Z$2:$Z$50000,Estação!$A$2:$A$50000,$B34,Estação!$Z$2:$Z$50000,"&gt;-50"),"")</f>
        <v/>
      </c>
      <c r="I34" s="12" t="str">
        <f>IFERROR(AVERAGEIFS(Estação!$E$2:$E$50000,Estação!$A$2:$A$50000,$B34,Estação!$E$2:$E$50000,"&gt;-50"),"")</f>
        <v/>
      </c>
      <c r="J34" s="12" t="str">
        <f>IFERROR(AVERAGEIFS(Estação!$H$2:$H$50000,Estação!$A$2:$A$50000,$B34,Estação!$H$2:$H$50000,"&gt;-50"),"")</f>
        <v/>
      </c>
      <c r="K34" s="12" t="str">
        <f>IFERROR(AVERAGEIFS(Estação!$L$2:$L$50000,Estação!$A$2:$A$50000,$B34,Estação!$L$2:$L$50000,"&gt;-50"),"")</f>
        <v/>
      </c>
      <c r="L34" s="12" t="str">
        <f>IFERROR(AVERAGEIFS(Estação!$B$2:$B$50000,Estação!$A$2:$A$50000,$B34,Estação!$B$2:$B$50000,"&gt;-50"),"")</f>
        <v/>
      </c>
      <c r="M34" s="12" t="str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>0</v>
      </c>
      <c r="O34" s="12">
        <f>IF($B34="§","",SUMIFS(Estação!$P$2:$P$50000,Estação!$A$2:$A$50000,$B34))</f>
        <v>0</v>
      </c>
      <c r="P34" s="12">
        <f>IF($B34="§","",SUMIFS(Estação!$Q$2:$Q$50000,Estação!$A$2:$A$50000,$B34))</f>
        <v>0</v>
      </c>
      <c r="Q34" s="12" t="str">
        <f>IFERROR(AVERAGEIFS(Estação!$AA$2:$AA$50000,Estação!$A$2:$A$50000,$B34,Estação!$AA$2:$AA$50000,"&gt;-50"),"")</f>
        <v/>
      </c>
      <c r="R34" s="12" t="str">
        <f>IFERROR(AVERAGEIFS(Estação!$AB$2:$AB$50000,Estação!$A$2:$A$50000,$B34,Estação!$AB$2:$AB$50000,"&gt;-50"),"")</f>
        <v/>
      </c>
      <c r="S34" s="12" t="str">
        <f>IFERROR(AVERAGEIFS(Estação!$Y$2:$Y$50000,Estação!$A$2:$A$50000,$B34,Estação!$Y$2:$Y$50000,"&gt;-50"),"")</f>
        <v/>
      </c>
      <c r="T34" s="12" t="str">
        <f>IFERROR(AVERAGEIFS(Estação!$C$2:$C$50000,Estação!$A$2:$A$50000,$B34,Estação!$C$2:$C$50000,"&gt;-50"),"")</f>
        <v/>
      </c>
    </row>
    <row r="35" spans="1:20" x14ac:dyDescent="0.25">
      <c r="A35" s="12" t="str">
        <f t="shared" si="0"/>
        <v>08/07</v>
      </c>
      <c r="B35" s="12" t="str">
        <f t="shared" si="1"/>
        <v>2026-07-08*</v>
      </c>
      <c r="C35" s="13">
        <f>$B$1-3</f>
        <v>46211</v>
      </c>
      <c r="D35" s="12" t="str">
        <f>IFERROR(AVERAGEIFS(Estação!$S$2:$S$50000,Estação!$A$2:$A$50000,$B35,Estação!$S$2:$S$50000,"&gt;-50"),"")</f>
        <v/>
      </c>
      <c r="E35" s="12" t="str">
        <f>IFERROR(AVERAGEIFS(Estação!$T$2:$T$50000,Estação!$A$2:$A$50000,$B35,Estação!$T$2:$T$50000,"&gt;-50"),"")</f>
        <v/>
      </c>
      <c r="F35" s="12" t="str">
        <f>IFERROR(AVERAGEIFS(Estação!$F$2:$F$50000,Estação!$A$2:$A$50000,$B35,Estação!$F$2:$F$50000,"&gt;-50"),"")</f>
        <v/>
      </c>
      <c r="G35" s="12" t="str">
        <f>IFERROR(AVERAGEIFS(Estação!$G$2:$G$50000,Estação!$A$2:$A$50000,$B35,Estação!$G$2:$G$50000,"&gt;-50"),"")</f>
        <v/>
      </c>
      <c r="H35" s="12" t="str">
        <f>IFERROR(AVERAGEIFS(Estação!$Z$2:$Z$50000,Estação!$A$2:$A$50000,$B35,Estação!$Z$2:$Z$50000,"&gt;-50"),"")</f>
        <v/>
      </c>
      <c r="I35" s="12" t="str">
        <f>IFERROR(AVERAGEIFS(Estação!$E$2:$E$50000,Estação!$A$2:$A$50000,$B35,Estação!$E$2:$E$50000,"&gt;-50"),"")</f>
        <v/>
      </c>
      <c r="J35" s="12" t="str">
        <f>IFERROR(AVERAGEIFS(Estação!$H$2:$H$50000,Estação!$A$2:$A$50000,$B35,Estação!$H$2:$H$50000,"&gt;-50"),"")</f>
        <v/>
      </c>
      <c r="K35" s="12" t="str">
        <f>IFERROR(AVERAGEIFS(Estação!$L$2:$L$50000,Estação!$A$2:$A$50000,$B35,Estação!$L$2:$L$50000,"&gt;-50"),"")</f>
        <v/>
      </c>
      <c r="L35" s="12" t="str">
        <f>IFERROR(AVERAGEIFS(Estação!$B$2:$B$50000,Estação!$A$2:$A$50000,$B35,Estação!$B$2:$B$50000,"&gt;-50"),"")</f>
        <v/>
      </c>
      <c r="M35" s="12" t="str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>0</v>
      </c>
      <c r="O35" s="12">
        <f>IF($B35="§","",SUMIFS(Estação!$P$2:$P$50000,Estação!$A$2:$A$50000,$B35))</f>
        <v>0</v>
      </c>
      <c r="P35" s="12">
        <f>IF($B35="§","",SUMIFS(Estação!$Q$2:$Q$50000,Estação!$A$2:$A$50000,$B35))</f>
        <v>0</v>
      </c>
      <c r="Q35" s="12" t="str">
        <f>IFERROR(AVERAGEIFS(Estação!$AA$2:$AA$50000,Estação!$A$2:$A$50000,$B35,Estação!$AA$2:$AA$50000,"&gt;-50"),"")</f>
        <v/>
      </c>
      <c r="R35" s="12" t="str">
        <f>IFERROR(AVERAGEIFS(Estação!$AB$2:$AB$50000,Estação!$A$2:$A$50000,$B35,Estação!$AB$2:$AB$50000,"&gt;-50"),"")</f>
        <v/>
      </c>
      <c r="S35" s="12" t="str">
        <f>IFERROR(AVERAGEIFS(Estação!$Y$2:$Y$50000,Estação!$A$2:$A$50000,$B35,Estação!$Y$2:$Y$50000,"&gt;-50"),"")</f>
        <v/>
      </c>
      <c r="T35" s="12" t="str">
        <f>IFERROR(AVERAGEIFS(Estação!$C$2:$C$50000,Estação!$A$2:$A$50000,$B35,Estação!$C$2:$C$50000,"&gt;-50"),"")</f>
        <v/>
      </c>
    </row>
    <row r="36" spans="1:20" x14ac:dyDescent="0.25">
      <c r="A36" s="12" t="str">
        <f t="shared" si="0"/>
        <v>09/07</v>
      </c>
      <c r="B36" s="12" t="str">
        <f t="shared" si="1"/>
        <v>2026-07-09*</v>
      </c>
      <c r="C36" s="13">
        <f>$B$1-2</f>
        <v>46212</v>
      </c>
      <c r="D36" s="12" t="str">
        <f>IFERROR(AVERAGEIFS(Estação!$S$2:$S$50000,Estação!$A$2:$A$50000,$B36,Estação!$S$2:$S$50000,"&gt;-50"),"")</f>
        <v/>
      </c>
      <c r="E36" s="12" t="str">
        <f>IFERROR(AVERAGEIFS(Estação!$T$2:$T$50000,Estação!$A$2:$A$50000,$B36,Estação!$T$2:$T$50000,"&gt;-50"),"")</f>
        <v/>
      </c>
      <c r="F36" s="12" t="str">
        <f>IFERROR(AVERAGEIFS(Estação!$F$2:$F$50000,Estação!$A$2:$A$50000,$B36,Estação!$F$2:$F$50000,"&gt;-50"),"")</f>
        <v/>
      </c>
      <c r="G36" s="12" t="str">
        <f>IFERROR(AVERAGEIFS(Estação!$G$2:$G$50000,Estação!$A$2:$A$50000,$B36,Estação!$G$2:$G$50000,"&gt;-50"),"")</f>
        <v/>
      </c>
      <c r="H36" s="12" t="str">
        <f>IFERROR(AVERAGEIFS(Estação!$Z$2:$Z$50000,Estação!$A$2:$A$50000,$B36,Estação!$Z$2:$Z$50000,"&gt;-50"),"")</f>
        <v/>
      </c>
      <c r="I36" s="12" t="str">
        <f>IFERROR(AVERAGEIFS(Estação!$E$2:$E$50000,Estação!$A$2:$A$50000,$B36,Estação!$E$2:$E$50000,"&gt;-50"),"")</f>
        <v/>
      </c>
      <c r="J36" s="12" t="str">
        <f>IFERROR(AVERAGEIFS(Estação!$H$2:$H$50000,Estação!$A$2:$A$50000,$B36,Estação!$H$2:$H$50000,"&gt;-50"),"")</f>
        <v/>
      </c>
      <c r="K36" s="12" t="str">
        <f>IFERROR(AVERAGEIFS(Estação!$L$2:$L$50000,Estação!$A$2:$A$50000,$B36,Estação!$L$2:$L$50000,"&gt;-50"),"")</f>
        <v/>
      </c>
      <c r="L36" s="12" t="str">
        <f>IFERROR(AVERAGEIFS(Estação!$B$2:$B$50000,Estação!$A$2:$A$50000,$B36,Estação!$B$2:$B$50000,"&gt;-50"),"")</f>
        <v/>
      </c>
      <c r="M36" s="12" t="str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>0</v>
      </c>
      <c r="O36" s="12">
        <f>IF($B36="§","",SUMIFS(Estação!$P$2:$P$50000,Estação!$A$2:$A$50000,$B36))</f>
        <v>0</v>
      </c>
      <c r="P36" s="12">
        <f>IF($B36="§","",SUMIFS(Estação!$Q$2:$Q$50000,Estação!$A$2:$A$50000,$B36))</f>
        <v>0</v>
      </c>
      <c r="Q36" s="12" t="str">
        <f>IFERROR(AVERAGEIFS(Estação!$AA$2:$AA$50000,Estação!$A$2:$A$50000,$B36,Estação!$AA$2:$AA$50000,"&gt;-50"),"")</f>
        <v/>
      </c>
      <c r="R36" s="12" t="str">
        <f>IFERROR(AVERAGEIFS(Estação!$AB$2:$AB$50000,Estação!$A$2:$A$50000,$B36,Estação!$AB$2:$AB$50000,"&gt;-50"),"")</f>
        <v/>
      </c>
      <c r="S36" s="12" t="str">
        <f>IFERROR(AVERAGEIFS(Estação!$Y$2:$Y$50000,Estação!$A$2:$A$50000,$B36,Estação!$Y$2:$Y$50000,"&gt;-50"),"")</f>
        <v/>
      </c>
      <c r="T36" s="12" t="str">
        <f>IFERROR(AVERAGEIFS(Estação!$C$2:$C$50000,Estação!$A$2:$A$50000,$B36,Estação!$C$2:$C$50000,"&gt;-50"),"")</f>
        <v/>
      </c>
    </row>
    <row r="37" spans="1:20" x14ac:dyDescent="0.25">
      <c r="A37" s="12" t="str">
        <f t="shared" si="0"/>
        <v>10/07</v>
      </c>
      <c r="B37" s="12" t="str">
        <f t="shared" si="1"/>
        <v>2026-07-10*</v>
      </c>
      <c r="C37" s="13">
        <f>$B$1-1</f>
        <v>46213</v>
      </c>
      <c r="D37" s="12" t="str">
        <f>IFERROR(AVERAGEIFS(Estação!$S$2:$S$50000,Estação!$A$2:$A$50000,$B37,Estação!$S$2:$S$50000,"&gt;-50"),"")</f>
        <v/>
      </c>
      <c r="E37" s="12" t="str">
        <f>IFERROR(AVERAGEIFS(Estação!$T$2:$T$50000,Estação!$A$2:$A$50000,$B37,Estação!$T$2:$T$50000,"&gt;-50"),"")</f>
        <v/>
      </c>
      <c r="F37" s="12" t="str">
        <f>IFERROR(AVERAGEIFS(Estação!$F$2:$F$50000,Estação!$A$2:$A$50000,$B37,Estação!$F$2:$F$50000,"&gt;-50"),"")</f>
        <v/>
      </c>
      <c r="G37" s="12" t="str">
        <f>IFERROR(AVERAGEIFS(Estação!$G$2:$G$50000,Estação!$A$2:$A$50000,$B37,Estação!$G$2:$G$50000,"&gt;-50"),"")</f>
        <v/>
      </c>
      <c r="H37" s="12" t="str">
        <f>IFERROR(AVERAGEIFS(Estação!$Z$2:$Z$50000,Estação!$A$2:$A$50000,$B37,Estação!$Z$2:$Z$50000,"&gt;-50"),"")</f>
        <v/>
      </c>
      <c r="I37" s="12" t="str">
        <f>IFERROR(AVERAGEIFS(Estação!$E$2:$E$50000,Estação!$A$2:$A$50000,$B37,Estação!$E$2:$E$50000,"&gt;-50"),"")</f>
        <v/>
      </c>
      <c r="J37" s="12" t="str">
        <f>IFERROR(AVERAGEIFS(Estação!$H$2:$H$50000,Estação!$A$2:$A$50000,$B37,Estação!$H$2:$H$50000,"&gt;-50"),"")</f>
        <v/>
      </c>
      <c r="K37" s="12" t="str">
        <f>IFERROR(AVERAGEIFS(Estação!$L$2:$L$50000,Estação!$A$2:$A$50000,$B37,Estação!$L$2:$L$50000,"&gt;-50"),"")</f>
        <v/>
      </c>
      <c r="L37" s="12" t="str">
        <f>IFERROR(AVERAGEIFS(Estação!$B$2:$B$50000,Estação!$A$2:$A$50000,$B37,Estação!$B$2:$B$50000,"&gt;-50"),"")</f>
        <v/>
      </c>
      <c r="M37" s="12" t="str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>0</v>
      </c>
      <c r="O37" s="12">
        <f>IF($B37="§","",SUMIFS(Estação!$P$2:$P$50000,Estação!$A$2:$A$50000,$B37))</f>
        <v>0</v>
      </c>
      <c r="P37" s="12">
        <f>IF($B37="§","",SUMIFS(Estação!$Q$2:$Q$50000,Estação!$A$2:$A$50000,$B37))</f>
        <v>0</v>
      </c>
      <c r="Q37" s="12" t="str">
        <f>IFERROR(AVERAGEIFS(Estação!$AA$2:$AA$50000,Estação!$A$2:$A$50000,$B37,Estação!$AA$2:$AA$50000,"&gt;-50"),"")</f>
        <v/>
      </c>
      <c r="R37" s="12" t="str">
        <f>IFERROR(AVERAGEIFS(Estação!$AB$2:$AB$50000,Estação!$A$2:$A$50000,$B37,Estação!$AB$2:$AB$50000,"&gt;-50"),"")</f>
        <v/>
      </c>
      <c r="S37" s="12" t="str">
        <f>IFERROR(AVERAGEIFS(Estação!$Y$2:$Y$50000,Estação!$A$2:$A$50000,$B37,Estação!$Y$2:$Y$50000,"&gt;-50"),"")</f>
        <v/>
      </c>
      <c r="T37" s="12" t="str">
        <f>IFERROR(AVERAGEIFS(Estação!$C$2:$C$50000,Estação!$A$2:$A$50000,$B37,Estação!$C$2:$C$50000,"&gt;-50"),"")</f>
        <v/>
      </c>
    </row>
    <row r="38" spans="1:20" x14ac:dyDescent="0.25">
      <c r="A38" s="12" t="str">
        <f t="shared" si="0"/>
        <v>11/07</v>
      </c>
      <c r="B38" s="12" t="str">
        <f t="shared" si="1"/>
        <v>2026-07-11*</v>
      </c>
      <c r="C38" s="13">
        <f>$B$1-0</f>
        <v>46214</v>
      </c>
      <c r="D38" s="12">
        <f>IFERROR(AVERAGEIFS(Estação!$S$2:$S$50000,Estação!$A$2:$A$50000,$B38,Estação!$S$2:$S$50000,"&gt;-50"),"")</f>
        <v>15.300000000000002</v>
      </c>
      <c r="E38" s="12">
        <f>IFERROR(AVERAGEIFS(Estação!$T$2:$T$50000,Estação!$A$2:$A$50000,$B38,Estação!$T$2:$T$50000,"&gt;-50"),"")</f>
        <v>14.700000000000001</v>
      </c>
      <c r="F38" s="12">
        <f>IFERROR(AVERAGEIFS(Estação!$F$2:$F$50000,Estação!$A$2:$A$50000,$B38,Estação!$F$2:$F$50000,"&gt;-50"),"")</f>
        <v>15.4</v>
      </c>
      <c r="G38" s="12">
        <f>IFERROR(AVERAGEIFS(Estação!$G$2:$G$50000,Estação!$A$2:$A$50000,$B38,Estação!$G$2:$G$50000,"&gt;-50"),"")</f>
        <v>14.700000000000001</v>
      </c>
      <c r="H38" s="12">
        <f>IFERROR(AVERAGEIFS(Estação!$Z$2:$Z$50000,Estação!$A$2:$A$50000,$B38,Estação!$Z$2:$Z$50000,"&gt;-50"),"")</f>
        <v>9.6999999999999993</v>
      </c>
      <c r="I38" s="12">
        <f>IFERROR(AVERAGEIFS(Estação!$E$2:$E$50000,Estação!$A$2:$A$50000,$B38,Estação!$E$2:$E$50000,"&gt;-50"),"")</f>
        <v>13.833333333333334</v>
      </c>
      <c r="J38" s="12">
        <f>IFERROR(AVERAGEIFS(Estação!$H$2:$H$50000,Estação!$A$2:$A$50000,$B38,Estação!$H$2:$H$50000,"&gt;-50"),"")</f>
        <v>95</v>
      </c>
      <c r="K38" s="12">
        <f>IFERROR(AVERAGEIFS(Estação!$L$2:$L$50000,Estação!$A$2:$A$50000,$B38,Estação!$L$2:$L$50000,"&gt;-50"),"")</f>
        <v>86.333333333333329</v>
      </c>
      <c r="L38" s="12">
        <f>IFERROR(AVERAGEIFS(Estação!$B$2:$B$50000,Estação!$A$2:$A$50000,$B38,Estação!$B$2:$B$50000,"&gt;-50"),"")</f>
        <v>995</v>
      </c>
      <c r="M38" s="12">
        <f>IFERROR(AVERAGEIFS(Estação!$M$2:$M$50000,Estação!$A$2:$A$50000,$B38,Estação!$M$2:$M$50000,"&gt;-50"),"")</f>
        <v>995</v>
      </c>
      <c r="N38" s="12">
        <f>IF($B38="§","",SUMIFS(Estação!$O$2:$O$50000,Estação!$A$2:$A$50000,$B38))</f>
        <v>0</v>
      </c>
      <c r="O38" s="12">
        <f>IF($B38="§","",SUMIFS(Estação!$P$2:$P$50000,Estação!$A$2:$A$50000,$B38))</f>
        <v>35.099999999999994</v>
      </c>
      <c r="P38" s="12">
        <f>IF($B38="§","",SUMIFS(Estação!$Q$2:$Q$50000,Estação!$A$2:$A$50000,$B38))</f>
        <v>1.4</v>
      </c>
      <c r="Q38" s="12">
        <f>IFERROR(AVERAGEIFS(Estação!$AA$2:$AA$50000,Estação!$A$2:$A$50000,$B38,Estação!$AA$2:$AA$50000,"&gt;-50"),"")</f>
        <v>4.4333333333333336</v>
      </c>
      <c r="R38" s="12">
        <f>IFERROR(AVERAGEIFS(Estação!$AB$2:$AB$50000,Estação!$A$2:$A$50000,$B38,Estação!$AB$2:$AB$50000,"&gt;-50"),"")</f>
        <v>5.5</v>
      </c>
      <c r="S38" s="12">
        <f>IFERROR(AVERAGEIFS(Estação!$Y$2:$Y$50000,Estação!$A$2:$A$50000,$B38,Estação!$Y$2:$Y$50000,"&gt;-50"),"")</f>
        <v>0</v>
      </c>
      <c r="T38" s="12">
        <f>IFERROR(AVERAGEIFS(Estação!$C$2:$C$50000,Estação!$A$2:$A$50000,$B38,Estação!$C$2:$C$50000,"&gt;-50"),"")</f>
        <v>100</v>
      </c>
    </row>
    <row r="41" spans="1:20" x14ac:dyDescent="0.25">
      <c r="A41" s="12" t="s">
        <v>49</v>
      </c>
      <c r="B41" s="12" t="s">
        <v>50</v>
      </c>
      <c r="C41" s="12" t="s">
        <v>51</v>
      </c>
      <c r="D41" s="12" t="s">
        <v>18</v>
      </c>
      <c r="E41" s="12" t="s">
        <v>19</v>
      </c>
      <c r="F41" s="12" t="s">
        <v>5</v>
      </c>
      <c r="G41" s="12" t="s">
        <v>6</v>
      </c>
      <c r="H41" s="12" t="s">
        <v>25</v>
      </c>
      <c r="I41" s="12" t="s">
        <v>4</v>
      </c>
      <c r="J41" s="12" t="s">
        <v>7</v>
      </c>
      <c r="K41" s="12" t="s">
        <v>11</v>
      </c>
      <c r="L41" s="12" t="s">
        <v>1</v>
      </c>
      <c r="M41" s="12" t="s">
        <v>12</v>
      </c>
      <c r="N41" s="12" t="s">
        <v>14</v>
      </c>
      <c r="O41" s="12" t="s">
        <v>15</v>
      </c>
      <c r="P41" s="12" t="s">
        <v>16</v>
      </c>
      <c r="Q41" s="12" t="s">
        <v>26</v>
      </c>
      <c r="R41" s="12" t="s">
        <v>27</v>
      </c>
      <c r="S41" s="12" t="s">
        <v>24</v>
      </c>
      <c r="T41" s="12" t="s">
        <v>2</v>
      </c>
    </row>
    <row r="42" spans="1:20" x14ac:dyDescent="0.25">
      <c r="A42" s="12" t="str">
        <f>IF($C42="","",RIGHT("0"&amp;1,2)&amp;"/"&amp;RIGHT("0"&amp;MONTH($B$1),2))</f>
        <v>01/07</v>
      </c>
      <c r="B42" s="12" t="str">
        <f t="shared" ref="B42:B72" si="2">IF($C42="","§",YEAR($C42)&amp;"-"&amp;RIGHT("0"&amp;MONTH($C42),2)&amp;"-"&amp;RIGHT("0"&amp;DAY($C42),2)&amp;"*")</f>
        <v>2026-07-01*</v>
      </c>
      <c r="C42" s="13">
        <f>IF(1&lt;=DAY(EOMONTH($B$1,0)),DATE(YEAR($B$1),MONTH($B$1),1),"")</f>
        <v>46204</v>
      </c>
      <c r="D42" s="12" t="str">
        <f>IF($B42="§","",IFERROR(AVERAGEIFS(Estação!$S$2:$S$50000,Estação!$A$2:$A$50000,$B42,Estação!$S$2:$S$50000,"&gt;-50"),""))</f>
        <v/>
      </c>
      <c r="E42" s="12" t="str">
        <f>IF($B42="§","",IFERROR(AVERAGEIFS(Estação!$T$2:$T$50000,Estação!$A$2:$A$50000,$B42,Estação!$T$2:$T$50000,"&gt;-50"),""))</f>
        <v/>
      </c>
      <c r="F42" s="12" t="str">
        <f>IF($B42="§","",IFERROR(AVERAGEIFS(Estação!$F$2:$F$50000,Estação!$A$2:$A$50000,$B42,Estação!$F$2:$F$50000,"&gt;-50"),""))</f>
        <v/>
      </c>
      <c r="G42" s="12" t="str">
        <f>IF($B42="§","",IFERROR(AVERAGEIFS(Estação!$G$2:$G$50000,Estação!$A$2:$A$50000,$B42,Estação!$G$2:$G$50000,"&gt;-50"),""))</f>
        <v/>
      </c>
      <c r="H42" s="12" t="str">
        <f>IF($B42="§","",IFERROR(AVERAGEIFS(Estação!$Z$2:$Z$50000,Estação!$A$2:$A$50000,$B42,Estação!$Z$2:$Z$50000,"&gt;-50"),""))</f>
        <v/>
      </c>
      <c r="I42" s="12" t="str">
        <f>IF($B42="§","",IFERROR(AVERAGEIFS(Estação!$E$2:$E$50000,Estação!$A$2:$A$50000,$B42,Estação!$E$2:$E$50000,"&gt;-50"),""))</f>
        <v/>
      </c>
      <c r="J42" s="12" t="str">
        <f>IF($B42="§","",IFERROR(AVERAGEIFS(Estação!$H$2:$H$50000,Estação!$A$2:$A$50000,$B42,Estação!$H$2:$H$50000,"&gt;-50"),""))</f>
        <v/>
      </c>
      <c r="K42" s="12" t="str">
        <f>IF($B42="§","",IFERROR(AVERAGEIFS(Estação!$L$2:$L$50000,Estação!$A$2:$A$50000,$B42,Estação!$L$2:$L$50000,"&gt;-50"),""))</f>
        <v/>
      </c>
      <c r="L42" s="12" t="str">
        <f>IF($B42="§","",IFERROR(AVERAGEIFS(Estação!$B$2:$B$50000,Estação!$A$2:$A$50000,$B42,Estação!$B$2:$B$50000,"&gt;-50"),""))</f>
        <v/>
      </c>
      <c r="M42" s="12" t="str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>0</v>
      </c>
      <c r="O42" s="12">
        <f>IF($B42="§","",SUMIFS(Estação!$P$2:$P$50000,Estação!$A$2:$A$50000,$B42))</f>
        <v>0</v>
      </c>
      <c r="P42" s="12">
        <f>IF($B42="§","",SUMIFS(Estação!$Q$2:$Q$50000,Estação!$A$2:$A$50000,$B42))</f>
        <v>0</v>
      </c>
      <c r="Q42" s="12" t="str">
        <f>IF($B42="§","",IFERROR(AVERAGEIFS(Estação!$AA$2:$AA$50000,Estação!$A$2:$A$50000,$B42,Estação!$AA$2:$AA$50000,"&gt;-50"),""))</f>
        <v/>
      </c>
      <c r="R42" s="12" t="str">
        <f>IF($B42="§","",IFERROR(AVERAGEIFS(Estação!$AB$2:$AB$50000,Estação!$A$2:$A$50000,$B42,Estação!$AB$2:$AB$50000,"&gt;-50"),""))</f>
        <v/>
      </c>
      <c r="S42" s="12" t="str">
        <f>IF($B42="§","",IFERROR(AVERAGEIFS(Estação!$Y$2:$Y$50000,Estação!$A$2:$A$50000,$B42,Estação!$Y$2:$Y$50000,"&gt;-50"),""))</f>
        <v/>
      </c>
      <c r="T42" s="12" t="str">
        <f>IF($B42="§","",IFERROR(AVERAGEIFS(Estação!$C$2:$C$50000,Estação!$A$2:$A$50000,$B42,Estação!$C$2:$C$50000,"&gt;-50"),""))</f>
        <v/>
      </c>
    </row>
    <row r="43" spans="1:20" x14ac:dyDescent="0.25">
      <c r="A43" s="12" t="str">
        <f>IF($C43="","",RIGHT("0"&amp;2,2)&amp;"/"&amp;RIGHT("0"&amp;MONTH($B$1),2))</f>
        <v>02/07</v>
      </c>
      <c r="B43" s="12" t="str">
        <f t="shared" si="2"/>
        <v>2026-07-02*</v>
      </c>
      <c r="C43" s="13">
        <f>IF(2&lt;=DAY(EOMONTH($B$1,0)),DATE(YEAR($B$1),MONTH($B$1),2),"")</f>
        <v>46205</v>
      </c>
      <c r="D43" s="12" t="str">
        <f>IF($B43="§","",IFERROR(AVERAGEIFS(Estação!$S$2:$S$50000,Estação!$A$2:$A$50000,$B43,Estação!$S$2:$S$50000,"&gt;-50"),""))</f>
        <v/>
      </c>
      <c r="E43" s="12" t="str">
        <f>IF($B43="§","",IFERROR(AVERAGEIFS(Estação!$T$2:$T$50000,Estação!$A$2:$A$50000,$B43,Estação!$T$2:$T$50000,"&gt;-50"),""))</f>
        <v/>
      </c>
      <c r="F43" s="12" t="str">
        <f>IF($B43="§","",IFERROR(AVERAGEIFS(Estação!$F$2:$F$50000,Estação!$A$2:$A$50000,$B43,Estação!$F$2:$F$50000,"&gt;-50"),""))</f>
        <v/>
      </c>
      <c r="G43" s="12" t="str">
        <f>IF($B43="§","",IFERROR(AVERAGEIFS(Estação!$G$2:$G$50000,Estação!$A$2:$A$50000,$B43,Estação!$G$2:$G$50000,"&gt;-50"),""))</f>
        <v/>
      </c>
      <c r="H43" s="12" t="str">
        <f>IF($B43="§","",IFERROR(AVERAGEIFS(Estação!$Z$2:$Z$50000,Estação!$A$2:$A$50000,$B43,Estação!$Z$2:$Z$50000,"&gt;-50"),""))</f>
        <v/>
      </c>
      <c r="I43" s="12" t="str">
        <f>IF($B43="§","",IFERROR(AVERAGEIFS(Estação!$E$2:$E$50000,Estação!$A$2:$A$50000,$B43,Estação!$E$2:$E$50000,"&gt;-50"),""))</f>
        <v/>
      </c>
      <c r="J43" s="12" t="str">
        <f>IF($B43="§","",IFERROR(AVERAGEIFS(Estação!$H$2:$H$50000,Estação!$A$2:$A$50000,$B43,Estação!$H$2:$H$50000,"&gt;-50"),""))</f>
        <v/>
      </c>
      <c r="K43" s="12" t="str">
        <f>IF($B43="§","",IFERROR(AVERAGEIFS(Estação!$L$2:$L$50000,Estação!$A$2:$A$50000,$B43,Estação!$L$2:$L$50000,"&gt;-50"),""))</f>
        <v/>
      </c>
      <c r="L43" s="12" t="str">
        <f>IF($B43="§","",IFERROR(AVERAGEIFS(Estação!$B$2:$B$50000,Estação!$A$2:$A$50000,$B43,Estação!$B$2:$B$50000,"&gt;-50"),""))</f>
        <v/>
      </c>
      <c r="M43" s="12" t="str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>0</v>
      </c>
      <c r="O43" s="12">
        <f>IF($B43="§","",SUMIFS(Estação!$P$2:$P$50000,Estação!$A$2:$A$50000,$B43))</f>
        <v>0</v>
      </c>
      <c r="P43" s="12">
        <f>IF($B43="§","",SUMIFS(Estação!$Q$2:$Q$50000,Estação!$A$2:$A$50000,$B43))</f>
        <v>0</v>
      </c>
      <c r="Q43" s="12" t="str">
        <f>IF($B43="§","",IFERROR(AVERAGEIFS(Estação!$AA$2:$AA$50000,Estação!$A$2:$A$50000,$B43,Estação!$AA$2:$AA$50000,"&gt;-50"),""))</f>
        <v/>
      </c>
      <c r="R43" s="12" t="str">
        <f>IF($B43="§","",IFERROR(AVERAGEIFS(Estação!$AB$2:$AB$50000,Estação!$A$2:$A$50000,$B43,Estação!$AB$2:$AB$50000,"&gt;-50"),""))</f>
        <v/>
      </c>
      <c r="S43" s="12" t="str">
        <f>IF($B43="§","",IFERROR(AVERAGEIFS(Estação!$Y$2:$Y$50000,Estação!$A$2:$A$50000,$B43,Estação!$Y$2:$Y$50000,"&gt;-50"),""))</f>
        <v/>
      </c>
      <c r="T43" s="12" t="str">
        <f>IF($B43="§","",IFERROR(AVERAGEIFS(Estação!$C$2:$C$50000,Estação!$A$2:$A$50000,$B43,Estação!$C$2:$C$50000,"&gt;-50"),""))</f>
        <v/>
      </c>
    </row>
    <row r="44" spans="1:20" x14ac:dyDescent="0.25">
      <c r="A44" s="12" t="str">
        <f>IF($C44="","",RIGHT("0"&amp;3,2)&amp;"/"&amp;RIGHT("0"&amp;MONTH($B$1),2))</f>
        <v>03/07</v>
      </c>
      <c r="B44" s="12" t="str">
        <f t="shared" si="2"/>
        <v>2026-07-03*</v>
      </c>
      <c r="C44" s="13">
        <f>IF(3&lt;=DAY(EOMONTH($B$1,0)),DATE(YEAR($B$1),MONTH($B$1),3),"")</f>
        <v>46206</v>
      </c>
      <c r="D44" s="12" t="str">
        <f>IF($B44="§","",IFERROR(AVERAGEIFS(Estação!$S$2:$S$50000,Estação!$A$2:$A$50000,$B44,Estação!$S$2:$S$50000,"&gt;-50"),""))</f>
        <v/>
      </c>
      <c r="E44" s="12" t="str">
        <f>IF($B44="§","",IFERROR(AVERAGEIFS(Estação!$T$2:$T$50000,Estação!$A$2:$A$50000,$B44,Estação!$T$2:$T$50000,"&gt;-50"),""))</f>
        <v/>
      </c>
      <c r="F44" s="12" t="str">
        <f>IF($B44="§","",IFERROR(AVERAGEIFS(Estação!$F$2:$F$50000,Estação!$A$2:$A$50000,$B44,Estação!$F$2:$F$50000,"&gt;-50"),""))</f>
        <v/>
      </c>
      <c r="G44" s="12" t="str">
        <f>IF($B44="§","",IFERROR(AVERAGEIFS(Estação!$G$2:$G$50000,Estação!$A$2:$A$50000,$B44,Estação!$G$2:$G$50000,"&gt;-50"),""))</f>
        <v/>
      </c>
      <c r="H44" s="12" t="str">
        <f>IF($B44="§","",IFERROR(AVERAGEIFS(Estação!$Z$2:$Z$50000,Estação!$A$2:$A$50000,$B44,Estação!$Z$2:$Z$50000,"&gt;-50"),""))</f>
        <v/>
      </c>
      <c r="I44" s="12" t="str">
        <f>IF($B44="§","",IFERROR(AVERAGEIFS(Estação!$E$2:$E$50000,Estação!$A$2:$A$50000,$B44,Estação!$E$2:$E$50000,"&gt;-50"),""))</f>
        <v/>
      </c>
      <c r="J44" s="12" t="str">
        <f>IF($B44="§","",IFERROR(AVERAGEIFS(Estação!$H$2:$H$50000,Estação!$A$2:$A$50000,$B44,Estação!$H$2:$H$50000,"&gt;-50"),""))</f>
        <v/>
      </c>
      <c r="K44" s="12" t="str">
        <f>IF($B44="§","",IFERROR(AVERAGEIFS(Estação!$L$2:$L$50000,Estação!$A$2:$A$50000,$B44,Estação!$L$2:$L$50000,"&gt;-50"),""))</f>
        <v/>
      </c>
      <c r="L44" s="12" t="str">
        <f>IF($B44="§","",IFERROR(AVERAGEIFS(Estação!$B$2:$B$50000,Estação!$A$2:$A$50000,$B44,Estação!$B$2:$B$50000,"&gt;-50"),""))</f>
        <v/>
      </c>
      <c r="M44" s="12" t="str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>0</v>
      </c>
      <c r="O44" s="12">
        <f>IF($B44="§","",SUMIFS(Estação!$P$2:$P$50000,Estação!$A$2:$A$50000,$B44))</f>
        <v>0</v>
      </c>
      <c r="P44" s="12">
        <f>IF($B44="§","",SUMIFS(Estação!$Q$2:$Q$50000,Estação!$A$2:$A$50000,$B44))</f>
        <v>0</v>
      </c>
      <c r="Q44" s="12" t="str">
        <f>IF($B44="§","",IFERROR(AVERAGEIFS(Estação!$AA$2:$AA$50000,Estação!$A$2:$A$50000,$B44,Estação!$AA$2:$AA$50000,"&gt;-50"),""))</f>
        <v/>
      </c>
      <c r="R44" s="12" t="str">
        <f>IF($B44="§","",IFERROR(AVERAGEIFS(Estação!$AB$2:$AB$50000,Estação!$A$2:$A$50000,$B44,Estação!$AB$2:$AB$50000,"&gt;-50"),""))</f>
        <v/>
      </c>
      <c r="S44" s="12" t="str">
        <f>IF($B44="§","",IFERROR(AVERAGEIFS(Estação!$Y$2:$Y$50000,Estação!$A$2:$A$50000,$B44,Estação!$Y$2:$Y$50000,"&gt;-50"),""))</f>
        <v/>
      </c>
      <c r="T44" s="12" t="str">
        <f>IF($B44="§","",IFERROR(AVERAGEIFS(Estação!$C$2:$C$50000,Estação!$A$2:$A$50000,$B44,Estação!$C$2:$C$50000,"&gt;-50"),""))</f>
        <v/>
      </c>
    </row>
    <row r="45" spans="1:20" x14ac:dyDescent="0.25">
      <c r="A45" s="12" t="str">
        <f>IF($C45="","",RIGHT("0"&amp;4,2)&amp;"/"&amp;RIGHT("0"&amp;MONTH($B$1),2))</f>
        <v>04/07</v>
      </c>
      <c r="B45" s="12" t="str">
        <f t="shared" si="2"/>
        <v>2026-07-04*</v>
      </c>
      <c r="C45" s="13">
        <f>IF(4&lt;=DAY(EOMONTH($B$1,0)),DATE(YEAR($B$1),MONTH($B$1),4),"")</f>
        <v>46207</v>
      </c>
      <c r="D45" s="12" t="str">
        <f>IF($B45="§","",IFERROR(AVERAGEIFS(Estação!$S$2:$S$50000,Estação!$A$2:$A$50000,$B45,Estação!$S$2:$S$50000,"&gt;-50"),""))</f>
        <v/>
      </c>
      <c r="E45" s="12" t="str">
        <f>IF($B45="§","",IFERROR(AVERAGEIFS(Estação!$T$2:$T$50000,Estação!$A$2:$A$50000,$B45,Estação!$T$2:$T$50000,"&gt;-50"),""))</f>
        <v/>
      </c>
      <c r="F45" s="12" t="str">
        <f>IF($B45="§","",IFERROR(AVERAGEIFS(Estação!$F$2:$F$50000,Estação!$A$2:$A$50000,$B45,Estação!$F$2:$F$50000,"&gt;-50"),""))</f>
        <v/>
      </c>
      <c r="G45" s="12" t="str">
        <f>IF($B45="§","",IFERROR(AVERAGEIFS(Estação!$G$2:$G$50000,Estação!$A$2:$A$50000,$B45,Estação!$G$2:$G$50000,"&gt;-50"),""))</f>
        <v/>
      </c>
      <c r="H45" s="12" t="str">
        <f>IF($B45="§","",IFERROR(AVERAGEIFS(Estação!$Z$2:$Z$50000,Estação!$A$2:$A$50000,$B45,Estação!$Z$2:$Z$50000,"&gt;-50"),""))</f>
        <v/>
      </c>
      <c r="I45" s="12" t="str">
        <f>IF($B45="§","",IFERROR(AVERAGEIFS(Estação!$E$2:$E$50000,Estação!$A$2:$A$50000,$B45,Estação!$E$2:$E$50000,"&gt;-50"),""))</f>
        <v/>
      </c>
      <c r="J45" s="12" t="str">
        <f>IF($B45="§","",IFERROR(AVERAGEIFS(Estação!$H$2:$H$50000,Estação!$A$2:$A$50000,$B45,Estação!$H$2:$H$50000,"&gt;-50"),""))</f>
        <v/>
      </c>
      <c r="K45" s="12" t="str">
        <f>IF($B45="§","",IFERROR(AVERAGEIFS(Estação!$L$2:$L$50000,Estação!$A$2:$A$50000,$B45,Estação!$L$2:$L$50000,"&gt;-50"),""))</f>
        <v/>
      </c>
      <c r="L45" s="12" t="str">
        <f>IF($B45="§","",IFERROR(AVERAGEIFS(Estação!$B$2:$B$50000,Estação!$A$2:$A$50000,$B45,Estação!$B$2:$B$50000,"&gt;-50"),""))</f>
        <v/>
      </c>
      <c r="M45" s="12" t="str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>0</v>
      </c>
      <c r="O45" s="12">
        <f>IF($B45="§","",SUMIFS(Estação!$P$2:$P$50000,Estação!$A$2:$A$50000,$B45))</f>
        <v>0</v>
      </c>
      <c r="P45" s="12">
        <f>IF($B45="§","",SUMIFS(Estação!$Q$2:$Q$50000,Estação!$A$2:$A$50000,$B45))</f>
        <v>0</v>
      </c>
      <c r="Q45" s="12" t="str">
        <f>IF($B45="§","",IFERROR(AVERAGEIFS(Estação!$AA$2:$AA$50000,Estação!$A$2:$A$50000,$B45,Estação!$AA$2:$AA$50000,"&gt;-50"),""))</f>
        <v/>
      </c>
      <c r="R45" s="12" t="str">
        <f>IF($B45="§","",IFERROR(AVERAGEIFS(Estação!$AB$2:$AB$50000,Estação!$A$2:$A$50000,$B45,Estação!$AB$2:$AB$50000,"&gt;-50"),""))</f>
        <v/>
      </c>
      <c r="S45" s="12" t="str">
        <f>IF($B45="§","",IFERROR(AVERAGEIFS(Estação!$Y$2:$Y$50000,Estação!$A$2:$A$50000,$B45,Estação!$Y$2:$Y$50000,"&gt;-50"),""))</f>
        <v/>
      </c>
      <c r="T45" s="12" t="str">
        <f>IF($B45="§","",IFERROR(AVERAGEIFS(Estação!$C$2:$C$50000,Estação!$A$2:$A$50000,$B45,Estação!$C$2:$C$50000,"&gt;-50"),""))</f>
        <v/>
      </c>
    </row>
    <row r="46" spans="1:20" x14ac:dyDescent="0.25">
      <c r="A46" s="12" t="str">
        <f>IF($C46="","",RIGHT("0"&amp;5,2)&amp;"/"&amp;RIGHT("0"&amp;MONTH($B$1),2))</f>
        <v>05/07</v>
      </c>
      <c r="B46" s="12" t="str">
        <f t="shared" si="2"/>
        <v>2026-07-05*</v>
      </c>
      <c r="C46" s="13">
        <f>IF(5&lt;=DAY(EOMONTH($B$1,0)),DATE(YEAR($B$1),MONTH($B$1),5),"")</f>
        <v>46208</v>
      </c>
      <c r="D46" s="12" t="str">
        <f>IF($B46="§","",IFERROR(AVERAGEIFS(Estação!$S$2:$S$50000,Estação!$A$2:$A$50000,$B46,Estação!$S$2:$S$50000,"&gt;-50"),""))</f>
        <v/>
      </c>
      <c r="E46" s="12" t="str">
        <f>IF($B46="§","",IFERROR(AVERAGEIFS(Estação!$T$2:$T$50000,Estação!$A$2:$A$50000,$B46,Estação!$T$2:$T$50000,"&gt;-50"),""))</f>
        <v/>
      </c>
      <c r="F46" s="12" t="str">
        <f>IF($B46="§","",IFERROR(AVERAGEIFS(Estação!$F$2:$F$50000,Estação!$A$2:$A$50000,$B46,Estação!$F$2:$F$50000,"&gt;-50"),""))</f>
        <v/>
      </c>
      <c r="G46" s="12" t="str">
        <f>IF($B46="§","",IFERROR(AVERAGEIFS(Estação!$G$2:$G$50000,Estação!$A$2:$A$50000,$B46,Estação!$G$2:$G$50000,"&gt;-50"),""))</f>
        <v/>
      </c>
      <c r="H46" s="12" t="str">
        <f>IF($B46="§","",IFERROR(AVERAGEIFS(Estação!$Z$2:$Z$50000,Estação!$A$2:$A$50000,$B46,Estação!$Z$2:$Z$50000,"&gt;-50"),""))</f>
        <v/>
      </c>
      <c r="I46" s="12" t="str">
        <f>IF($B46="§","",IFERROR(AVERAGEIFS(Estação!$E$2:$E$50000,Estação!$A$2:$A$50000,$B46,Estação!$E$2:$E$50000,"&gt;-50"),""))</f>
        <v/>
      </c>
      <c r="J46" s="12" t="str">
        <f>IF($B46="§","",IFERROR(AVERAGEIFS(Estação!$H$2:$H$50000,Estação!$A$2:$A$50000,$B46,Estação!$H$2:$H$50000,"&gt;-50"),""))</f>
        <v/>
      </c>
      <c r="K46" s="12" t="str">
        <f>IF($B46="§","",IFERROR(AVERAGEIFS(Estação!$L$2:$L$50000,Estação!$A$2:$A$50000,$B46,Estação!$L$2:$L$50000,"&gt;-50"),""))</f>
        <v/>
      </c>
      <c r="L46" s="12" t="str">
        <f>IF($B46="§","",IFERROR(AVERAGEIFS(Estação!$B$2:$B$50000,Estação!$A$2:$A$50000,$B46,Estação!$B$2:$B$50000,"&gt;-50"),""))</f>
        <v/>
      </c>
      <c r="M46" s="12" t="str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>0</v>
      </c>
      <c r="O46" s="12">
        <f>IF($B46="§","",SUMIFS(Estação!$P$2:$P$50000,Estação!$A$2:$A$50000,$B46))</f>
        <v>0</v>
      </c>
      <c r="P46" s="12">
        <f>IF($B46="§","",SUMIFS(Estação!$Q$2:$Q$50000,Estação!$A$2:$A$50000,$B46))</f>
        <v>0</v>
      </c>
      <c r="Q46" s="12" t="str">
        <f>IF($B46="§","",IFERROR(AVERAGEIFS(Estação!$AA$2:$AA$50000,Estação!$A$2:$A$50000,$B46,Estação!$AA$2:$AA$50000,"&gt;-50"),""))</f>
        <v/>
      </c>
      <c r="R46" s="12" t="str">
        <f>IF($B46="§","",IFERROR(AVERAGEIFS(Estação!$AB$2:$AB$50000,Estação!$A$2:$A$50000,$B46,Estação!$AB$2:$AB$50000,"&gt;-50"),""))</f>
        <v/>
      </c>
      <c r="S46" s="12" t="str">
        <f>IF($B46="§","",IFERROR(AVERAGEIFS(Estação!$Y$2:$Y$50000,Estação!$A$2:$A$50000,$B46,Estação!$Y$2:$Y$50000,"&gt;-50"),""))</f>
        <v/>
      </c>
      <c r="T46" s="12" t="str">
        <f>IF($B46="§","",IFERROR(AVERAGEIFS(Estação!$C$2:$C$50000,Estação!$A$2:$A$50000,$B46,Estação!$C$2:$C$50000,"&gt;-50"),""))</f>
        <v/>
      </c>
    </row>
    <row r="47" spans="1:20" x14ac:dyDescent="0.25">
      <c r="A47" s="12" t="str">
        <f>IF($C47="","",RIGHT("0"&amp;6,2)&amp;"/"&amp;RIGHT("0"&amp;MONTH($B$1),2))</f>
        <v>06/07</v>
      </c>
      <c r="B47" s="12" t="str">
        <f t="shared" si="2"/>
        <v>2026-07-06*</v>
      </c>
      <c r="C47" s="13">
        <f>IF(6&lt;=DAY(EOMONTH($B$1,0)),DATE(YEAR($B$1),MONTH($B$1),6),"")</f>
        <v>46209</v>
      </c>
      <c r="D47" s="12" t="str">
        <f>IF($B47="§","",IFERROR(AVERAGEIFS(Estação!$S$2:$S$50000,Estação!$A$2:$A$50000,$B47,Estação!$S$2:$S$50000,"&gt;-50"),""))</f>
        <v/>
      </c>
      <c r="E47" s="12" t="str">
        <f>IF($B47="§","",IFERROR(AVERAGEIFS(Estação!$T$2:$T$50000,Estação!$A$2:$A$50000,$B47,Estação!$T$2:$T$50000,"&gt;-50"),""))</f>
        <v/>
      </c>
      <c r="F47" s="12" t="str">
        <f>IF($B47="§","",IFERROR(AVERAGEIFS(Estação!$F$2:$F$50000,Estação!$A$2:$A$50000,$B47,Estação!$F$2:$F$50000,"&gt;-50"),""))</f>
        <v/>
      </c>
      <c r="G47" s="12" t="str">
        <f>IF($B47="§","",IFERROR(AVERAGEIFS(Estação!$G$2:$G$50000,Estação!$A$2:$A$50000,$B47,Estação!$G$2:$G$50000,"&gt;-50"),""))</f>
        <v/>
      </c>
      <c r="H47" s="12" t="str">
        <f>IF($B47="§","",IFERROR(AVERAGEIFS(Estação!$Z$2:$Z$50000,Estação!$A$2:$A$50000,$B47,Estação!$Z$2:$Z$50000,"&gt;-50"),""))</f>
        <v/>
      </c>
      <c r="I47" s="12" t="str">
        <f>IF($B47="§","",IFERROR(AVERAGEIFS(Estação!$E$2:$E$50000,Estação!$A$2:$A$50000,$B47,Estação!$E$2:$E$50000,"&gt;-50"),""))</f>
        <v/>
      </c>
      <c r="J47" s="12" t="str">
        <f>IF($B47="§","",IFERROR(AVERAGEIFS(Estação!$H$2:$H$50000,Estação!$A$2:$A$50000,$B47,Estação!$H$2:$H$50000,"&gt;-50"),""))</f>
        <v/>
      </c>
      <c r="K47" s="12" t="str">
        <f>IF($B47="§","",IFERROR(AVERAGEIFS(Estação!$L$2:$L$50000,Estação!$A$2:$A$50000,$B47,Estação!$L$2:$L$50000,"&gt;-50"),""))</f>
        <v/>
      </c>
      <c r="L47" s="12" t="str">
        <f>IF($B47="§","",IFERROR(AVERAGEIFS(Estação!$B$2:$B$50000,Estação!$A$2:$A$50000,$B47,Estação!$B$2:$B$50000,"&gt;-50"),""))</f>
        <v/>
      </c>
      <c r="M47" s="12" t="str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>0</v>
      </c>
      <c r="O47" s="12">
        <f>IF($B47="§","",SUMIFS(Estação!$P$2:$P$50000,Estação!$A$2:$A$50000,$B47))</f>
        <v>0</v>
      </c>
      <c r="P47" s="12">
        <f>IF($B47="§","",SUMIFS(Estação!$Q$2:$Q$50000,Estação!$A$2:$A$50000,$B47))</f>
        <v>0</v>
      </c>
      <c r="Q47" s="12" t="str">
        <f>IF($B47="§","",IFERROR(AVERAGEIFS(Estação!$AA$2:$AA$50000,Estação!$A$2:$A$50000,$B47,Estação!$AA$2:$AA$50000,"&gt;-50"),""))</f>
        <v/>
      </c>
      <c r="R47" s="12" t="str">
        <f>IF($B47="§","",IFERROR(AVERAGEIFS(Estação!$AB$2:$AB$50000,Estação!$A$2:$A$50000,$B47,Estação!$AB$2:$AB$50000,"&gt;-50"),""))</f>
        <v/>
      </c>
      <c r="S47" s="12" t="str">
        <f>IF($B47="§","",IFERROR(AVERAGEIFS(Estação!$Y$2:$Y$50000,Estação!$A$2:$A$50000,$B47,Estação!$Y$2:$Y$50000,"&gt;-50"),""))</f>
        <v/>
      </c>
      <c r="T47" s="12" t="str">
        <f>IF($B47="§","",IFERROR(AVERAGEIFS(Estação!$C$2:$C$50000,Estação!$A$2:$A$50000,$B47,Estação!$C$2:$C$50000,"&gt;-50"),""))</f>
        <v/>
      </c>
    </row>
    <row r="48" spans="1:20" x14ac:dyDescent="0.25">
      <c r="A48" s="12" t="str">
        <f>IF($C48="","",RIGHT("0"&amp;7,2)&amp;"/"&amp;RIGHT("0"&amp;MONTH($B$1),2))</f>
        <v>07/07</v>
      </c>
      <c r="B48" s="12" t="str">
        <f t="shared" si="2"/>
        <v>2026-07-07*</v>
      </c>
      <c r="C48" s="13">
        <f>IF(7&lt;=DAY(EOMONTH($B$1,0)),DATE(YEAR($B$1),MONTH($B$1),7),"")</f>
        <v>46210</v>
      </c>
      <c r="D48" s="12" t="str">
        <f>IF($B48="§","",IFERROR(AVERAGEIFS(Estação!$S$2:$S$50000,Estação!$A$2:$A$50000,$B48,Estação!$S$2:$S$50000,"&gt;-50"),""))</f>
        <v/>
      </c>
      <c r="E48" s="12" t="str">
        <f>IF($B48="§","",IFERROR(AVERAGEIFS(Estação!$T$2:$T$50000,Estação!$A$2:$A$50000,$B48,Estação!$T$2:$T$50000,"&gt;-50"),""))</f>
        <v/>
      </c>
      <c r="F48" s="12" t="str">
        <f>IF($B48="§","",IFERROR(AVERAGEIFS(Estação!$F$2:$F$50000,Estação!$A$2:$A$50000,$B48,Estação!$F$2:$F$50000,"&gt;-50"),""))</f>
        <v/>
      </c>
      <c r="G48" s="12" t="str">
        <f>IF($B48="§","",IFERROR(AVERAGEIFS(Estação!$G$2:$G$50000,Estação!$A$2:$A$50000,$B48,Estação!$G$2:$G$50000,"&gt;-50"),""))</f>
        <v/>
      </c>
      <c r="H48" s="12" t="str">
        <f>IF($B48="§","",IFERROR(AVERAGEIFS(Estação!$Z$2:$Z$50000,Estação!$A$2:$A$50000,$B48,Estação!$Z$2:$Z$50000,"&gt;-50"),""))</f>
        <v/>
      </c>
      <c r="I48" s="12" t="str">
        <f>IF($B48="§","",IFERROR(AVERAGEIFS(Estação!$E$2:$E$50000,Estação!$A$2:$A$50000,$B48,Estação!$E$2:$E$50000,"&gt;-50"),""))</f>
        <v/>
      </c>
      <c r="J48" s="12" t="str">
        <f>IF($B48="§","",IFERROR(AVERAGEIFS(Estação!$H$2:$H$50000,Estação!$A$2:$A$50000,$B48,Estação!$H$2:$H$50000,"&gt;-50"),""))</f>
        <v/>
      </c>
      <c r="K48" s="12" t="str">
        <f>IF($B48="§","",IFERROR(AVERAGEIFS(Estação!$L$2:$L$50000,Estação!$A$2:$A$50000,$B48,Estação!$L$2:$L$50000,"&gt;-50"),""))</f>
        <v/>
      </c>
      <c r="L48" s="12" t="str">
        <f>IF($B48="§","",IFERROR(AVERAGEIFS(Estação!$B$2:$B$50000,Estação!$A$2:$A$50000,$B48,Estação!$B$2:$B$50000,"&gt;-50"),""))</f>
        <v/>
      </c>
      <c r="M48" s="12" t="str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>0</v>
      </c>
      <c r="O48" s="12">
        <f>IF($B48="§","",SUMIFS(Estação!$P$2:$P$50000,Estação!$A$2:$A$50000,$B48))</f>
        <v>0</v>
      </c>
      <c r="P48" s="12">
        <f>IF($B48="§","",SUMIFS(Estação!$Q$2:$Q$50000,Estação!$A$2:$A$50000,$B48))</f>
        <v>0</v>
      </c>
      <c r="Q48" s="12" t="str">
        <f>IF($B48="§","",IFERROR(AVERAGEIFS(Estação!$AA$2:$AA$50000,Estação!$A$2:$A$50000,$B48,Estação!$AA$2:$AA$50000,"&gt;-50"),""))</f>
        <v/>
      </c>
      <c r="R48" s="12" t="str">
        <f>IF($B48="§","",IFERROR(AVERAGEIFS(Estação!$AB$2:$AB$50000,Estação!$A$2:$A$50000,$B48,Estação!$AB$2:$AB$50000,"&gt;-50"),""))</f>
        <v/>
      </c>
      <c r="S48" s="12" t="str">
        <f>IF($B48="§","",IFERROR(AVERAGEIFS(Estação!$Y$2:$Y$50000,Estação!$A$2:$A$50000,$B48,Estação!$Y$2:$Y$50000,"&gt;-50"),""))</f>
        <v/>
      </c>
      <c r="T48" s="12" t="str">
        <f>IF($B48="§","",IFERROR(AVERAGEIFS(Estação!$C$2:$C$50000,Estação!$A$2:$A$50000,$B48,Estação!$C$2:$C$50000,"&gt;-50"),""))</f>
        <v/>
      </c>
    </row>
    <row r="49" spans="1:20" x14ac:dyDescent="0.25">
      <c r="A49" s="12" t="str">
        <f>IF($C49="","",RIGHT("0"&amp;8,2)&amp;"/"&amp;RIGHT("0"&amp;MONTH($B$1),2))</f>
        <v>08/07</v>
      </c>
      <c r="B49" s="12" t="str">
        <f t="shared" si="2"/>
        <v>2026-07-08*</v>
      </c>
      <c r="C49" s="13">
        <f>IF(8&lt;=DAY(EOMONTH($B$1,0)),DATE(YEAR($B$1),MONTH($B$1),8),"")</f>
        <v>46211</v>
      </c>
      <c r="D49" s="12" t="str">
        <f>IF($B49="§","",IFERROR(AVERAGEIFS(Estação!$S$2:$S$50000,Estação!$A$2:$A$50000,$B49,Estação!$S$2:$S$50000,"&gt;-50"),""))</f>
        <v/>
      </c>
      <c r="E49" s="12" t="str">
        <f>IF($B49="§","",IFERROR(AVERAGEIFS(Estação!$T$2:$T$50000,Estação!$A$2:$A$50000,$B49,Estação!$T$2:$T$50000,"&gt;-50"),""))</f>
        <v/>
      </c>
      <c r="F49" s="12" t="str">
        <f>IF($B49="§","",IFERROR(AVERAGEIFS(Estação!$F$2:$F$50000,Estação!$A$2:$A$50000,$B49,Estação!$F$2:$F$50000,"&gt;-50"),""))</f>
        <v/>
      </c>
      <c r="G49" s="12" t="str">
        <f>IF($B49="§","",IFERROR(AVERAGEIFS(Estação!$G$2:$G$50000,Estação!$A$2:$A$50000,$B49,Estação!$G$2:$G$50000,"&gt;-50"),""))</f>
        <v/>
      </c>
      <c r="H49" s="12" t="str">
        <f>IF($B49="§","",IFERROR(AVERAGEIFS(Estação!$Z$2:$Z$50000,Estação!$A$2:$A$50000,$B49,Estação!$Z$2:$Z$50000,"&gt;-50"),""))</f>
        <v/>
      </c>
      <c r="I49" s="12" t="str">
        <f>IF($B49="§","",IFERROR(AVERAGEIFS(Estação!$E$2:$E$50000,Estação!$A$2:$A$50000,$B49,Estação!$E$2:$E$50000,"&gt;-50"),""))</f>
        <v/>
      </c>
      <c r="J49" s="12" t="str">
        <f>IF($B49="§","",IFERROR(AVERAGEIFS(Estação!$H$2:$H$50000,Estação!$A$2:$A$50000,$B49,Estação!$H$2:$H$50000,"&gt;-50"),""))</f>
        <v/>
      </c>
      <c r="K49" s="12" t="str">
        <f>IF($B49="§","",IFERROR(AVERAGEIFS(Estação!$L$2:$L$50000,Estação!$A$2:$A$50000,$B49,Estação!$L$2:$L$50000,"&gt;-50"),""))</f>
        <v/>
      </c>
      <c r="L49" s="12" t="str">
        <f>IF($B49="§","",IFERROR(AVERAGEIFS(Estação!$B$2:$B$50000,Estação!$A$2:$A$50000,$B49,Estação!$B$2:$B$50000,"&gt;-50"),""))</f>
        <v/>
      </c>
      <c r="M49" s="12" t="str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>0</v>
      </c>
      <c r="O49" s="12">
        <f>IF($B49="§","",SUMIFS(Estação!$P$2:$P$50000,Estação!$A$2:$A$50000,$B49))</f>
        <v>0</v>
      </c>
      <c r="P49" s="12">
        <f>IF($B49="§","",SUMIFS(Estação!$Q$2:$Q$50000,Estação!$A$2:$A$50000,$B49))</f>
        <v>0</v>
      </c>
      <c r="Q49" s="12" t="str">
        <f>IF($B49="§","",IFERROR(AVERAGEIFS(Estação!$AA$2:$AA$50000,Estação!$A$2:$A$50000,$B49,Estação!$AA$2:$AA$50000,"&gt;-50"),""))</f>
        <v/>
      </c>
      <c r="R49" s="12" t="str">
        <f>IF($B49="§","",IFERROR(AVERAGEIFS(Estação!$AB$2:$AB$50000,Estação!$A$2:$A$50000,$B49,Estação!$AB$2:$AB$50000,"&gt;-50"),""))</f>
        <v/>
      </c>
      <c r="S49" s="12" t="str">
        <f>IF($B49="§","",IFERROR(AVERAGEIFS(Estação!$Y$2:$Y$50000,Estação!$A$2:$A$50000,$B49,Estação!$Y$2:$Y$50000,"&gt;-50"),""))</f>
        <v/>
      </c>
      <c r="T49" s="12" t="str">
        <f>IF($B49="§","",IFERROR(AVERAGEIFS(Estação!$C$2:$C$50000,Estação!$A$2:$A$50000,$B49,Estação!$C$2:$C$50000,"&gt;-50"),""))</f>
        <v/>
      </c>
    </row>
    <row r="50" spans="1:20" x14ac:dyDescent="0.25">
      <c r="A50" s="12" t="str">
        <f>IF($C50="","",RIGHT("0"&amp;9,2)&amp;"/"&amp;RIGHT("0"&amp;MONTH($B$1),2))</f>
        <v>09/07</v>
      </c>
      <c r="B50" s="12" t="str">
        <f t="shared" si="2"/>
        <v>2026-07-09*</v>
      </c>
      <c r="C50" s="13">
        <f>IF(9&lt;=DAY(EOMONTH($B$1,0)),DATE(YEAR($B$1),MONTH($B$1),9),"")</f>
        <v>46212</v>
      </c>
      <c r="D50" s="12" t="str">
        <f>IF($B50="§","",IFERROR(AVERAGEIFS(Estação!$S$2:$S$50000,Estação!$A$2:$A$50000,$B50,Estação!$S$2:$S$50000,"&gt;-50"),""))</f>
        <v/>
      </c>
      <c r="E50" s="12" t="str">
        <f>IF($B50="§","",IFERROR(AVERAGEIFS(Estação!$T$2:$T$50000,Estação!$A$2:$A$50000,$B50,Estação!$T$2:$T$50000,"&gt;-50"),""))</f>
        <v/>
      </c>
      <c r="F50" s="12" t="str">
        <f>IF($B50="§","",IFERROR(AVERAGEIFS(Estação!$F$2:$F$50000,Estação!$A$2:$A$50000,$B50,Estação!$F$2:$F$50000,"&gt;-50"),""))</f>
        <v/>
      </c>
      <c r="G50" s="12" t="str">
        <f>IF($B50="§","",IFERROR(AVERAGEIFS(Estação!$G$2:$G$50000,Estação!$A$2:$A$50000,$B50,Estação!$G$2:$G$50000,"&gt;-50"),""))</f>
        <v/>
      </c>
      <c r="H50" s="12" t="str">
        <f>IF($B50="§","",IFERROR(AVERAGEIFS(Estação!$Z$2:$Z$50000,Estação!$A$2:$A$50000,$B50,Estação!$Z$2:$Z$50000,"&gt;-50"),""))</f>
        <v/>
      </c>
      <c r="I50" s="12" t="str">
        <f>IF($B50="§","",IFERROR(AVERAGEIFS(Estação!$E$2:$E$50000,Estação!$A$2:$A$50000,$B50,Estação!$E$2:$E$50000,"&gt;-50"),""))</f>
        <v/>
      </c>
      <c r="J50" s="12" t="str">
        <f>IF($B50="§","",IFERROR(AVERAGEIFS(Estação!$H$2:$H$50000,Estação!$A$2:$A$50000,$B50,Estação!$H$2:$H$50000,"&gt;-50"),""))</f>
        <v/>
      </c>
      <c r="K50" s="12" t="str">
        <f>IF($B50="§","",IFERROR(AVERAGEIFS(Estação!$L$2:$L$50000,Estação!$A$2:$A$50000,$B50,Estação!$L$2:$L$50000,"&gt;-50"),""))</f>
        <v/>
      </c>
      <c r="L50" s="12" t="str">
        <f>IF($B50="§","",IFERROR(AVERAGEIFS(Estação!$B$2:$B$50000,Estação!$A$2:$A$50000,$B50,Estação!$B$2:$B$50000,"&gt;-50"),""))</f>
        <v/>
      </c>
      <c r="M50" s="12" t="str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>0</v>
      </c>
      <c r="O50" s="12">
        <f>IF($B50="§","",SUMIFS(Estação!$P$2:$P$50000,Estação!$A$2:$A$50000,$B50))</f>
        <v>0</v>
      </c>
      <c r="P50" s="12">
        <f>IF($B50="§","",SUMIFS(Estação!$Q$2:$Q$50000,Estação!$A$2:$A$50000,$B50))</f>
        <v>0</v>
      </c>
      <c r="Q50" s="12" t="str">
        <f>IF($B50="§","",IFERROR(AVERAGEIFS(Estação!$AA$2:$AA$50000,Estação!$A$2:$A$50000,$B50,Estação!$AA$2:$AA$50000,"&gt;-50"),""))</f>
        <v/>
      </c>
      <c r="R50" s="12" t="str">
        <f>IF($B50="§","",IFERROR(AVERAGEIFS(Estação!$AB$2:$AB$50000,Estação!$A$2:$A$50000,$B50,Estação!$AB$2:$AB$50000,"&gt;-50"),""))</f>
        <v/>
      </c>
      <c r="S50" s="12" t="str">
        <f>IF($B50="§","",IFERROR(AVERAGEIFS(Estação!$Y$2:$Y$50000,Estação!$A$2:$A$50000,$B50,Estação!$Y$2:$Y$50000,"&gt;-50"),""))</f>
        <v/>
      </c>
      <c r="T50" s="12" t="str">
        <f>IF($B50="§","",IFERROR(AVERAGEIFS(Estação!$C$2:$C$50000,Estação!$A$2:$A$50000,$B50,Estação!$C$2:$C$50000,"&gt;-50"),""))</f>
        <v/>
      </c>
    </row>
    <row r="51" spans="1:20" x14ac:dyDescent="0.25">
      <c r="A51" s="12" t="str">
        <f>IF($C51="","",RIGHT("0"&amp;10,2)&amp;"/"&amp;RIGHT("0"&amp;MONTH($B$1),2))</f>
        <v>10/07</v>
      </c>
      <c r="B51" s="12" t="str">
        <f t="shared" si="2"/>
        <v>2026-07-10*</v>
      </c>
      <c r="C51" s="13">
        <f>IF(10&lt;=DAY(EOMONTH($B$1,0)),DATE(YEAR($B$1),MONTH($B$1),10),"")</f>
        <v>46213</v>
      </c>
      <c r="D51" s="12" t="str">
        <f>IF($B51="§","",IFERROR(AVERAGEIFS(Estação!$S$2:$S$50000,Estação!$A$2:$A$50000,$B51,Estação!$S$2:$S$50000,"&gt;-50"),""))</f>
        <v/>
      </c>
      <c r="E51" s="12" t="str">
        <f>IF($B51="§","",IFERROR(AVERAGEIFS(Estação!$T$2:$T$50000,Estação!$A$2:$A$50000,$B51,Estação!$T$2:$T$50000,"&gt;-50"),""))</f>
        <v/>
      </c>
      <c r="F51" s="12" t="str">
        <f>IF($B51="§","",IFERROR(AVERAGEIFS(Estação!$F$2:$F$50000,Estação!$A$2:$A$50000,$B51,Estação!$F$2:$F$50000,"&gt;-50"),""))</f>
        <v/>
      </c>
      <c r="G51" s="12" t="str">
        <f>IF($B51="§","",IFERROR(AVERAGEIFS(Estação!$G$2:$G$50000,Estação!$A$2:$A$50000,$B51,Estação!$G$2:$G$50000,"&gt;-50"),""))</f>
        <v/>
      </c>
      <c r="H51" s="12" t="str">
        <f>IF($B51="§","",IFERROR(AVERAGEIFS(Estação!$Z$2:$Z$50000,Estação!$A$2:$A$50000,$B51,Estação!$Z$2:$Z$50000,"&gt;-50"),""))</f>
        <v/>
      </c>
      <c r="I51" s="12" t="str">
        <f>IF($B51="§","",IFERROR(AVERAGEIFS(Estação!$E$2:$E$50000,Estação!$A$2:$A$50000,$B51,Estação!$E$2:$E$50000,"&gt;-50"),""))</f>
        <v/>
      </c>
      <c r="J51" s="12" t="str">
        <f>IF($B51="§","",IFERROR(AVERAGEIFS(Estação!$H$2:$H$50000,Estação!$A$2:$A$50000,$B51,Estação!$H$2:$H$50000,"&gt;-50"),""))</f>
        <v/>
      </c>
      <c r="K51" s="12" t="str">
        <f>IF($B51="§","",IFERROR(AVERAGEIFS(Estação!$L$2:$L$50000,Estação!$A$2:$A$50000,$B51,Estação!$L$2:$L$50000,"&gt;-50"),""))</f>
        <v/>
      </c>
      <c r="L51" s="12" t="str">
        <f>IF($B51="§","",IFERROR(AVERAGEIFS(Estação!$B$2:$B$50000,Estação!$A$2:$A$50000,$B51,Estação!$B$2:$B$50000,"&gt;-50"),""))</f>
        <v/>
      </c>
      <c r="M51" s="12" t="str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>0</v>
      </c>
      <c r="O51" s="12">
        <f>IF($B51="§","",SUMIFS(Estação!$P$2:$P$50000,Estação!$A$2:$A$50000,$B51))</f>
        <v>0</v>
      </c>
      <c r="P51" s="12">
        <f>IF($B51="§","",SUMIFS(Estação!$Q$2:$Q$50000,Estação!$A$2:$A$50000,$B51))</f>
        <v>0</v>
      </c>
      <c r="Q51" s="12" t="str">
        <f>IF($B51="§","",IFERROR(AVERAGEIFS(Estação!$AA$2:$AA$50000,Estação!$A$2:$A$50000,$B51,Estação!$AA$2:$AA$50000,"&gt;-50"),""))</f>
        <v/>
      </c>
      <c r="R51" s="12" t="str">
        <f>IF($B51="§","",IFERROR(AVERAGEIFS(Estação!$AB$2:$AB$50000,Estação!$A$2:$A$50000,$B51,Estação!$AB$2:$AB$50000,"&gt;-50"),""))</f>
        <v/>
      </c>
      <c r="S51" s="12" t="str">
        <f>IF($B51="§","",IFERROR(AVERAGEIFS(Estação!$Y$2:$Y$50000,Estação!$A$2:$A$50000,$B51,Estação!$Y$2:$Y$50000,"&gt;-50"),""))</f>
        <v/>
      </c>
      <c r="T51" s="12" t="str">
        <f>IF($B51="§","",IFERROR(AVERAGEIFS(Estação!$C$2:$C$50000,Estação!$A$2:$A$50000,$B51,Estação!$C$2:$C$50000,"&gt;-50"),""))</f>
        <v/>
      </c>
    </row>
    <row r="52" spans="1:20" x14ac:dyDescent="0.25">
      <c r="A52" s="12" t="str">
        <f>IF($C52="","",RIGHT("0"&amp;11,2)&amp;"/"&amp;RIGHT("0"&amp;MONTH($B$1),2))</f>
        <v>11/07</v>
      </c>
      <c r="B52" s="12" t="str">
        <f t="shared" si="2"/>
        <v>2026-07-11*</v>
      </c>
      <c r="C52" s="13">
        <f>IF(11&lt;=DAY(EOMONTH($B$1,0)),DATE(YEAR($B$1),MONTH($B$1),11),"")</f>
        <v>46214</v>
      </c>
      <c r="D52" s="12">
        <f>IF($B52="§","",IFERROR(AVERAGEIFS(Estação!$S$2:$S$50000,Estação!$A$2:$A$50000,$B52,Estação!$S$2:$S$50000,"&gt;-50"),""))</f>
        <v>15.300000000000002</v>
      </c>
      <c r="E52" s="12">
        <f>IF($B52="§","",IFERROR(AVERAGEIFS(Estação!$T$2:$T$50000,Estação!$A$2:$A$50000,$B52,Estação!$T$2:$T$50000,"&gt;-50"),""))</f>
        <v>14.700000000000001</v>
      </c>
      <c r="F52" s="12">
        <f>IF($B52="§","",IFERROR(AVERAGEIFS(Estação!$F$2:$F$50000,Estação!$A$2:$A$50000,$B52,Estação!$F$2:$F$50000,"&gt;-50"),""))</f>
        <v>15.4</v>
      </c>
      <c r="G52" s="12">
        <f>IF($B52="§","",IFERROR(AVERAGEIFS(Estação!$G$2:$G$50000,Estação!$A$2:$A$50000,$B52,Estação!$G$2:$G$50000,"&gt;-50"),""))</f>
        <v>14.700000000000001</v>
      </c>
      <c r="H52" s="12">
        <f>IF($B52="§","",IFERROR(AVERAGEIFS(Estação!$Z$2:$Z$50000,Estação!$A$2:$A$50000,$B52,Estação!$Z$2:$Z$50000,"&gt;-50"),""))</f>
        <v>9.6999999999999993</v>
      </c>
      <c r="I52" s="12">
        <f>IF($B52="§","",IFERROR(AVERAGEIFS(Estação!$E$2:$E$50000,Estação!$A$2:$A$50000,$B52,Estação!$E$2:$E$50000,"&gt;-50"),""))</f>
        <v>13.833333333333334</v>
      </c>
      <c r="J52" s="12">
        <f>IF($B52="§","",IFERROR(AVERAGEIFS(Estação!$H$2:$H$50000,Estação!$A$2:$A$50000,$B52,Estação!$H$2:$H$50000,"&gt;-50"),""))</f>
        <v>95</v>
      </c>
      <c r="K52" s="12">
        <f>IF($B52="§","",IFERROR(AVERAGEIFS(Estação!$L$2:$L$50000,Estação!$A$2:$A$50000,$B52,Estação!$L$2:$L$50000,"&gt;-50"),""))</f>
        <v>86.333333333333329</v>
      </c>
      <c r="L52" s="12">
        <f>IF($B52="§","",IFERROR(AVERAGEIFS(Estação!$B$2:$B$50000,Estação!$A$2:$A$50000,$B52,Estação!$B$2:$B$50000,"&gt;-50"),""))</f>
        <v>995</v>
      </c>
      <c r="M52" s="12">
        <f>IF($B52="§","",IFERROR(AVERAGEIFS(Estação!$M$2:$M$50000,Estação!$A$2:$A$50000,$B52,Estação!$M$2:$M$50000,"&gt;-50"),""))</f>
        <v>995</v>
      </c>
      <c r="N52" s="12">
        <f>IF($B52="§","",SUMIFS(Estação!$O$2:$O$50000,Estação!$A$2:$A$50000,$B52))</f>
        <v>0</v>
      </c>
      <c r="O52" s="12">
        <f>IF($B52="§","",SUMIFS(Estação!$P$2:$P$50000,Estação!$A$2:$A$50000,$B52))</f>
        <v>35.099999999999994</v>
      </c>
      <c r="P52" s="12">
        <f>IF($B52="§","",SUMIFS(Estação!$Q$2:$Q$50000,Estação!$A$2:$A$50000,$B52))</f>
        <v>1.4</v>
      </c>
      <c r="Q52" s="12">
        <f>IF($B52="§","",IFERROR(AVERAGEIFS(Estação!$AA$2:$AA$50000,Estação!$A$2:$A$50000,$B52,Estação!$AA$2:$AA$50000,"&gt;-50"),""))</f>
        <v>4.4333333333333336</v>
      </c>
      <c r="R52" s="12">
        <f>IF($B52="§","",IFERROR(AVERAGEIFS(Estação!$AB$2:$AB$50000,Estação!$A$2:$A$50000,$B52,Estação!$AB$2:$AB$50000,"&gt;-50"),""))</f>
        <v>5.5</v>
      </c>
      <c r="S52" s="12">
        <f>IF($B52="§","",IFERROR(AVERAGEIFS(Estação!$Y$2:$Y$50000,Estação!$A$2:$A$50000,$B52,Estação!$Y$2:$Y$50000,"&gt;-50"),""))</f>
        <v>0</v>
      </c>
      <c r="T52" s="12">
        <f>IF($B52="§","",IFERROR(AVERAGEIFS(Estação!$C$2:$C$50000,Estação!$A$2:$A$50000,$B52,Estação!$C$2:$C$50000,"&gt;-50"),""))</f>
        <v>100</v>
      </c>
    </row>
    <row r="53" spans="1:20" x14ac:dyDescent="0.25">
      <c r="A53" s="12" t="str">
        <f>IF($C53="","",RIGHT("0"&amp;12,2)&amp;"/"&amp;RIGHT("0"&amp;MONTH($B$1),2))</f>
        <v>12/07</v>
      </c>
      <c r="B53" s="12" t="str">
        <f t="shared" si="2"/>
        <v>2026-07-12*</v>
      </c>
      <c r="C53" s="13">
        <f>IF(12&lt;=DAY(EOMONTH($B$1,0)),DATE(YEAR($B$1),MONTH($B$1),12),"")</f>
        <v>46215</v>
      </c>
      <c r="D53" s="12" t="str">
        <f>IF($B53="§","",IFERROR(AVERAGEIFS(Estação!$S$2:$S$50000,Estação!$A$2:$A$50000,$B53,Estação!$S$2:$S$50000,"&gt;-50"),""))</f>
        <v/>
      </c>
      <c r="E53" s="12" t="str">
        <f>IF($B53="§","",IFERROR(AVERAGEIFS(Estação!$T$2:$T$50000,Estação!$A$2:$A$50000,$B53,Estação!$T$2:$T$50000,"&gt;-50"),""))</f>
        <v/>
      </c>
      <c r="F53" s="12" t="str">
        <f>IF($B53="§","",IFERROR(AVERAGEIFS(Estação!$F$2:$F$50000,Estação!$A$2:$A$50000,$B53,Estação!$F$2:$F$50000,"&gt;-50"),""))</f>
        <v/>
      </c>
      <c r="G53" s="12" t="str">
        <f>IF($B53="§","",IFERROR(AVERAGEIFS(Estação!$G$2:$G$50000,Estação!$A$2:$A$50000,$B53,Estação!$G$2:$G$50000,"&gt;-50"),""))</f>
        <v/>
      </c>
      <c r="H53" s="12" t="str">
        <f>IF($B53="§","",IFERROR(AVERAGEIFS(Estação!$Z$2:$Z$50000,Estação!$A$2:$A$50000,$B53,Estação!$Z$2:$Z$50000,"&gt;-50"),""))</f>
        <v/>
      </c>
      <c r="I53" s="12" t="str">
        <f>IF($B53="§","",IFERROR(AVERAGEIFS(Estação!$E$2:$E$50000,Estação!$A$2:$A$50000,$B53,Estação!$E$2:$E$50000,"&gt;-50"),""))</f>
        <v/>
      </c>
      <c r="J53" s="12" t="str">
        <f>IF($B53="§","",IFERROR(AVERAGEIFS(Estação!$H$2:$H$50000,Estação!$A$2:$A$50000,$B53,Estação!$H$2:$H$50000,"&gt;-50"),""))</f>
        <v/>
      </c>
      <c r="K53" s="12" t="str">
        <f>IF($B53="§","",IFERROR(AVERAGEIFS(Estação!$L$2:$L$50000,Estação!$A$2:$A$50000,$B53,Estação!$L$2:$L$50000,"&gt;-50"),""))</f>
        <v/>
      </c>
      <c r="L53" s="12" t="str">
        <f>IF($B53="§","",IFERROR(AVERAGEIFS(Estação!$B$2:$B$50000,Estação!$A$2:$A$50000,$B53,Estação!$B$2:$B$50000,"&gt;-50"),""))</f>
        <v/>
      </c>
      <c r="M53" s="12" t="str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>0</v>
      </c>
      <c r="O53" s="12">
        <f>IF($B53="§","",SUMIFS(Estação!$P$2:$P$50000,Estação!$A$2:$A$50000,$B53))</f>
        <v>0</v>
      </c>
      <c r="P53" s="12">
        <f>IF($B53="§","",SUMIFS(Estação!$Q$2:$Q$50000,Estação!$A$2:$A$50000,$B53))</f>
        <v>0</v>
      </c>
      <c r="Q53" s="12" t="str">
        <f>IF($B53="§","",IFERROR(AVERAGEIFS(Estação!$AA$2:$AA$50000,Estação!$A$2:$A$50000,$B53,Estação!$AA$2:$AA$50000,"&gt;-50"),""))</f>
        <v/>
      </c>
      <c r="R53" s="12" t="str">
        <f>IF($B53="§","",IFERROR(AVERAGEIFS(Estação!$AB$2:$AB$50000,Estação!$A$2:$A$50000,$B53,Estação!$AB$2:$AB$50000,"&gt;-50"),""))</f>
        <v/>
      </c>
      <c r="S53" s="12" t="str">
        <f>IF($B53="§","",IFERROR(AVERAGEIFS(Estação!$Y$2:$Y$50000,Estação!$A$2:$A$50000,$B53,Estação!$Y$2:$Y$50000,"&gt;-50"),""))</f>
        <v/>
      </c>
      <c r="T53" s="12" t="str">
        <f>IF($B53="§","",IFERROR(AVERAGEIFS(Estação!$C$2:$C$50000,Estação!$A$2:$A$50000,$B53,Estação!$C$2:$C$50000,"&gt;-50"),""))</f>
        <v/>
      </c>
    </row>
    <row r="54" spans="1:20" x14ac:dyDescent="0.25">
      <c r="A54" s="12" t="str">
        <f>IF($C54="","",RIGHT("0"&amp;13,2)&amp;"/"&amp;RIGHT("0"&amp;MONTH($B$1),2))</f>
        <v>13/07</v>
      </c>
      <c r="B54" s="12" t="str">
        <f t="shared" si="2"/>
        <v>2026-07-13*</v>
      </c>
      <c r="C54" s="13">
        <f>IF(13&lt;=DAY(EOMONTH($B$1,0)),DATE(YEAR($B$1),MONTH($B$1),13),"")</f>
        <v>46216</v>
      </c>
      <c r="D54" s="12" t="str">
        <f>IF($B54="§","",IFERROR(AVERAGEIFS(Estação!$S$2:$S$50000,Estação!$A$2:$A$50000,$B54,Estação!$S$2:$S$50000,"&gt;-50"),""))</f>
        <v/>
      </c>
      <c r="E54" s="12" t="str">
        <f>IF($B54="§","",IFERROR(AVERAGEIFS(Estação!$T$2:$T$50000,Estação!$A$2:$A$50000,$B54,Estação!$T$2:$T$50000,"&gt;-50"),""))</f>
        <v/>
      </c>
      <c r="F54" s="12" t="str">
        <f>IF($B54="§","",IFERROR(AVERAGEIFS(Estação!$F$2:$F$50000,Estação!$A$2:$A$50000,$B54,Estação!$F$2:$F$50000,"&gt;-50"),""))</f>
        <v/>
      </c>
      <c r="G54" s="12" t="str">
        <f>IF($B54="§","",IFERROR(AVERAGEIFS(Estação!$G$2:$G$50000,Estação!$A$2:$A$50000,$B54,Estação!$G$2:$G$50000,"&gt;-50"),""))</f>
        <v/>
      </c>
      <c r="H54" s="12" t="str">
        <f>IF($B54="§","",IFERROR(AVERAGEIFS(Estação!$Z$2:$Z$50000,Estação!$A$2:$A$50000,$B54,Estação!$Z$2:$Z$50000,"&gt;-50"),""))</f>
        <v/>
      </c>
      <c r="I54" s="12" t="str">
        <f>IF($B54="§","",IFERROR(AVERAGEIFS(Estação!$E$2:$E$50000,Estação!$A$2:$A$50000,$B54,Estação!$E$2:$E$50000,"&gt;-50"),""))</f>
        <v/>
      </c>
      <c r="J54" s="12" t="str">
        <f>IF($B54="§","",IFERROR(AVERAGEIFS(Estação!$H$2:$H$50000,Estação!$A$2:$A$50000,$B54,Estação!$H$2:$H$50000,"&gt;-50"),""))</f>
        <v/>
      </c>
      <c r="K54" s="12" t="str">
        <f>IF($B54="§","",IFERROR(AVERAGEIFS(Estação!$L$2:$L$50000,Estação!$A$2:$A$50000,$B54,Estação!$L$2:$L$50000,"&gt;-50"),""))</f>
        <v/>
      </c>
      <c r="L54" s="12" t="str">
        <f>IF($B54="§","",IFERROR(AVERAGEIFS(Estação!$B$2:$B$50000,Estação!$A$2:$A$50000,$B54,Estação!$B$2:$B$50000,"&gt;-50"),""))</f>
        <v/>
      </c>
      <c r="M54" s="12" t="str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>0</v>
      </c>
      <c r="O54" s="12">
        <f>IF($B54="§","",SUMIFS(Estação!$P$2:$P$50000,Estação!$A$2:$A$50000,$B54))</f>
        <v>0</v>
      </c>
      <c r="P54" s="12">
        <f>IF($B54="§","",SUMIFS(Estação!$Q$2:$Q$50000,Estação!$A$2:$A$50000,$B54))</f>
        <v>0</v>
      </c>
      <c r="Q54" s="12" t="str">
        <f>IF($B54="§","",IFERROR(AVERAGEIFS(Estação!$AA$2:$AA$50000,Estação!$A$2:$A$50000,$B54,Estação!$AA$2:$AA$50000,"&gt;-50"),""))</f>
        <v/>
      </c>
      <c r="R54" s="12" t="str">
        <f>IF($B54="§","",IFERROR(AVERAGEIFS(Estação!$AB$2:$AB$50000,Estação!$A$2:$A$50000,$B54,Estação!$AB$2:$AB$50000,"&gt;-50"),""))</f>
        <v/>
      </c>
      <c r="S54" s="12" t="str">
        <f>IF($B54="§","",IFERROR(AVERAGEIFS(Estação!$Y$2:$Y$50000,Estação!$A$2:$A$50000,$B54,Estação!$Y$2:$Y$50000,"&gt;-50"),""))</f>
        <v/>
      </c>
      <c r="T54" s="12" t="str">
        <f>IF($B54="§","",IFERROR(AVERAGEIFS(Estação!$C$2:$C$50000,Estação!$A$2:$A$50000,$B54,Estação!$C$2:$C$50000,"&gt;-50"),""))</f>
        <v/>
      </c>
    </row>
    <row r="55" spans="1:20" x14ac:dyDescent="0.25">
      <c r="A55" s="12" t="str">
        <f>IF($C55="","",RIGHT("0"&amp;14,2)&amp;"/"&amp;RIGHT("0"&amp;MONTH($B$1),2))</f>
        <v>14/07</v>
      </c>
      <c r="B55" s="12" t="str">
        <f t="shared" si="2"/>
        <v>2026-07-14*</v>
      </c>
      <c r="C55" s="13">
        <f>IF(14&lt;=DAY(EOMONTH($B$1,0)),DATE(YEAR($B$1),MONTH($B$1),14),"")</f>
        <v>46217</v>
      </c>
      <c r="D55" s="12" t="str">
        <f>IF($B55="§","",IFERROR(AVERAGEIFS(Estação!$S$2:$S$50000,Estação!$A$2:$A$50000,$B55,Estação!$S$2:$S$50000,"&gt;-50"),""))</f>
        <v/>
      </c>
      <c r="E55" s="12" t="str">
        <f>IF($B55="§","",IFERROR(AVERAGEIFS(Estação!$T$2:$T$50000,Estação!$A$2:$A$50000,$B55,Estação!$T$2:$T$50000,"&gt;-50"),""))</f>
        <v/>
      </c>
      <c r="F55" s="12" t="str">
        <f>IF($B55="§","",IFERROR(AVERAGEIFS(Estação!$F$2:$F$50000,Estação!$A$2:$A$50000,$B55,Estação!$F$2:$F$50000,"&gt;-50"),""))</f>
        <v/>
      </c>
      <c r="G55" s="12" t="str">
        <f>IF($B55="§","",IFERROR(AVERAGEIFS(Estação!$G$2:$G$50000,Estação!$A$2:$A$50000,$B55,Estação!$G$2:$G$50000,"&gt;-50"),""))</f>
        <v/>
      </c>
      <c r="H55" s="12" t="str">
        <f>IF($B55="§","",IFERROR(AVERAGEIFS(Estação!$Z$2:$Z$50000,Estação!$A$2:$A$50000,$B55,Estação!$Z$2:$Z$50000,"&gt;-50"),""))</f>
        <v/>
      </c>
      <c r="I55" s="12" t="str">
        <f>IF($B55="§","",IFERROR(AVERAGEIFS(Estação!$E$2:$E$50000,Estação!$A$2:$A$50000,$B55,Estação!$E$2:$E$50000,"&gt;-50"),""))</f>
        <v/>
      </c>
      <c r="J55" s="12" t="str">
        <f>IF($B55="§","",IFERROR(AVERAGEIFS(Estação!$H$2:$H$50000,Estação!$A$2:$A$50000,$B55,Estação!$H$2:$H$50000,"&gt;-50"),""))</f>
        <v/>
      </c>
      <c r="K55" s="12" t="str">
        <f>IF($B55="§","",IFERROR(AVERAGEIFS(Estação!$L$2:$L$50000,Estação!$A$2:$A$50000,$B55,Estação!$L$2:$L$50000,"&gt;-50"),""))</f>
        <v/>
      </c>
      <c r="L55" s="12" t="str">
        <f>IF($B55="§","",IFERROR(AVERAGEIFS(Estação!$B$2:$B$50000,Estação!$A$2:$A$50000,$B55,Estação!$B$2:$B$50000,"&gt;-50"),""))</f>
        <v/>
      </c>
      <c r="M55" s="12" t="str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>0</v>
      </c>
      <c r="O55" s="12">
        <f>IF($B55="§","",SUMIFS(Estação!$P$2:$P$50000,Estação!$A$2:$A$50000,$B55))</f>
        <v>0</v>
      </c>
      <c r="P55" s="12">
        <f>IF($B55="§","",SUMIFS(Estação!$Q$2:$Q$50000,Estação!$A$2:$A$50000,$B55))</f>
        <v>0</v>
      </c>
      <c r="Q55" s="12" t="str">
        <f>IF($B55="§","",IFERROR(AVERAGEIFS(Estação!$AA$2:$AA$50000,Estação!$A$2:$A$50000,$B55,Estação!$AA$2:$AA$50000,"&gt;-50"),""))</f>
        <v/>
      </c>
      <c r="R55" s="12" t="str">
        <f>IF($B55="§","",IFERROR(AVERAGEIFS(Estação!$AB$2:$AB$50000,Estação!$A$2:$A$50000,$B55,Estação!$AB$2:$AB$50000,"&gt;-50"),""))</f>
        <v/>
      </c>
      <c r="S55" s="12" t="str">
        <f>IF($B55="§","",IFERROR(AVERAGEIFS(Estação!$Y$2:$Y$50000,Estação!$A$2:$A$50000,$B55,Estação!$Y$2:$Y$50000,"&gt;-50"),""))</f>
        <v/>
      </c>
      <c r="T55" s="12" t="str">
        <f>IF($B55="§","",IFERROR(AVERAGEIFS(Estação!$C$2:$C$50000,Estação!$A$2:$A$50000,$B55,Estação!$C$2:$C$50000,"&gt;-50"),""))</f>
        <v/>
      </c>
    </row>
    <row r="56" spans="1:20" x14ac:dyDescent="0.25">
      <c r="A56" s="12" t="str">
        <f>IF($C56="","",RIGHT("0"&amp;15,2)&amp;"/"&amp;RIGHT("0"&amp;MONTH($B$1),2))</f>
        <v>15/07</v>
      </c>
      <c r="B56" s="12" t="str">
        <f t="shared" si="2"/>
        <v>2026-07-15*</v>
      </c>
      <c r="C56" s="13">
        <f>IF(15&lt;=DAY(EOMONTH($B$1,0)),DATE(YEAR($B$1),MONTH($B$1),15),"")</f>
        <v>46218</v>
      </c>
      <c r="D56" s="12" t="str">
        <f>IF($B56="§","",IFERROR(AVERAGEIFS(Estação!$S$2:$S$50000,Estação!$A$2:$A$50000,$B56,Estação!$S$2:$S$50000,"&gt;-50"),""))</f>
        <v/>
      </c>
      <c r="E56" s="12" t="str">
        <f>IF($B56="§","",IFERROR(AVERAGEIFS(Estação!$T$2:$T$50000,Estação!$A$2:$A$50000,$B56,Estação!$T$2:$T$50000,"&gt;-50"),""))</f>
        <v/>
      </c>
      <c r="F56" s="12" t="str">
        <f>IF($B56="§","",IFERROR(AVERAGEIFS(Estação!$F$2:$F$50000,Estação!$A$2:$A$50000,$B56,Estação!$F$2:$F$50000,"&gt;-50"),""))</f>
        <v/>
      </c>
      <c r="G56" s="12" t="str">
        <f>IF($B56="§","",IFERROR(AVERAGEIFS(Estação!$G$2:$G$50000,Estação!$A$2:$A$50000,$B56,Estação!$G$2:$G$50000,"&gt;-50"),""))</f>
        <v/>
      </c>
      <c r="H56" s="12" t="str">
        <f>IF($B56="§","",IFERROR(AVERAGEIFS(Estação!$Z$2:$Z$50000,Estação!$A$2:$A$50000,$B56,Estação!$Z$2:$Z$50000,"&gt;-50"),""))</f>
        <v/>
      </c>
      <c r="I56" s="12" t="str">
        <f>IF($B56="§","",IFERROR(AVERAGEIFS(Estação!$E$2:$E$50000,Estação!$A$2:$A$50000,$B56,Estação!$E$2:$E$50000,"&gt;-50"),""))</f>
        <v/>
      </c>
      <c r="J56" s="12" t="str">
        <f>IF($B56="§","",IFERROR(AVERAGEIFS(Estação!$H$2:$H$50000,Estação!$A$2:$A$50000,$B56,Estação!$H$2:$H$50000,"&gt;-50"),""))</f>
        <v/>
      </c>
      <c r="K56" s="12" t="str">
        <f>IF($B56="§","",IFERROR(AVERAGEIFS(Estação!$L$2:$L$50000,Estação!$A$2:$A$50000,$B56,Estação!$L$2:$L$50000,"&gt;-50"),""))</f>
        <v/>
      </c>
      <c r="L56" s="12" t="str">
        <f>IF($B56="§","",IFERROR(AVERAGEIFS(Estação!$B$2:$B$50000,Estação!$A$2:$A$50000,$B56,Estação!$B$2:$B$50000,"&gt;-50"),""))</f>
        <v/>
      </c>
      <c r="M56" s="12" t="str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>0</v>
      </c>
      <c r="O56" s="12">
        <f>IF($B56="§","",SUMIFS(Estação!$P$2:$P$50000,Estação!$A$2:$A$50000,$B56))</f>
        <v>0</v>
      </c>
      <c r="P56" s="12">
        <f>IF($B56="§","",SUMIFS(Estação!$Q$2:$Q$50000,Estação!$A$2:$A$50000,$B56))</f>
        <v>0</v>
      </c>
      <c r="Q56" s="12" t="str">
        <f>IF($B56="§","",IFERROR(AVERAGEIFS(Estação!$AA$2:$AA$50000,Estação!$A$2:$A$50000,$B56,Estação!$AA$2:$AA$50000,"&gt;-50"),""))</f>
        <v/>
      </c>
      <c r="R56" s="12" t="str">
        <f>IF($B56="§","",IFERROR(AVERAGEIFS(Estação!$AB$2:$AB$50000,Estação!$A$2:$A$50000,$B56,Estação!$AB$2:$AB$50000,"&gt;-50"),""))</f>
        <v/>
      </c>
      <c r="S56" s="12" t="str">
        <f>IF($B56="§","",IFERROR(AVERAGEIFS(Estação!$Y$2:$Y$50000,Estação!$A$2:$A$50000,$B56,Estação!$Y$2:$Y$50000,"&gt;-50"),""))</f>
        <v/>
      </c>
      <c r="T56" s="12" t="str">
        <f>IF($B56="§","",IFERROR(AVERAGEIFS(Estação!$C$2:$C$50000,Estação!$A$2:$A$50000,$B56,Estação!$C$2:$C$50000,"&gt;-50"),""))</f>
        <v/>
      </c>
    </row>
    <row r="57" spans="1:20" x14ac:dyDescent="0.25">
      <c r="A57" s="12" t="str">
        <f>IF($C57="","",RIGHT("0"&amp;16,2)&amp;"/"&amp;RIGHT("0"&amp;MONTH($B$1),2))</f>
        <v>16/07</v>
      </c>
      <c r="B57" s="12" t="str">
        <f t="shared" si="2"/>
        <v>2026-07-16*</v>
      </c>
      <c r="C57" s="13">
        <f>IF(16&lt;=DAY(EOMONTH($B$1,0)),DATE(YEAR($B$1),MONTH($B$1),16),"")</f>
        <v>46219</v>
      </c>
      <c r="D57" s="12" t="str">
        <f>IF($B57="§","",IFERROR(AVERAGEIFS(Estação!$S$2:$S$50000,Estação!$A$2:$A$50000,$B57,Estação!$S$2:$S$50000,"&gt;-50"),""))</f>
        <v/>
      </c>
      <c r="E57" s="12" t="str">
        <f>IF($B57="§","",IFERROR(AVERAGEIFS(Estação!$T$2:$T$50000,Estação!$A$2:$A$50000,$B57,Estação!$T$2:$T$50000,"&gt;-50"),""))</f>
        <v/>
      </c>
      <c r="F57" s="12" t="str">
        <f>IF($B57="§","",IFERROR(AVERAGEIFS(Estação!$F$2:$F$50000,Estação!$A$2:$A$50000,$B57,Estação!$F$2:$F$50000,"&gt;-50"),""))</f>
        <v/>
      </c>
      <c r="G57" s="12" t="str">
        <f>IF($B57="§","",IFERROR(AVERAGEIFS(Estação!$G$2:$G$50000,Estação!$A$2:$A$50000,$B57,Estação!$G$2:$G$50000,"&gt;-50"),""))</f>
        <v/>
      </c>
      <c r="H57" s="12" t="str">
        <f>IF($B57="§","",IFERROR(AVERAGEIFS(Estação!$Z$2:$Z$50000,Estação!$A$2:$A$50000,$B57,Estação!$Z$2:$Z$50000,"&gt;-50"),""))</f>
        <v/>
      </c>
      <c r="I57" s="12" t="str">
        <f>IF($B57="§","",IFERROR(AVERAGEIFS(Estação!$E$2:$E$50000,Estação!$A$2:$A$50000,$B57,Estação!$E$2:$E$50000,"&gt;-50"),""))</f>
        <v/>
      </c>
      <c r="J57" s="12" t="str">
        <f>IF($B57="§","",IFERROR(AVERAGEIFS(Estação!$H$2:$H$50000,Estação!$A$2:$A$50000,$B57,Estação!$H$2:$H$50000,"&gt;-50"),""))</f>
        <v/>
      </c>
      <c r="K57" s="12" t="str">
        <f>IF($B57="§","",IFERROR(AVERAGEIFS(Estação!$L$2:$L$50000,Estação!$A$2:$A$50000,$B57,Estação!$L$2:$L$50000,"&gt;-50"),""))</f>
        <v/>
      </c>
      <c r="L57" s="12" t="str">
        <f>IF($B57="§","",IFERROR(AVERAGEIFS(Estação!$B$2:$B$50000,Estação!$A$2:$A$50000,$B57,Estação!$B$2:$B$50000,"&gt;-50"),""))</f>
        <v/>
      </c>
      <c r="M57" s="12" t="str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>0</v>
      </c>
      <c r="O57" s="12">
        <f>IF($B57="§","",SUMIFS(Estação!$P$2:$P$50000,Estação!$A$2:$A$50000,$B57))</f>
        <v>0</v>
      </c>
      <c r="P57" s="12">
        <f>IF($B57="§","",SUMIFS(Estação!$Q$2:$Q$50000,Estação!$A$2:$A$50000,$B57))</f>
        <v>0</v>
      </c>
      <c r="Q57" s="12" t="str">
        <f>IF($B57="§","",IFERROR(AVERAGEIFS(Estação!$AA$2:$AA$50000,Estação!$A$2:$A$50000,$B57,Estação!$AA$2:$AA$50000,"&gt;-50"),""))</f>
        <v/>
      </c>
      <c r="R57" s="12" t="str">
        <f>IF($B57="§","",IFERROR(AVERAGEIFS(Estação!$AB$2:$AB$50000,Estação!$A$2:$A$50000,$B57,Estação!$AB$2:$AB$50000,"&gt;-50"),""))</f>
        <v/>
      </c>
      <c r="S57" s="12" t="str">
        <f>IF($B57="§","",IFERROR(AVERAGEIFS(Estação!$Y$2:$Y$50000,Estação!$A$2:$A$50000,$B57,Estação!$Y$2:$Y$50000,"&gt;-50"),""))</f>
        <v/>
      </c>
      <c r="T57" s="12" t="str">
        <f>IF($B57="§","",IFERROR(AVERAGEIFS(Estação!$C$2:$C$50000,Estação!$A$2:$A$50000,$B57,Estação!$C$2:$C$50000,"&gt;-50"),""))</f>
        <v/>
      </c>
    </row>
    <row r="58" spans="1:20" x14ac:dyDescent="0.25">
      <c r="A58" s="12" t="str">
        <f>IF($C58="","",RIGHT("0"&amp;17,2)&amp;"/"&amp;RIGHT("0"&amp;MONTH($B$1),2))</f>
        <v>17/07</v>
      </c>
      <c r="B58" s="12" t="str">
        <f t="shared" si="2"/>
        <v>2026-07-17*</v>
      </c>
      <c r="C58" s="13">
        <f>IF(17&lt;=DAY(EOMONTH($B$1,0)),DATE(YEAR($B$1),MONTH($B$1),17),"")</f>
        <v>46220</v>
      </c>
      <c r="D58" s="12" t="str">
        <f>IF($B58="§","",IFERROR(AVERAGEIFS(Estação!$S$2:$S$50000,Estação!$A$2:$A$50000,$B58,Estação!$S$2:$S$50000,"&gt;-50"),""))</f>
        <v/>
      </c>
      <c r="E58" s="12" t="str">
        <f>IF($B58="§","",IFERROR(AVERAGEIFS(Estação!$T$2:$T$50000,Estação!$A$2:$A$50000,$B58,Estação!$T$2:$T$50000,"&gt;-50"),""))</f>
        <v/>
      </c>
      <c r="F58" s="12" t="str">
        <f>IF($B58="§","",IFERROR(AVERAGEIFS(Estação!$F$2:$F$50000,Estação!$A$2:$A$50000,$B58,Estação!$F$2:$F$50000,"&gt;-50"),""))</f>
        <v/>
      </c>
      <c r="G58" s="12" t="str">
        <f>IF($B58="§","",IFERROR(AVERAGEIFS(Estação!$G$2:$G$50000,Estação!$A$2:$A$50000,$B58,Estação!$G$2:$G$50000,"&gt;-50"),""))</f>
        <v/>
      </c>
      <c r="H58" s="12" t="str">
        <f>IF($B58="§","",IFERROR(AVERAGEIFS(Estação!$Z$2:$Z$50000,Estação!$A$2:$A$50000,$B58,Estação!$Z$2:$Z$50000,"&gt;-50"),""))</f>
        <v/>
      </c>
      <c r="I58" s="12" t="str">
        <f>IF($B58="§","",IFERROR(AVERAGEIFS(Estação!$E$2:$E$50000,Estação!$A$2:$A$50000,$B58,Estação!$E$2:$E$50000,"&gt;-50"),""))</f>
        <v/>
      </c>
      <c r="J58" s="12" t="str">
        <f>IF($B58="§","",IFERROR(AVERAGEIFS(Estação!$H$2:$H$50000,Estação!$A$2:$A$50000,$B58,Estação!$H$2:$H$50000,"&gt;-50"),""))</f>
        <v/>
      </c>
      <c r="K58" s="12" t="str">
        <f>IF($B58="§","",IFERROR(AVERAGEIFS(Estação!$L$2:$L$50000,Estação!$A$2:$A$50000,$B58,Estação!$L$2:$L$50000,"&gt;-50"),""))</f>
        <v/>
      </c>
      <c r="L58" s="12" t="str">
        <f>IF($B58="§","",IFERROR(AVERAGEIFS(Estação!$B$2:$B$50000,Estação!$A$2:$A$50000,$B58,Estação!$B$2:$B$50000,"&gt;-50"),""))</f>
        <v/>
      </c>
      <c r="M58" s="12" t="str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>0</v>
      </c>
      <c r="O58" s="12">
        <f>IF($B58="§","",SUMIFS(Estação!$P$2:$P$50000,Estação!$A$2:$A$50000,$B58))</f>
        <v>0</v>
      </c>
      <c r="P58" s="12">
        <f>IF($B58="§","",SUMIFS(Estação!$Q$2:$Q$50000,Estação!$A$2:$A$50000,$B58))</f>
        <v>0</v>
      </c>
      <c r="Q58" s="12" t="str">
        <f>IF($B58="§","",IFERROR(AVERAGEIFS(Estação!$AA$2:$AA$50000,Estação!$A$2:$A$50000,$B58,Estação!$AA$2:$AA$50000,"&gt;-50"),""))</f>
        <v/>
      </c>
      <c r="R58" s="12" t="str">
        <f>IF($B58="§","",IFERROR(AVERAGEIFS(Estação!$AB$2:$AB$50000,Estação!$A$2:$A$50000,$B58,Estação!$AB$2:$AB$50000,"&gt;-50"),""))</f>
        <v/>
      </c>
      <c r="S58" s="12" t="str">
        <f>IF($B58="§","",IFERROR(AVERAGEIFS(Estação!$Y$2:$Y$50000,Estação!$A$2:$A$50000,$B58,Estação!$Y$2:$Y$50000,"&gt;-50"),""))</f>
        <v/>
      </c>
      <c r="T58" s="12" t="str">
        <f>IF($B58="§","",IFERROR(AVERAGEIFS(Estação!$C$2:$C$50000,Estação!$A$2:$A$50000,$B58,Estação!$C$2:$C$50000,"&gt;-50"),""))</f>
        <v/>
      </c>
    </row>
    <row r="59" spans="1:20" x14ac:dyDescent="0.25">
      <c r="A59" s="12" t="str">
        <f>IF($C59="","",RIGHT("0"&amp;18,2)&amp;"/"&amp;RIGHT("0"&amp;MONTH($B$1),2))</f>
        <v>18/07</v>
      </c>
      <c r="B59" s="12" t="str">
        <f t="shared" si="2"/>
        <v>2026-07-18*</v>
      </c>
      <c r="C59" s="13">
        <f>IF(18&lt;=DAY(EOMONTH($B$1,0)),DATE(YEAR($B$1),MONTH($B$1),18),"")</f>
        <v>46221</v>
      </c>
      <c r="D59" s="12" t="str">
        <f>IF($B59="§","",IFERROR(AVERAGEIFS(Estação!$S$2:$S$50000,Estação!$A$2:$A$50000,$B59,Estação!$S$2:$S$50000,"&gt;-50"),""))</f>
        <v/>
      </c>
      <c r="E59" s="12" t="str">
        <f>IF($B59="§","",IFERROR(AVERAGEIFS(Estação!$T$2:$T$50000,Estação!$A$2:$A$50000,$B59,Estação!$T$2:$T$50000,"&gt;-50"),""))</f>
        <v/>
      </c>
      <c r="F59" s="12" t="str">
        <f>IF($B59="§","",IFERROR(AVERAGEIFS(Estação!$F$2:$F$50000,Estação!$A$2:$A$50000,$B59,Estação!$F$2:$F$50000,"&gt;-50"),""))</f>
        <v/>
      </c>
      <c r="G59" s="12" t="str">
        <f>IF($B59="§","",IFERROR(AVERAGEIFS(Estação!$G$2:$G$50000,Estação!$A$2:$A$50000,$B59,Estação!$G$2:$G$50000,"&gt;-50"),""))</f>
        <v/>
      </c>
      <c r="H59" s="12" t="str">
        <f>IF($B59="§","",IFERROR(AVERAGEIFS(Estação!$Z$2:$Z$50000,Estação!$A$2:$A$50000,$B59,Estação!$Z$2:$Z$50000,"&gt;-50"),""))</f>
        <v/>
      </c>
      <c r="I59" s="12" t="str">
        <f>IF($B59="§","",IFERROR(AVERAGEIFS(Estação!$E$2:$E$50000,Estação!$A$2:$A$50000,$B59,Estação!$E$2:$E$50000,"&gt;-50"),""))</f>
        <v/>
      </c>
      <c r="J59" s="12" t="str">
        <f>IF($B59="§","",IFERROR(AVERAGEIFS(Estação!$H$2:$H$50000,Estação!$A$2:$A$50000,$B59,Estação!$H$2:$H$50000,"&gt;-50"),""))</f>
        <v/>
      </c>
      <c r="K59" s="12" t="str">
        <f>IF($B59="§","",IFERROR(AVERAGEIFS(Estação!$L$2:$L$50000,Estação!$A$2:$A$50000,$B59,Estação!$L$2:$L$50000,"&gt;-50"),""))</f>
        <v/>
      </c>
      <c r="L59" s="12" t="str">
        <f>IF($B59="§","",IFERROR(AVERAGEIFS(Estação!$B$2:$B$50000,Estação!$A$2:$A$50000,$B59,Estação!$B$2:$B$50000,"&gt;-50"),""))</f>
        <v/>
      </c>
      <c r="M59" s="12" t="str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>0</v>
      </c>
      <c r="O59" s="12">
        <f>IF($B59="§","",SUMIFS(Estação!$P$2:$P$50000,Estação!$A$2:$A$50000,$B59))</f>
        <v>0</v>
      </c>
      <c r="P59" s="12">
        <f>IF($B59="§","",SUMIFS(Estação!$Q$2:$Q$50000,Estação!$A$2:$A$50000,$B59))</f>
        <v>0</v>
      </c>
      <c r="Q59" s="12" t="str">
        <f>IF($B59="§","",IFERROR(AVERAGEIFS(Estação!$AA$2:$AA$50000,Estação!$A$2:$A$50000,$B59,Estação!$AA$2:$AA$50000,"&gt;-50"),""))</f>
        <v/>
      </c>
      <c r="R59" s="12" t="str">
        <f>IF($B59="§","",IFERROR(AVERAGEIFS(Estação!$AB$2:$AB$50000,Estação!$A$2:$A$50000,$B59,Estação!$AB$2:$AB$50000,"&gt;-50"),""))</f>
        <v/>
      </c>
      <c r="S59" s="12" t="str">
        <f>IF($B59="§","",IFERROR(AVERAGEIFS(Estação!$Y$2:$Y$50000,Estação!$A$2:$A$50000,$B59,Estação!$Y$2:$Y$50000,"&gt;-50"),""))</f>
        <v/>
      </c>
      <c r="T59" s="12" t="str">
        <f>IF($B59="§","",IFERROR(AVERAGEIFS(Estação!$C$2:$C$50000,Estação!$A$2:$A$50000,$B59,Estação!$C$2:$C$50000,"&gt;-50"),""))</f>
        <v/>
      </c>
    </row>
    <row r="60" spans="1:20" x14ac:dyDescent="0.25">
      <c r="A60" s="12" t="str">
        <f>IF($C60="","",RIGHT("0"&amp;19,2)&amp;"/"&amp;RIGHT("0"&amp;MONTH($B$1),2))</f>
        <v>19/07</v>
      </c>
      <c r="B60" s="12" t="str">
        <f t="shared" si="2"/>
        <v>2026-07-19*</v>
      </c>
      <c r="C60" s="13">
        <f>IF(19&lt;=DAY(EOMONTH($B$1,0)),DATE(YEAR($B$1),MONTH($B$1),19),"")</f>
        <v>46222</v>
      </c>
      <c r="D60" s="12" t="str">
        <f>IF($B60="§","",IFERROR(AVERAGEIFS(Estação!$S$2:$S$50000,Estação!$A$2:$A$50000,$B60,Estação!$S$2:$S$50000,"&gt;-50"),""))</f>
        <v/>
      </c>
      <c r="E60" s="12" t="str">
        <f>IF($B60="§","",IFERROR(AVERAGEIFS(Estação!$T$2:$T$50000,Estação!$A$2:$A$50000,$B60,Estação!$T$2:$T$50000,"&gt;-50"),""))</f>
        <v/>
      </c>
      <c r="F60" s="12" t="str">
        <f>IF($B60="§","",IFERROR(AVERAGEIFS(Estação!$F$2:$F$50000,Estação!$A$2:$A$50000,$B60,Estação!$F$2:$F$50000,"&gt;-50"),""))</f>
        <v/>
      </c>
      <c r="G60" s="12" t="str">
        <f>IF($B60="§","",IFERROR(AVERAGEIFS(Estação!$G$2:$G$50000,Estação!$A$2:$A$50000,$B60,Estação!$G$2:$G$50000,"&gt;-50"),""))</f>
        <v/>
      </c>
      <c r="H60" s="12" t="str">
        <f>IF($B60="§","",IFERROR(AVERAGEIFS(Estação!$Z$2:$Z$50000,Estação!$A$2:$A$50000,$B60,Estação!$Z$2:$Z$50000,"&gt;-50"),""))</f>
        <v/>
      </c>
      <c r="I60" s="12" t="str">
        <f>IF($B60="§","",IFERROR(AVERAGEIFS(Estação!$E$2:$E$50000,Estação!$A$2:$A$50000,$B60,Estação!$E$2:$E$50000,"&gt;-50"),""))</f>
        <v/>
      </c>
      <c r="J60" s="12" t="str">
        <f>IF($B60="§","",IFERROR(AVERAGEIFS(Estação!$H$2:$H$50000,Estação!$A$2:$A$50000,$B60,Estação!$H$2:$H$50000,"&gt;-50"),""))</f>
        <v/>
      </c>
      <c r="K60" s="12" t="str">
        <f>IF($B60="§","",IFERROR(AVERAGEIFS(Estação!$L$2:$L$50000,Estação!$A$2:$A$50000,$B60,Estação!$L$2:$L$50000,"&gt;-50"),""))</f>
        <v/>
      </c>
      <c r="L60" s="12" t="str">
        <f>IF($B60="§","",IFERROR(AVERAGEIFS(Estação!$B$2:$B$50000,Estação!$A$2:$A$50000,$B60,Estação!$B$2:$B$50000,"&gt;-50"),""))</f>
        <v/>
      </c>
      <c r="M60" s="12" t="str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>0</v>
      </c>
      <c r="O60" s="12">
        <f>IF($B60="§","",SUMIFS(Estação!$P$2:$P$50000,Estação!$A$2:$A$50000,$B60))</f>
        <v>0</v>
      </c>
      <c r="P60" s="12">
        <f>IF($B60="§","",SUMIFS(Estação!$Q$2:$Q$50000,Estação!$A$2:$A$50000,$B60))</f>
        <v>0</v>
      </c>
      <c r="Q60" s="12" t="str">
        <f>IF($B60="§","",IFERROR(AVERAGEIFS(Estação!$AA$2:$AA$50000,Estação!$A$2:$A$50000,$B60,Estação!$AA$2:$AA$50000,"&gt;-50"),""))</f>
        <v/>
      </c>
      <c r="R60" s="12" t="str">
        <f>IF($B60="§","",IFERROR(AVERAGEIFS(Estação!$AB$2:$AB$50000,Estação!$A$2:$A$50000,$B60,Estação!$AB$2:$AB$50000,"&gt;-50"),""))</f>
        <v/>
      </c>
      <c r="S60" s="12" t="str">
        <f>IF($B60="§","",IFERROR(AVERAGEIFS(Estação!$Y$2:$Y$50000,Estação!$A$2:$A$50000,$B60,Estação!$Y$2:$Y$50000,"&gt;-50"),""))</f>
        <v/>
      </c>
      <c r="T60" s="12" t="str">
        <f>IF($B60="§","",IFERROR(AVERAGEIFS(Estação!$C$2:$C$50000,Estação!$A$2:$A$50000,$B60,Estação!$C$2:$C$50000,"&gt;-50"),""))</f>
        <v/>
      </c>
    </row>
    <row r="61" spans="1:20" x14ac:dyDescent="0.25">
      <c r="A61" s="12" t="str">
        <f>IF($C61="","",RIGHT("0"&amp;20,2)&amp;"/"&amp;RIGHT("0"&amp;MONTH($B$1),2))</f>
        <v>20/07</v>
      </c>
      <c r="B61" s="12" t="str">
        <f t="shared" si="2"/>
        <v>2026-07-20*</v>
      </c>
      <c r="C61" s="13">
        <f>IF(20&lt;=DAY(EOMONTH($B$1,0)),DATE(YEAR($B$1),MONTH($B$1),20),"")</f>
        <v>46223</v>
      </c>
      <c r="D61" s="12" t="str">
        <f>IF($B61="§","",IFERROR(AVERAGEIFS(Estação!$S$2:$S$50000,Estação!$A$2:$A$50000,$B61,Estação!$S$2:$S$50000,"&gt;-50"),""))</f>
        <v/>
      </c>
      <c r="E61" s="12" t="str">
        <f>IF($B61="§","",IFERROR(AVERAGEIFS(Estação!$T$2:$T$50000,Estação!$A$2:$A$50000,$B61,Estação!$T$2:$T$50000,"&gt;-50"),""))</f>
        <v/>
      </c>
      <c r="F61" s="12" t="str">
        <f>IF($B61="§","",IFERROR(AVERAGEIFS(Estação!$F$2:$F$50000,Estação!$A$2:$A$50000,$B61,Estação!$F$2:$F$50000,"&gt;-50"),""))</f>
        <v/>
      </c>
      <c r="G61" s="12" t="str">
        <f>IF($B61="§","",IFERROR(AVERAGEIFS(Estação!$G$2:$G$50000,Estação!$A$2:$A$50000,$B61,Estação!$G$2:$G$50000,"&gt;-50"),""))</f>
        <v/>
      </c>
      <c r="H61" s="12" t="str">
        <f>IF($B61="§","",IFERROR(AVERAGEIFS(Estação!$Z$2:$Z$50000,Estação!$A$2:$A$50000,$B61,Estação!$Z$2:$Z$50000,"&gt;-50"),""))</f>
        <v/>
      </c>
      <c r="I61" s="12" t="str">
        <f>IF($B61="§","",IFERROR(AVERAGEIFS(Estação!$E$2:$E$50000,Estação!$A$2:$A$50000,$B61,Estação!$E$2:$E$50000,"&gt;-50"),""))</f>
        <v/>
      </c>
      <c r="J61" s="12" t="str">
        <f>IF($B61="§","",IFERROR(AVERAGEIFS(Estação!$H$2:$H$50000,Estação!$A$2:$A$50000,$B61,Estação!$H$2:$H$50000,"&gt;-50"),""))</f>
        <v/>
      </c>
      <c r="K61" s="12" t="str">
        <f>IF($B61="§","",IFERROR(AVERAGEIFS(Estação!$L$2:$L$50000,Estação!$A$2:$A$50000,$B61,Estação!$L$2:$L$50000,"&gt;-50"),""))</f>
        <v/>
      </c>
      <c r="L61" s="12" t="str">
        <f>IF($B61="§","",IFERROR(AVERAGEIFS(Estação!$B$2:$B$50000,Estação!$A$2:$A$50000,$B61,Estação!$B$2:$B$50000,"&gt;-50"),""))</f>
        <v/>
      </c>
      <c r="M61" s="12" t="str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>0</v>
      </c>
      <c r="O61" s="12">
        <f>IF($B61="§","",SUMIFS(Estação!$P$2:$P$50000,Estação!$A$2:$A$50000,$B61))</f>
        <v>0</v>
      </c>
      <c r="P61" s="12">
        <f>IF($B61="§","",SUMIFS(Estação!$Q$2:$Q$50000,Estação!$A$2:$A$50000,$B61))</f>
        <v>0</v>
      </c>
      <c r="Q61" s="12" t="str">
        <f>IF($B61="§","",IFERROR(AVERAGEIFS(Estação!$AA$2:$AA$50000,Estação!$A$2:$A$50000,$B61,Estação!$AA$2:$AA$50000,"&gt;-50"),""))</f>
        <v/>
      </c>
      <c r="R61" s="12" t="str">
        <f>IF($B61="§","",IFERROR(AVERAGEIFS(Estação!$AB$2:$AB$50000,Estação!$A$2:$A$50000,$B61,Estação!$AB$2:$AB$50000,"&gt;-50"),""))</f>
        <v/>
      </c>
      <c r="S61" s="12" t="str">
        <f>IF($B61="§","",IFERROR(AVERAGEIFS(Estação!$Y$2:$Y$50000,Estação!$A$2:$A$50000,$B61,Estação!$Y$2:$Y$50000,"&gt;-50"),""))</f>
        <v/>
      </c>
      <c r="T61" s="12" t="str">
        <f>IF($B61="§","",IFERROR(AVERAGEIFS(Estação!$C$2:$C$50000,Estação!$A$2:$A$50000,$B61,Estação!$C$2:$C$50000,"&gt;-50"),""))</f>
        <v/>
      </c>
    </row>
    <row r="62" spans="1:20" x14ac:dyDescent="0.25">
      <c r="A62" s="12" t="str">
        <f>IF($C62="","",RIGHT("0"&amp;21,2)&amp;"/"&amp;RIGHT("0"&amp;MONTH($B$1),2))</f>
        <v>21/07</v>
      </c>
      <c r="B62" s="12" t="str">
        <f t="shared" si="2"/>
        <v>2026-07-21*</v>
      </c>
      <c r="C62" s="13">
        <f>IF(21&lt;=DAY(EOMONTH($B$1,0)),DATE(YEAR($B$1),MONTH($B$1),21),"")</f>
        <v>46224</v>
      </c>
      <c r="D62" s="12" t="str">
        <f>IF($B62="§","",IFERROR(AVERAGEIFS(Estação!$S$2:$S$50000,Estação!$A$2:$A$50000,$B62,Estação!$S$2:$S$50000,"&gt;-50"),""))</f>
        <v/>
      </c>
      <c r="E62" s="12" t="str">
        <f>IF($B62="§","",IFERROR(AVERAGEIFS(Estação!$T$2:$T$50000,Estação!$A$2:$A$50000,$B62,Estação!$T$2:$T$50000,"&gt;-50"),""))</f>
        <v/>
      </c>
      <c r="F62" s="12" t="str">
        <f>IF($B62="§","",IFERROR(AVERAGEIFS(Estação!$F$2:$F$50000,Estação!$A$2:$A$50000,$B62,Estação!$F$2:$F$50000,"&gt;-50"),""))</f>
        <v/>
      </c>
      <c r="G62" s="12" t="str">
        <f>IF($B62="§","",IFERROR(AVERAGEIFS(Estação!$G$2:$G$50000,Estação!$A$2:$A$50000,$B62,Estação!$G$2:$G$50000,"&gt;-50"),""))</f>
        <v/>
      </c>
      <c r="H62" s="12" t="str">
        <f>IF($B62="§","",IFERROR(AVERAGEIFS(Estação!$Z$2:$Z$50000,Estação!$A$2:$A$50000,$B62,Estação!$Z$2:$Z$50000,"&gt;-50"),""))</f>
        <v/>
      </c>
      <c r="I62" s="12" t="str">
        <f>IF($B62="§","",IFERROR(AVERAGEIFS(Estação!$E$2:$E$50000,Estação!$A$2:$A$50000,$B62,Estação!$E$2:$E$50000,"&gt;-50"),""))</f>
        <v/>
      </c>
      <c r="J62" s="12" t="str">
        <f>IF($B62="§","",IFERROR(AVERAGEIFS(Estação!$H$2:$H$50000,Estação!$A$2:$A$50000,$B62,Estação!$H$2:$H$50000,"&gt;-50"),""))</f>
        <v/>
      </c>
      <c r="K62" s="12" t="str">
        <f>IF($B62="§","",IFERROR(AVERAGEIFS(Estação!$L$2:$L$50000,Estação!$A$2:$A$50000,$B62,Estação!$L$2:$L$50000,"&gt;-50"),""))</f>
        <v/>
      </c>
      <c r="L62" s="12" t="str">
        <f>IF($B62="§","",IFERROR(AVERAGEIFS(Estação!$B$2:$B$50000,Estação!$A$2:$A$50000,$B62,Estação!$B$2:$B$50000,"&gt;-50"),""))</f>
        <v/>
      </c>
      <c r="M62" s="12" t="str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>0</v>
      </c>
      <c r="O62" s="12">
        <f>IF($B62="§","",SUMIFS(Estação!$P$2:$P$50000,Estação!$A$2:$A$50000,$B62))</f>
        <v>0</v>
      </c>
      <c r="P62" s="12">
        <f>IF($B62="§","",SUMIFS(Estação!$Q$2:$Q$50000,Estação!$A$2:$A$50000,$B62))</f>
        <v>0</v>
      </c>
      <c r="Q62" s="12" t="str">
        <f>IF($B62="§","",IFERROR(AVERAGEIFS(Estação!$AA$2:$AA$50000,Estação!$A$2:$A$50000,$B62,Estação!$AA$2:$AA$50000,"&gt;-50"),""))</f>
        <v/>
      </c>
      <c r="R62" s="12" t="str">
        <f>IF($B62="§","",IFERROR(AVERAGEIFS(Estação!$AB$2:$AB$50000,Estação!$A$2:$A$50000,$B62,Estação!$AB$2:$AB$50000,"&gt;-50"),""))</f>
        <v/>
      </c>
      <c r="S62" s="12" t="str">
        <f>IF($B62="§","",IFERROR(AVERAGEIFS(Estação!$Y$2:$Y$50000,Estação!$A$2:$A$50000,$B62,Estação!$Y$2:$Y$50000,"&gt;-50"),""))</f>
        <v/>
      </c>
      <c r="T62" s="12" t="str">
        <f>IF($B62="§","",IFERROR(AVERAGEIFS(Estação!$C$2:$C$50000,Estação!$A$2:$A$50000,$B62,Estação!$C$2:$C$50000,"&gt;-50"),""))</f>
        <v/>
      </c>
    </row>
    <row r="63" spans="1:20" x14ac:dyDescent="0.25">
      <c r="A63" s="12" t="str">
        <f>IF($C63="","",RIGHT("0"&amp;22,2)&amp;"/"&amp;RIGHT("0"&amp;MONTH($B$1),2))</f>
        <v>22/07</v>
      </c>
      <c r="B63" s="12" t="str">
        <f t="shared" si="2"/>
        <v>2026-07-22*</v>
      </c>
      <c r="C63" s="13">
        <f>IF(22&lt;=DAY(EOMONTH($B$1,0)),DATE(YEAR($B$1),MONTH($B$1),22),"")</f>
        <v>46225</v>
      </c>
      <c r="D63" s="12" t="str">
        <f>IF($B63="§","",IFERROR(AVERAGEIFS(Estação!$S$2:$S$50000,Estação!$A$2:$A$50000,$B63,Estação!$S$2:$S$50000,"&gt;-50"),""))</f>
        <v/>
      </c>
      <c r="E63" s="12" t="str">
        <f>IF($B63="§","",IFERROR(AVERAGEIFS(Estação!$T$2:$T$50000,Estação!$A$2:$A$50000,$B63,Estação!$T$2:$T$50000,"&gt;-50"),""))</f>
        <v/>
      </c>
      <c r="F63" s="12" t="str">
        <f>IF($B63="§","",IFERROR(AVERAGEIFS(Estação!$F$2:$F$50000,Estação!$A$2:$A$50000,$B63,Estação!$F$2:$F$50000,"&gt;-50"),""))</f>
        <v/>
      </c>
      <c r="G63" s="12" t="str">
        <f>IF($B63="§","",IFERROR(AVERAGEIFS(Estação!$G$2:$G$50000,Estação!$A$2:$A$50000,$B63,Estação!$G$2:$G$50000,"&gt;-50"),""))</f>
        <v/>
      </c>
      <c r="H63" s="12" t="str">
        <f>IF($B63="§","",IFERROR(AVERAGEIFS(Estação!$Z$2:$Z$50000,Estação!$A$2:$A$50000,$B63,Estação!$Z$2:$Z$50000,"&gt;-50"),""))</f>
        <v/>
      </c>
      <c r="I63" s="12" t="str">
        <f>IF($B63="§","",IFERROR(AVERAGEIFS(Estação!$E$2:$E$50000,Estação!$A$2:$A$50000,$B63,Estação!$E$2:$E$50000,"&gt;-50"),""))</f>
        <v/>
      </c>
      <c r="J63" s="12" t="str">
        <f>IF($B63="§","",IFERROR(AVERAGEIFS(Estação!$H$2:$H$50000,Estação!$A$2:$A$50000,$B63,Estação!$H$2:$H$50000,"&gt;-50"),""))</f>
        <v/>
      </c>
      <c r="K63" s="12" t="str">
        <f>IF($B63="§","",IFERROR(AVERAGEIFS(Estação!$L$2:$L$50000,Estação!$A$2:$A$50000,$B63,Estação!$L$2:$L$50000,"&gt;-50"),""))</f>
        <v/>
      </c>
      <c r="L63" s="12" t="str">
        <f>IF($B63="§","",IFERROR(AVERAGEIFS(Estação!$B$2:$B$50000,Estação!$A$2:$A$50000,$B63,Estação!$B$2:$B$50000,"&gt;-50"),""))</f>
        <v/>
      </c>
      <c r="M63" s="12" t="str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>0</v>
      </c>
      <c r="O63" s="12">
        <f>IF($B63="§","",SUMIFS(Estação!$P$2:$P$50000,Estação!$A$2:$A$50000,$B63))</f>
        <v>0</v>
      </c>
      <c r="P63" s="12">
        <f>IF($B63="§","",SUMIFS(Estação!$Q$2:$Q$50000,Estação!$A$2:$A$50000,$B63))</f>
        <v>0</v>
      </c>
      <c r="Q63" s="12" t="str">
        <f>IF($B63="§","",IFERROR(AVERAGEIFS(Estação!$AA$2:$AA$50000,Estação!$A$2:$A$50000,$B63,Estação!$AA$2:$AA$50000,"&gt;-50"),""))</f>
        <v/>
      </c>
      <c r="R63" s="12" t="str">
        <f>IF($B63="§","",IFERROR(AVERAGEIFS(Estação!$AB$2:$AB$50000,Estação!$A$2:$A$50000,$B63,Estação!$AB$2:$AB$50000,"&gt;-50"),""))</f>
        <v/>
      </c>
      <c r="S63" s="12" t="str">
        <f>IF($B63="§","",IFERROR(AVERAGEIFS(Estação!$Y$2:$Y$50000,Estação!$A$2:$A$50000,$B63,Estação!$Y$2:$Y$50000,"&gt;-50"),""))</f>
        <v/>
      </c>
      <c r="T63" s="12" t="str">
        <f>IF($B63="§","",IFERROR(AVERAGEIFS(Estação!$C$2:$C$50000,Estação!$A$2:$A$50000,$B63,Estação!$C$2:$C$50000,"&gt;-50"),""))</f>
        <v/>
      </c>
    </row>
    <row r="64" spans="1:20" x14ac:dyDescent="0.25">
      <c r="A64" s="12" t="str">
        <f>IF($C64="","",RIGHT("0"&amp;23,2)&amp;"/"&amp;RIGHT("0"&amp;MONTH($B$1),2))</f>
        <v>23/07</v>
      </c>
      <c r="B64" s="12" t="str">
        <f t="shared" si="2"/>
        <v>2026-07-23*</v>
      </c>
      <c r="C64" s="13">
        <f>IF(23&lt;=DAY(EOMONTH($B$1,0)),DATE(YEAR($B$1),MONTH($B$1),23),"")</f>
        <v>46226</v>
      </c>
      <c r="D64" s="12" t="str">
        <f>IF($B64="§","",IFERROR(AVERAGEIFS(Estação!$S$2:$S$50000,Estação!$A$2:$A$50000,$B64,Estação!$S$2:$S$50000,"&gt;-50"),""))</f>
        <v/>
      </c>
      <c r="E64" s="12" t="str">
        <f>IF($B64="§","",IFERROR(AVERAGEIFS(Estação!$T$2:$T$50000,Estação!$A$2:$A$50000,$B64,Estação!$T$2:$T$50000,"&gt;-50"),""))</f>
        <v/>
      </c>
      <c r="F64" s="12" t="str">
        <f>IF($B64="§","",IFERROR(AVERAGEIFS(Estação!$F$2:$F$50000,Estação!$A$2:$A$50000,$B64,Estação!$F$2:$F$50000,"&gt;-50"),""))</f>
        <v/>
      </c>
      <c r="G64" s="12" t="str">
        <f>IF($B64="§","",IFERROR(AVERAGEIFS(Estação!$G$2:$G$50000,Estação!$A$2:$A$50000,$B64,Estação!$G$2:$G$50000,"&gt;-50"),""))</f>
        <v/>
      </c>
      <c r="H64" s="12" t="str">
        <f>IF($B64="§","",IFERROR(AVERAGEIFS(Estação!$Z$2:$Z$50000,Estação!$A$2:$A$50000,$B64,Estação!$Z$2:$Z$50000,"&gt;-50"),""))</f>
        <v/>
      </c>
      <c r="I64" s="12" t="str">
        <f>IF($B64="§","",IFERROR(AVERAGEIFS(Estação!$E$2:$E$50000,Estação!$A$2:$A$50000,$B64,Estação!$E$2:$E$50000,"&gt;-50"),""))</f>
        <v/>
      </c>
      <c r="J64" s="12" t="str">
        <f>IF($B64="§","",IFERROR(AVERAGEIFS(Estação!$H$2:$H$50000,Estação!$A$2:$A$50000,$B64,Estação!$H$2:$H$50000,"&gt;-50"),""))</f>
        <v/>
      </c>
      <c r="K64" s="12" t="str">
        <f>IF($B64="§","",IFERROR(AVERAGEIFS(Estação!$L$2:$L$50000,Estação!$A$2:$A$50000,$B64,Estação!$L$2:$L$50000,"&gt;-50"),""))</f>
        <v/>
      </c>
      <c r="L64" s="12" t="str">
        <f>IF($B64="§","",IFERROR(AVERAGEIFS(Estação!$B$2:$B$50000,Estação!$A$2:$A$50000,$B64,Estação!$B$2:$B$50000,"&gt;-50"),""))</f>
        <v/>
      </c>
      <c r="M64" s="12" t="str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>0</v>
      </c>
      <c r="O64" s="12">
        <f>IF($B64="§","",SUMIFS(Estação!$P$2:$P$50000,Estação!$A$2:$A$50000,$B64))</f>
        <v>0</v>
      </c>
      <c r="P64" s="12">
        <f>IF($B64="§","",SUMIFS(Estação!$Q$2:$Q$50000,Estação!$A$2:$A$50000,$B64))</f>
        <v>0</v>
      </c>
      <c r="Q64" s="12" t="str">
        <f>IF($B64="§","",IFERROR(AVERAGEIFS(Estação!$AA$2:$AA$50000,Estação!$A$2:$A$50000,$B64,Estação!$AA$2:$AA$50000,"&gt;-50"),""))</f>
        <v/>
      </c>
      <c r="R64" s="12" t="str">
        <f>IF($B64="§","",IFERROR(AVERAGEIFS(Estação!$AB$2:$AB$50000,Estação!$A$2:$A$50000,$B64,Estação!$AB$2:$AB$50000,"&gt;-50"),""))</f>
        <v/>
      </c>
      <c r="S64" s="12" t="str">
        <f>IF($B64="§","",IFERROR(AVERAGEIFS(Estação!$Y$2:$Y$50000,Estação!$A$2:$A$50000,$B64,Estação!$Y$2:$Y$50000,"&gt;-50"),""))</f>
        <v/>
      </c>
      <c r="T64" s="12" t="str">
        <f>IF($B64="§","",IFERROR(AVERAGEIFS(Estação!$C$2:$C$50000,Estação!$A$2:$A$50000,$B64,Estação!$C$2:$C$50000,"&gt;-50"),""))</f>
        <v/>
      </c>
    </row>
    <row r="65" spans="1:20" x14ac:dyDescent="0.25">
      <c r="A65" s="12" t="str">
        <f>IF($C65="","",RIGHT("0"&amp;24,2)&amp;"/"&amp;RIGHT("0"&amp;MONTH($B$1),2))</f>
        <v>24/07</v>
      </c>
      <c r="B65" s="12" t="str">
        <f t="shared" si="2"/>
        <v>2026-07-24*</v>
      </c>
      <c r="C65" s="13">
        <f>IF(24&lt;=DAY(EOMONTH($B$1,0)),DATE(YEAR($B$1),MONTH($B$1),24),"")</f>
        <v>46227</v>
      </c>
      <c r="D65" s="12" t="str">
        <f>IF($B65="§","",IFERROR(AVERAGEIFS(Estação!$S$2:$S$50000,Estação!$A$2:$A$50000,$B65,Estação!$S$2:$S$50000,"&gt;-50"),""))</f>
        <v/>
      </c>
      <c r="E65" s="12" t="str">
        <f>IF($B65="§","",IFERROR(AVERAGEIFS(Estação!$T$2:$T$50000,Estação!$A$2:$A$50000,$B65,Estação!$T$2:$T$50000,"&gt;-50"),""))</f>
        <v/>
      </c>
      <c r="F65" s="12" t="str">
        <f>IF($B65="§","",IFERROR(AVERAGEIFS(Estação!$F$2:$F$50000,Estação!$A$2:$A$50000,$B65,Estação!$F$2:$F$50000,"&gt;-50"),""))</f>
        <v/>
      </c>
      <c r="G65" s="12" t="str">
        <f>IF($B65="§","",IFERROR(AVERAGEIFS(Estação!$G$2:$G$50000,Estação!$A$2:$A$50000,$B65,Estação!$G$2:$G$50000,"&gt;-50"),""))</f>
        <v/>
      </c>
      <c r="H65" s="12" t="str">
        <f>IF($B65="§","",IFERROR(AVERAGEIFS(Estação!$Z$2:$Z$50000,Estação!$A$2:$A$50000,$B65,Estação!$Z$2:$Z$50000,"&gt;-50"),""))</f>
        <v/>
      </c>
      <c r="I65" s="12" t="str">
        <f>IF($B65="§","",IFERROR(AVERAGEIFS(Estação!$E$2:$E$50000,Estação!$A$2:$A$50000,$B65,Estação!$E$2:$E$50000,"&gt;-50"),""))</f>
        <v/>
      </c>
      <c r="J65" s="12" t="str">
        <f>IF($B65="§","",IFERROR(AVERAGEIFS(Estação!$H$2:$H$50000,Estação!$A$2:$A$50000,$B65,Estação!$H$2:$H$50000,"&gt;-50"),""))</f>
        <v/>
      </c>
      <c r="K65" s="12" t="str">
        <f>IF($B65="§","",IFERROR(AVERAGEIFS(Estação!$L$2:$L$50000,Estação!$A$2:$A$50000,$B65,Estação!$L$2:$L$50000,"&gt;-50"),""))</f>
        <v/>
      </c>
      <c r="L65" s="12" t="str">
        <f>IF($B65="§","",IFERROR(AVERAGEIFS(Estação!$B$2:$B$50000,Estação!$A$2:$A$50000,$B65,Estação!$B$2:$B$50000,"&gt;-50"),""))</f>
        <v/>
      </c>
      <c r="M65" s="12" t="str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>0</v>
      </c>
      <c r="O65" s="12">
        <f>IF($B65="§","",SUMIFS(Estação!$P$2:$P$50000,Estação!$A$2:$A$50000,$B65))</f>
        <v>0</v>
      </c>
      <c r="P65" s="12">
        <f>IF($B65="§","",SUMIFS(Estação!$Q$2:$Q$50000,Estação!$A$2:$A$50000,$B65))</f>
        <v>0</v>
      </c>
      <c r="Q65" s="12" t="str">
        <f>IF($B65="§","",IFERROR(AVERAGEIFS(Estação!$AA$2:$AA$50000,Estação!$A$2:$A$50000,$B65,Estação!$AA$2:$AA$50000,"&gt;-50"),""))</f>
        <v/>
      </c>
      <c r="R65" s="12" t="str">
        <f>IF($B65="§","",IFERROR(AVERAGEIFS(Estação!$AB$2:$AB$50000,Estação!$A$2:$A$50000,$B65,Estação!$AB$2:$AB$50000,"&gt;-50"),""))</f>
        <v/>
      </c>
      <c r="S65" s="12" t="str">
        <f>IF($B65="§","",IFERROR(AVERAGEIFS(Estação!$Y$2:$Y$50000,Estação!$A$2:$A$50000,$B65,Estação!$Y$2:$Y$50000,"&gt;-50"),""))</f>
        <v/>
      </c>
      <c r="T65" s="12" t="str">
        <f>IF($B65="§","",IFERROR(AVERAGEIFS(Estação!$C$2:$C$50000,Estação!$A$2:$A$50000,$B65,Estação!$C$2:$C$50000,"&gt;-50"),""))</f>
        <v/>
      </c>
    </row>
    <row r="66" spans="1:20" x14ac:dyDescent="0.25">
      <c r="A66" s="12" t="str">
        <f>IF($C66="","",RIGHT("0"&amp;25,2)&amp;"/"&amp;RIGHT("0"&amp;MONTH($B$1),2))</f>
        <v>25/07</v>
      </c>
      <c r="B66" s="12" t="str">
        <f t="shared" si="2"/>
        <v>2026-07-25*</v>
      </c>
      <c r="C66" s="13">
        <f>IF(25&lt;=DAY(EOMONTH($B$1,0)),DATE(YEAR($B$1),MONTH($B$1),25),"")</f>
        <v>46228</v>
      </c>
      <c r="D66" s="12" t="str">
        <f>IF($B66="§","",IFERROR(AVERAGEIFS(Estação!$S$2:$S$50000,Estação!$A$2:$A$50000,$B66,Estação!$S$2:$S$50000,"&gt;-50"),""))</f>
        <v/>
      </c>
      <c r="E66" s="12" t="str">
        <f>IF($B66="§","",IFERROR(AVERAGEIFS(Estação!$T$2:$T$50000,Estação!$A$2:$A$50000,$B66,Estação!$T$2:$T$50000,"&gt;-50"),""))</f>
        <v/>
      </c>
      <c r="F66" s="12" t="str">
        <f>IF($B66="§","",IFERROR(AVERAGEIFS(Estação!$F$2:$F$50000,Estação!$A$2:$A$50000,$B66,Estação!$F$2:$F$50000,"&gt;-50"),""))</f>
        <v/>
      </c>
      <c r="G66" s="12" t="str">
        <f>IF($B66="§","",IFERROR(AVERAGEIFS(Estação!$G$2:$G$50000,Estação!$A$2:$A$50000,$B66,Estação!$G$2:$G$50000,"&gt;-50"),""))</f>
        <v/>
      </c>
      <c r="H66" s="12" t="str">
        <f>IF($B66="§","",IFERROR(AVERAGEIFS(Estação!$Z$2:$Z$50000,Estação!$A$2:$A$50000,$B66,Estação!$Z$2:$Z$50000,"&gt;-50"),""))</f>
        <v/>
      </c>
      <c r="I66" s="12" t="str">
        <f>IF($B66="§","",IFERROR(AVERAGEIFS(Estação!$E$2:$E$50000,Estação!$A$2:$A$50000,$B66,Estação!$E$2:$E$50000,"&gt;-50"),""))</f>
        <v/>
      </c>
      <c r="J66" s="12" t="str">
        <f>IF($B66="§","",IFERROR(AVERAGEIFS(Estação!$H$2:$H$50000,Estação!$A$2:$A$50000,$B66,Estação!$H$2:$H$50000,"&gt;-50"),""))</f>
        <v/>
      </c>
      <c r="K66" s="12" t="str">
        <f>IF($B66="§","",IFERROR(AVERAGEIFS(Estação!$L$2:$L$50000,Estação!$A$2:$A$50000,$B66,Estação!$L$2:$L$50000,"&gt;-50"),""))</f>
        <v/>
      </c>
      <c r="L66" s="12" t="str">
        <f>IF($B66="§","",IFERROR(AVERAGEIFS(Estação!$B$2:$B$50000,Estação!$A$2:$A$50000,$B66,Estação!$B$2:$B$50000,"&gt;-50"),""))</f>
        <v/>
      </c>
      <c r="M66" s="12" t="str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>0</v>
      </c>
      <c r="O66" s="12">
        <f>IF($B66="§","",SUMIFS(Estação!$P$2:$P$50000,Estação!$A$2:$A$50000,$B66))</f>
        <v>0</v>
      </c>
      <c r="P66" s="12">
        <f>IF($B66="§","",SUMIFS(Estação!$Q$2:$Q$50000,Estação!$A$2:$A$50000,$B66))</f>
        <v>0</v>
      </c>
      <c r="Q66" s="12" t="str">
        <f>IF($B66="§","",IFERROR(AVERAGEIFS(Estação!$AA$2:$AA$50000,Estação!$A$2:$A$50000,$B66,Estação!$AA$2:$AA$50000,"&gt;-50"),""))</f>
        <v/>
      </c>
      <c r="R66" s="12" t="str">
        <f>IF($B66="§","",IFERROR(AVERAGEIFS(Estação!$AB$2:$AB$50000,Estação!$A$2:$A$50000,$B66,Estação!$AB$2:$AB$50000,"&gt;-50"),""))</f>
        <v/>
      </c>
      <c r="S66" s="12" t="str">
        <f>IF($B66="§","",IFERROR(AVERAGEIFS(Estação!$Y$2:$Y$50000,Estação!$A$2:$A$50000,$B66,Estação!$Y$2:$Y$50000,"&gt;-50"),""))</f>
        <v/>
      </c>
      <c r="T66" s="12" t="str">
        <f>IF($B66="§","",IFERROR(AVERAGEIFS(Estação!$C$2:$C$50000,Estação!$A$2:$A$50000,$B66,Estação!$C$2:$C$50000,"&gt;-50"),""))</f>
        <v/>
      </c>
    </row>
    <row r="67" spans="1:20" x14ac:dyDescent="0.25">
      <c r="A67" s="12" t="str">
        <f>IF($C67="","",RIGHT("0"&amp;26,2)&amp;"/"&amp;RIGHT("0"&amp;MONTH($B$1),2))</f>
        <v>26/07</v>
      </c>
      <c r="B67" s="12" t="str">
        <f t="shared" si="2"/>
        <v>2026-07-26*</v>
      </c>
      <c r="C67" s="13">
        <f>IF(26&lt;=DAY(EOMONTH($B$1,0)),DATE(YEAR($B$1),MONTH($B$1),26),"")</f>
        <v>46229</v>
      </c>
      <c r="D67" s="12" t="str">
        <f>IF($B67="§","",IFERROR(AVERAGEIFS(Estação!$S$2:$S$50000,Estação!$A$2:$A$50000,$B67,Estação!$S$2:$S$50000,"&gt;-50"),""))</f>
        <v/>
      </c>
      <c r="E67" s="12" t="str">
        <f>IF($B67="§","",IFERROR(AVERAGEIFS(Estação!$T$2:$T$50000,Estação!$A$2:$A$50000,$B67,Estação!$T$2:$T$50000,"&gt;-50"),""))</f>
        <v/>
      </c>
      <c r="F67" s="12" t="str">
        <f>IF($B67="§","",IFERROR(AVERAGEIFS(Estação!$F$2:$F$50000,Estação!$A$2:$A$50000,$B67,Estação!$F$2:$F$50000,"&gt;-50"),""))</f>
        <v/>
      </c>
      <c r="G67" s="12" t="str">
        <f>IF($B67="§","",IFERROR(AVERAGEIFS(Estação!$G$2:$G$50000,Estação!$A$2:$A$50000,$B67,Estação!$G$2:$G$50000,"&gt;-50"),""))</f>
        <v/>
      </c>
      <c r="H67" s="12" t="str">
        <f>IF($B67="§","",IFERROR(AVERAGEIFS(Estação!$Z$2:$Z$50000,Estação!$A$2:$A$50000,$B67,Estação!$Z$2:$Z$50000,"&gt;-50"),""))</f>
        <v/>
      </c>
      <c r="I67" s="12" t="str">
        <f>IF($B67="§","",IFERROR(AVERAGEIFS(Estação!$E$2:$E$50000,Estação!$A$2:$A$50000,$B67,Estação!$E$2:$E$50000,"&gt;-50"),""))</f>
        <v/>
      </c>
      <c r="J67" s="12" t="str">
        <f>IF($B67="§","",IFERROR(AVERAGEIFS(Estação!$H$2:$H$50000,Estação!$A$2:$A$50000,$B67,Estação!$H$2:$H$50000,"&gt;-50"),""))</f>
        <v/>
      </c>
      <c r="K67" s="12" t="str">
        <f>IF($B67="§","",IFERROR(AVERAGEIFS(Estação!$L$2:$L$50000,Estação!$A$2:$A$50000,$B67,Estação!$L$2:$L$50000,"&gt;-50"),""))</f>
        <v/>
      </c>
      <c r="L67" s="12" t="str">
        <f>IF($B67="§","",IFERROR(AVERAGEIFS(Estação!$B$2:$B$50000,Estação!$A$2:$A$50000,$B67,Estação!$B$2:$B$50000,"&gt;-50"),""))</f>
        <v/>
      </c>
      <c r="M67" s="12" t="str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>0</v>
      </c>
      <c r="O67" s="12">
        <f>IF($B67="§","",SUMIFS(Estação!$P$2:$P$50000,Estação!$A$2:$A$50000,$B67))</f>
        <v>0</v>
      </c>
      <c r="P67" s="12">
        <f>IF($B67="§","",SUMIFS(Estação!$Q$2:$Q$50000,Estação!$A$2:$A$50000,$B67))</f>
        <v>0</v>
      </c>
      <c r="Q67" s="12" t="str">
        <f>IF($B67="§","",IFERROR(AVERAGEIFS(Estação!$AA$2:$AA$50000,Estação!$A$2:$A$50000,$B67,Estação!$AA$2:$AA$50000,"&gt;-50"),""))</f>
        <v/>
      </c>
      <c r="R67" s="12" t="str">
        <f>IF($B67="§","",IFERROR(AVERAGEIFS(Estação!$AB$2:$AB$50000,Estação!$A$2:$A$50000,$B67,Estação!$AB$2:$AB$50000,"&gt;-50"),""))</f>
        <v/>
      </c>
      <c r="S67" s="12" t="str">
        <f>IF($B67="§","",IFERROR(AVERAGEIFS(Estação!$Y$2:$Y$50000,Estação!$A$2:$A$50000,$B67,Estação!$Y$2:$Y$50000,"&gt;-50"),""))</f>
        <v/>
      </c>
      <c r="T67" s="12" t="str">
        <f>IF($B67="§","",IFERROR(AVERAGEIFS(Estação!$C$2:$C$50000,Estação!$A$2:$A$50000,$B67,Estação!$C$2:$C$50000,"&gt;-50"),""))</f>
        <v/>
      </c>
    </row>
    <row r="68" spans="1:20" x14ac:dyDescent="0.25">
      <c r="A68" s="12" t="str">
        <f>IF($C68="","",RIGHT("0"&amp;27,2)&amp;"/"&amp;RIGHT("0"&amp;MONTH($B$1),2))</f>
        <v>27/07</v>
      </c>
      <c r="B68" s="12" t="str">
        <f t="shared" si="2"/>
        <v>2026-07-27*</v>
      </c>
      <c r="C68" s="13">
        <f>IF(27&lt;=DAY(EOMONTH($B$1,0)),DATE(YEAR($B$1),MONTH($B$1),27),"")</f>
        <v>46230</v>
      </c>
      <c r="D68" s="12" t="str">
        <f>IF($B68="§","",IFERROR(AVERAGEIFS(Estação!$S$2:$S$50000,Estação!$A$2:$A$50000,$B68,Estação!$S$2:$S$50000,"&gt;-50"),""))</f>
        <v/>
      </c>
      <c r="E68" s="12" t="str">
        <f>IF($B68="§","",IFERROR(AVERAGEIFS(Estação!$T$2:$T$50000,Estação!$A$2:$A$50000,$B68,Estação!$T$2:$T$50000,"&gt;-50"),""))</f>
        <v/>
      </c>
      <c r="F68" s="12" t="str">
        <f>IF($B68="§","",IFERROR(AVERAGEIFS(Estação!$F$2:$F$50000,Estação!$A$2:$A$50000,$B68,Estação!$F$2:$F$50000,"&gt;-50"),""))</f>
        <v/>
      </c>
      <c r="G68" s="12" t="str">
        <f>IF($B68="§","",IFERROR(AVERAGEIFS(Estação!$G$2:$G$50000,Estação!$A$2:$A$50000,$B68,Estação!$G$2:$G$50000,"&gt;-50"),""))</f>
        <v/>
      </c>
      <c r="H68" s="12" t="str">
        <f>IF($B68="§","",IFERROR(AVERAGEIFS(Estação!$Z$2:$Z$50000,Estação!$A$2:$A$50000,$B68,Estação!$Z$2:$Z$50000,"&gt;-50"),""))</f>
        <v/>
      </c>
      <c r="I68" s="12" t="str">
        <f>IF($B68="§","",IFERROR(AVERAGEIFS(Estação!$E$2:$E$50000,Estação!$A$2:$A$50000,$B68,Estação!$E$2:$E$50000,"&gt;-50"),""))</f>
        <v/>
      </c>
      <c r="J68" s="12" t="str">
        <f>IF($B68="§","",IFERROR(AVERAGEIFS(Estação!$H$2:$H$50000,Estação!$A$2:$A$50000,$B68,Estação!$H$2:$H$50000,"&gt;-50"),""))</f>
        <v/>
      </c>
      <c r="K68" s="12" t="str">
        <f>IF($B68="§","",IFERROR(AVERAGEIFS(Estação!$L$2:$L$50000,Estação!$A$2:$A$50000,$B68,Estação!$L$2:$L$50000,"&gt;-50"),""))</f>
        <v/>
      </c>
      <c r="L68" s="12" t="str">
        <f>IF($B68="§","",IFERROR(AVERAGEIFS(Estação!$B$2:$B$50000,Estação!$A$2:$A$50000,$B68,Estação!$B$2:$B$50000,"&gt;-50"),""))</f>
        <v/>
      </c>
      <c r="M68" s="12" t="str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>0</v>
      </c>
      <c r="O68" s="12">
        <f>IF($B68="§","",SUMIFS(Estação!$P$2:$P$50000,Estação!$A$2:$A$50000,$B68))</f>
        <v>0</v>
      </c>
      <c r="P68" s="12">
        <f>IF($B68="§","",SUMIFS(Estação!$Q$2:$Q$50000,Estação!$A$2:$A$50000,$B68))</f>
        <v>0</v>
      </c>
      <c r="Q68" s="12" t="str">
        <f>IF($B68="§","",IFERROR(AVERAGEIFS(Estação!$AA$2:$AA$50000,Estação!$A$2:$A$50000,$B68,Estação!$AA$2:$AA$50000,"&gt;-50"),""))</f>
        <v/>
      </c>
      <c r="R68" s="12" t="str">
        <f>IF($B68="§","",IFERROR(AVERAGEIFS(Estação!$AB$2:$AB$50000,Estação!$A$2:$A$50000,$B68,Estação!$AB$2:$AB$50000,"&gt;-50"),""))</f>
        <v/>
      </c>
      <c r="S68" s="12" t="str">
        <f>IF($B68="§","",IFERROR(AVERAGEIFS(Estação!$Y$2:$Y$50000,Estação!$A$2:$A$50000,$B68,Estação!$Y$2:$Y$50000,"&gt;-50"),""))</f>
        <v/>
      </c>
      <c r="T68" s="12" t="str">
        <f>IF($B68="§","",IFERROR(AVERAGEIFS(Estação!$C$2:$C$50000,Estação!$A$2:$A$50000,$B68,Estação!$C$2:$C$50000,"&gt;-50"),""))</f>
        <v/>
      </c>
    </row>
    <row r="69" spans="1:20" x14ac:dyDescent="0.25">
      <c r="A69" s="12" t="str">
        <f>IF($C69="","",RIGHT("0"&amp;28,2)&amp;"/"&amp;RIGHT("0"&amp;MONTH($B$1),2))</f>
        <v>28/07</v>
      </c>
      <c r="B69" s="12" t="str">
        <f t="shared" si="2"/>
        <v>2026-07-28*</v>
      </c>
      <c r="C69" s="13">
        <f>IF(28&lt;=DAY(EOMONTH($B$1,0)),DATE(YEAR($B$1),MONTH($B$1),28),"")</f>
        <v>46231</v>
      </c>
      <c r="D69" s="12" t="str">
        <f>IF($B69="§","",IFERROR(AVERAGEIFS(Estação!$S$2:$S$50000,Estação!$A$2:$A$50000,$B69,Estação!$S$2:$S$50000,"&gt;-50"),""))</f>
        <v/>
      </c>
      <c r="E69" s="12" t="str">
        <f>IF($B69="§","",IFERROR(AVERAGEIFS(Estação!$T$2:$T$50000,Estação!$A$2:$A$50000,$B69,Estação!$T$2:$T$50000,"&gt;-50"),""))</f>
        <v/>
      </c>
      <c r="F69" s="12" t="str">
        <f>IF($B69="§","",IFERROR(AVERAGEIFS(Estação!$F$2:$F$50000,Estação!$A$2:$A$50000,$B69,Estação!$F$2:$F$50000,"&gt;-50"),""))</f>
        <v/>
      </c>
      <c r="G69" s="12" t="str">
        <f>IF($B69="§","",IFERROR(AVERAGEIFS(Estação!$G$2:$G$50000,Estação!$A$2:$A$50000,$B69,Estação!$G$2:$G$50000,"&gt;-50"),""))</f>
        <v/>
      </c>
      <c r="H69" s="12" t="str">
        <f>IF($B69="§","",IFERROR(AVERAGEIFS(Estação!$Z$2:$Z$50000,Estação!$A$2:$A$50000,$B69,Estação!$Z$2:$Z$50000,"&gt;-50"),""))</f>
        <v/>
      </c>
      <c r="I69" s="12" t="str">
        <f>IF($B69="§","",IFERROR(AVERAGEIFS(Estação!$E$2:$E$50000,Estação!$A$2:$A$50000,$B69,Estação!$E$2:$E$50000,"&gt;-50"),""))</f>
        <v/>
      </c>
      <c r="J69" s="12" t="str">
        <f>IF($B69="§","",IFERROR(AVERAGEIFS(Estação!$H$2:$H$50000,Estação!$A$2:$A$50000,$B69,Estação!$H$2:$H$50000,"&gt;-50"),""))</f>
        <v/>
      </c>
      <c r="K69" s="12" t="str">
        <f>IF($B69="§","",IFERROR(AVERAGEIFS(Estação!$L$2:$L$50000,Estação!$A$2:$A$50000,$B69,Estação!$L$2:$L$50000,"&gt;-50"),""))</f>
        <v/>
      </c>
      <c r="L69" s="12" t="str">
        <f>IF($B69="§","",IFERROR(AVERAGEIFS(Estação!$B$2:$B$50000,Estação!$A$2:$A$50000,$B69,Estação!$B$2:$B$50000,"&gt;-50"),""))</f>
        <v/>
      </c>
      <c r="M69" s="12" t="str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>0</v>
      </c>
      <c r="O69" s="12">
        <f>IF($B69="§","",SUMIFS(Estação!$P$2:$P$50000,Estação!$A$2:$A$50000,$B69))</f>
        <v>0</v>
      </c>
      <c r="P69" s="12">
        <f>IF($B69="§","",SUMIFS(Estação!$Q$2:$Q$50000,Estação!$A$2:$A$50000,$B69))</f>
        <v>0</v>
      </c>
      <c r="Q69" s="12" t="str">
        <f>IF($B69="§","",IFERROR(AVERAGEIFS(Estação!$AA$2:$AA$50000,Estação!$A$2:$A$50000,$B69,Estação!$AA$2:$AA$50000,"&gt;-50"),""))</f>
        <v/>
      </c>
      <c r="R69" s="12" t="str">
        <f>IF($B69="§","",IFERROR(AVERAGEIFS(Estação!$AB$2:$AB$50000,Estação!$A$2:$A$50000,$B69,Estação!$AB$2:$AB$50000,"&gt;-50"),""))</f>
        <v/>
      </c>
      <c r="S69" s="12" t="str">
        <f>IF($B69="§","",IFERROR(AVERAGEIFS(Estação!$Y$2:$Y$50000,Estação!$A$2:$A$50000,$B69,Estação!$Y$2:$Y$50000,"&gt;-50"),""))</f>
        <v/>
      </c>
      <c r="T69" s="12" t="str">
        <f>IF($B69="§","",IFERROR(AVERAGEIFS(Estação!$C$2:$C$50000,Estação!$A$2:$A$50000,$B69,Estação!$C$2:$C$50000,"&gt;-50"),""))</f>
        <v/>
      </c>
    </row>
    <row r="70" spans="1:20" x14ac:dyDescent="0.25">
      <c r="A70" s="12" t="str">
        <f>IF($C70="","",RIGHT("0"&amp;29,2)&amp;"/"&amp;RIGHT("0"&amp;MONTH($B$1),2))</f>
        <v>29/07</v>
      </c>
      <c r="B70" s="12" t="str">
        <f t="shared" si="2"/>
        <v>2026-07-29*</v>
      </c>
      <c r="C70" s="13">
        <f>IF(29&lt;=DAY(EOMONTH($B$1,0)),DATE(YEAR($B$1),MONTH($B$1),29),"")</f>
        <v>46232</v>
      </c>
      <c r="D70" s="12" t="str">
        <f>IF($B70="§","",IFERROR(AVERAGEIFS(Estação!$S$2:$S$50000,Estação!$A$2:$A$50000,$B70,Estação!$S$2:$S$50000,"&gt;-50"),""))</f>
        <v/>
      </c>
      <c r="E70" s="12" t="str">
        <f>IF($B70="§","",IFERROR(AVERAGEIFS(Estação!$T$2:$T$50000,Estação!$A$2:$A$50000,$B70,Estação!$T$2:$T$50000,"&gt;-50"),""))</f>
        <v/>
      </c>
      <c r="F70" s="12" t="str">
        <f>IF($B70="§","",IFERROR(AVERAGEIFS(Estação!$F$2:$F$50000,Estação!$A$2:$A$50000,$B70,Estação!$F$2:$F$50000,"&gt;-50"),""))</f>
        <v/>
      </c>
      <c r="G70" s="12" t="str">
        <f>IF($B70="§","",IFERROR(AVERAGEIFS(Estação!$G$2:$G$50000,Estação!$A$2:$A$50000,$B70,Estação!$G$2:$G$50000,"&gt;-50"),""))</f>
        <v/>
      </c>
      <c r="H70" s="12" t="str">
        <f>IF($B70="§","",IFERROR(AVERAGEIFS(Estação!$Z$2:$Z$50000,Estação!$A$2:$A$50000,$B70,Estação!$Z$2:$Z$50000,"&gt;-50"),""))</f>
        <v/>
      </c>
      <c r="I70" s="12" t="str">
        <f>IF($B70="§","",IFERROR(AVERAGEIFS(Estação!$E$2:$E$50000,Estação!$A$2:$A$50000,$B70,Estação!$E$2:$E$50000,"&gt;-50"),""))</f>
        <v/>
      </c>
      <c r="J70" s="12" t="str">
        <f>IF($B70="§","",IFERROR(AVERAGEIFS(Estação!$H$2:$H$50000,Estação!$A$2:$A$50000,$B70,Estação!$H$2:$H$50000,"&gt;-50"),""))</f>
        <v/>
      </c>
      <c r="K70" s="12" t="str">
        <f>IF($B70="§","",IFERROR(AVERAGEIFS(Estação!$L$2:$L$50000,Estação!$A$2:$A$50000,$B70,Estação!$L$2:$L$50000,"&gt;-50"),""))</f>
        <v/>
      </c>
      <c r="L70" s="12" t="str">
        <f>IF($B70="§","",IFERROR(AVERAGEIFS(Estação!$B$2:$B$50000,Estação!$A$2:$A$50000,$B70,Estação!$B$2:$B$50000,"&gt;-50"),""))</f>
        <v/>
      </c>
      <c r="M70" s="12" t="str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>0</v>
      </c>
      <c r="O70" s="12">
        <f>IF($B70="§","",SUMIFS(Estação!$P$2:$P$50000,Estação!$A$2:$A$50000,$B70))</f>
        <v>0</v>
      </c>
      <c r="P70" s="12">
        <f>IF($B70="§","",SUMIFS(Estação!$Q$2:$Q$50000,Estação!$A$2:$A$50000,$B70))</f>
        <v>0</v>
      </c>
      <c r="Q70" s="12" t="str">
        <f>IF($B70="§","",IFERROR(AVERAGEIFS(Estação!$AA$2:$AA$50000,Estação!$A$2:$A$50000,$B70,Estação!$AA$2:$AA$50000,"&gt;-50"),""))</f>
        <v/>
      </c>
      <c r="R70" s="12" t="str">
        <f>IF($B70="§","",IFERROR(AVERAGEIFS(Estação!$AB$2:$AB$50000,Estação!$A$2:$A$50000,$B70,Estação!$AB$2:$AB$50000,"&gt;-50"),""))</f>
        <v/>
      </c>
      <c r="S70" s="12" t="str">
        <f>IF($B70="§","",IFERROR(AVERAGEIFS(Estação!$Y$2:$Y$50000,Estação!$A$2:$A$50000,$B70,Estação!$Y$2:$Y$50000,"&gt;-50"),""))</f>
        <v/>
      </c>
      <c r="T70" s="12" t="str">
        <f>IF($B70="§","",IFERROR(AVERAGEIFS(Estação!$C$2:$C$50000,Estação!$A$2:$A$50000,$B70,Estação!$C$2:$C$50000,"&gt;-50"),""))</f>
        <v/>
      </c>
    </row>
    <row r="71" spans="1:20" x14ac:dyDescent="0.25">
      <c r="A71" s="12" t="str">
        <f>IF($C71="","",RIGHT("0"&amp;30,2)&amp;"/"&amp;RIGHT("0"&amp;MONTH($B$1),2))</f>
        <v>30/07</v>
      </c>
      <c r="B71" s="12" t="str">
        <f t="shared" si="2"/>
        <v>2026-07-30*</v>
      </c>
      <c r="C71" s="13">
        <f>IF(30&lt;=DAY(EOMONTH($B$1,0)),DATE(YEAR($B$1),MONTH($B$1),30),"")</f>
        <v>46233</v>
      </c>
      <c r="D71" s="12" t="str">
        <f>IF($B71="§","",IFERROR(AVERAGEIFS(Estação!$S$2:$S$50000,Estação!$A$2:$A$50000,$B71,Estação!$S$2:$S$50000,"&gt;-50"),""))</f>
        <v/>
      </c>
      <c r="E71" s="12" t="str">
        <f>IF($B71="§","",IFERROR(AVERAGEIFS(Estação!$T$2:$T$50000,Estação!$A$2:$A$50000,$B71,Estação!$T$2:$T$50000,"&gt;-50"),""))</f>
        <v/>
      </c>
      <c r="F71" s="12" t="str">
        <f>IF($B71="§","",IFERROR(AVERAGEIFS(Estação!$F$2:$F$50000,Estação!$A$2:$A$50000,$B71,Estação!$F$2:$F$50000,"&gt;-50"),""))</f>
        <v/>
      </c>
      <c r="G71" s="12" t="str">
        <f>IF($B71="§","",IFERROR(AVERAGEIFS(Estação!$G$2:$G$50000,Estação!$A$2:$A$50000,$B71,Estação!$G$2:$G$50000,"&gt;-50"),""))</f>
        <v/>
      </c>
      <c r="H71" s="12" t="str">
        <f>IF($B71="§","",IFERROR(AVERAGEIFS(Estação!$Z$2:$Z$50000,Estação!$A$2:$A$50000,$B71,Estação!$Z$2:$Z$50000,"&gt;-50"),""))</f>
        <v/>
      </c>
      <c r="I71" s="12" t="str">
        <f>IF($B71="§","",IFERROR(AVERAGEIFS(Estação!$E$2:$E$50000,Estação!$A$2:$A$50000,$B71,Estação!$E$2:$E$50000,"&gt;-50"),""))</f>
        <v/>
      </c>
      <c r="J71" s="12" t="str">
        <f>IF($B71="§","",IFERROR(AVERAGEIFS(Estação!$H$2:$H$50000,Estação!$A$2:$A$50000,$B71,Estação!$H$2:$H$50000,"&gt;-50"),""))</f>
        <v/>
      </c>
      <c r="K71" s="12" t="str">
        <f>IF($B71="§","",IFERROR(AVERAGEIFS(Estação!$L$2:$L$50000,Estação!$A$2:$A$50000,$B71,Estação!$L$2:$L$50000,"&gt;-50"),""))</f>
        <v/>
      </c>
      <c r="L71" s="12" t="str">
        <f>IF($B71="§","",IFERROR(AVERAGEIFS(Estação!$B$2:$B$50000,Estação!$A$2:$A$50000,$B71,Estação!$B$2:$B$50000,"&gt;-50"),""))</f>
        <v/>
      </c>
      <c r="M71" s="12" t="str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>0</v>
      </c>
      <c r="O71" s="12">
        <f>IF($B71="§","",SUMIFS(Estação!$P$2:$P$50000,Estação!$A$2:$A$50000,$B71))</f>
        <v>0</v>
      </c>
      <c r="P71" s="12">
        <f>IF($B71="§","",SUMIFS(Estação!$Q$2:$Q$50000,Estação!$A$2:$A$50000,$B71))</f>
        <v>0</v>
      </c>
      <c r="Q71" s="12" t="str">
        <f>IF($B71="§","",IFERROR(AVERAGEIFS(Estação!$AA$2:$AA$50000,Estação!$A$2:$A$50000,$B71,Estação!$AA$2:$AA$50000,"&gt;-50"),""))</f>
        <v/>
      </c>
      <c r="R71" s="12" t="str">
        <f>IF($B71="§","",IFERROR(AVERAGEIFS(Estação!$AB$2:$AB$50000,Estação!$A$2:$A$50000,$B71,Estação!$AB$2:$AB$50000,"&gt;-50"),""))</f>
        <v/>
      </c>
      <c r="S71" s="12" t="str">
        <f>IF($B71="§","",IFERROR(AVERAGEIFS(Estação!$Y$2:$Y$50000,Estação!$A$2:$A$50000,$B71,Estação!$Y$2:$Y$50000,"&gt;-50"),""))</f>
        <v/>
      </c>
      <c r="T71" s="12" t="str">
        <f>IF($B71="§","",IFERROR(AVERAGEIFS(Estação!$C$2:$C$50000,Estação!$A$2:$A$50000,$B71,Estação!$C$2:$C$50000,"&gt;-50"),""))</f>
        <v/>
      </c>
    </row>
    <row r="72" spans="1:20" x14ac:dyDescent="0.25">
      <c r="A72" s="12" t="str">
        <f>IF($C72="","",RIGHT("0"&amp;31,2)&amp;"/"&amp;RIGHT("0"&amp;MONTH($B$1),2))</f>
        <v>31/07</v>
      </c>
      <c r="B72" s="12" t="str">
        <f t="shared" si="2"/>
        <v>2026-07-31*</v>
      </c>
      <c r="C72" s="13">
        <f>IF(31&lt;=DAY(EOMONTH($B$1,0)),DATE(YEAR($B$1),MONTH($B$1),31),"")</f>
        <v>46234</v>
      </c>
      <c r="D72" s="12" t="str">
        <f>IF($B72="§","",IFERROR(AVERAGEIFS(Estação!$S$2:$S$50000,Estação!$A$2:$A$50000,$B72,Estação!$S$2:$S$50000,"&gt;-50"),""))</f>
        <v/>
      </c>
      <c r="E72" s="12" t="str">
        <f>IF($B72="§","",IFERROR(AVERAGEIFS(Estação!$T$2:$T$50000,Estação!$A$2:$A$50000,$B72,Estação!$T$2:$T$50000,"&gt;-50"),""))</f>
        <v/>
      </c>
      <c r="F72" s="12" t="str">
        <f>IF($B72="§","",IFERROR(AVERAGEIFS(Estação!$F$2:$F$50000,Estação!$A$2:$A$50000,$B72,Estação!$F$2:$F$50000,"&gt;-50"),""))</f>
        <v/>
      </c>
      <c r="G72" s="12" t="str">
        <f>IF($B72="§","",IFERROR(AVERAGEIFS(Estação!$G$2:$G$50000,Estação!$A$2:$A$50000,$B72,Estação!$G$2:$G$50000,"&gt;-50"),""))</f>
        <v/>
      </c>
      <c r="H72" s="12" t="str">
        <f>IF($B72="§","",IFERROR(AVERAGEIFS(Estação!$Z$2:$Z$50000,Estação!$A$2:$A$50000,$B72,Estação!$Z$2:$Z$50000,"&gt;-50"),""))</f>
        <v/>
      </c>
      <c r="I72" s="12" t="str">
        <f>IF($B72="§","",IFERROR(AVERAGEIFS(Estação!$E$2:$E$50000,Estação!$A$2:$A$50000,$B72,Estação!$E$2:$E$50000,"&gt;-50"),""))</f>
        <v/>
      </c>
      <c r="J72" s="12" t="str">
        <f>IF($B72="§","",IFERROR(AVERAGEIFS(Estação!$H$2:$H$50000,Estação!$A$2:$A$50000,$B72,Estação!$H$2:$H$50000,"&gt;-50"),""))</f>
        <v/>
      </c>
      <c r="K72" s="12" t="str">
        <f>IF($B72="§","",IFERROR(AVERAGEIFS(Estação!$L$2:$L$50000,Estação!$A$2:$A$50000,$B72,Estação!$L$2:$L$50000,"&gt;-50"),""))</f>
        <v/>
      </c>
      <c r="L72" s="12" t="str">
        <f>IF($B72="§","",IFERROR(AVERAGEIFS(Estação!$B$2:$B$50000,Estação!$A$2:$A$50000,$B72,Estação!$B$2:$B$50000,"&gt;-50"),""))</f>
        <v/>
      </c>
      <c r="M72" s="12" t="str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>0</v>
      </c>
      <c r="O72" s="12">
        <f>IF($B72="§","",SUMIFS(Estação!$P$2:$P$50000,Estação!$A$2:$A$50000,$B72))</f>
        <v>0</v>
      </c>
      <c r="P72" s="12">
        <f>IF($B72="§","",SUMIFS(Estação!$Q$2:$Q$50000,Estação!$A$2:$A$50000,$B72))</f>
        <v>0</v>
      </c>
      <c r="Q72" s="12" t="str">
        <f>IF($B72="§","",IFERROR(AVERAGEIFS(Estação!$AA$2:$AA$50000,Estação!$A$2:$A$50000,$B72,Estação!$AA$2:$AA$50000,"&gt;-50"),""))</f>
        <v/>
      </c>
      <c r="R72" s="12" t="str">
        <f>IF($B72="§","",IFERROR(AVERAGEIFS(Estação!$AB$2:$AB$50000,Estação!$A$2:$A$50000,$B72,Estação!$AB$2:$AB$50000,"&gt;-50"),""))</f>
        <v/>
      </c>
      <c r="S72" s="12" t="str">
        <f>IF($B72="§","",IFERROR(AVERAGEIFS(Estação!$Y$2:$Y$50000,Estação!$A$2:$A$50000,$B72,Estação!$Y$2:$Y$50000,"&gt;-50"),""))</f>
        <v/>
      </c>
      <c r="T72" s="12" t="str">
        <f>IF($B72="§","",IFERROR(AVERAGEIFS(Estação!$C$2:$C$50000,Estação!$A$2:$A$50000,$B72,Estação!$C$2:$C$50000,"&gt;-50"),""))</f>
        <v/>
      </c>
    </row>
    <row r="75" spans="1:20" x14ac:dyDescent="0.25">
      <c r="A75" s="12" t="s">
        <v>49</v>
      </c>
      <c r="B75" s="12" t="s">
        <v>50</v>
      </c>
      <c r="C75" s="12" t="s">
        <v>51</v>
      </c>
      <c r="D75" s="12" t="s">
        <v>18</v>
      </c>
      <c r="E75" s="12" t="s">
        <v>19</v>
      </c>
      <c r="F75" s="12" t="s">
        <v>5</v>
      </c>
      <c r="G75" s="12" t="s">
        <v>6</v>
      </c>
      <c r="H75" s="12" t="s">
        <v>25</v>
      </c>
      <c r="I75" s="12" t="s">
        <v>4</v>
      </c>
      <c r="J75" s="12" t="s">
        <v>7</v>
      </c>
      <c r="K75" s="12" t="s">
        <v>11</v>
      </c>
      <c r="L75" s="12" t="s">
        <v>1</v>
      </c>
      <c r="M75" s="12" t="s">
        <v>12</v>
      </c>
      <c r="N75" s="12" t="s">
        <v>14</v>
      </c>
      <c r="O75" s="12" t="s">
        <v>15</v>
      </c>
      <c r="P75" s="12" t="s">
        <v>16</v>
      </c>
      <c r="Q75" s="12" t="s">
        <v>26</v>
      </c>
      <c r="R75" s="12" t="s">
        <v>27</v>
      </c>
      <c r="S75" s="12" t="s">
        <v>24</v>
      </c>
      <c r="T75" s="12" t="s">
        <v>2</v>
      </c>
    </row>
    <row r="76" spans="1:20" x14ac:dyDescent="0.25">
      <c r="A76" s="12" t="s">
        <v>76</v>
      </c>
      <c r="B76" s="12" t="str">
        <f>YEAR($B$1)&amp;"-01*"</f>
        <v>2026-01*</v>
      </c>
      <c r="D76" s="12" t="str">
        <f>IFERROR(AVERAGEIFS(Estação!$S$2:$S$50000,Estação!$A$2:$A$50000,$B76,Estação!$S$2:$S$50000,"&gt;-50"),"")</f>
        <v/>
      </c>
      <c r="E76" s="12" t="str">
        <f>IFERROR(AVERAGEIFS(Estação!$T$2:$T$50000,Estação!$A$2:$A$50000,$B76,Estação!$T$2:$T$50000,"&gt;-50"),"")</f>
        <v/>
      </c>
      <c r="F76" s="12" t="str">
        <f>IFERROR(AVERAGEIFS(Estação!$F$2:$F$50000,Estação!$A$2:$A$50000,$B76,Estação!$F$2:$F$50000,"&gt;-50"),"")</f>
        <v/>
      </c>
      <c r="G76" s="12" t="str">
        <f>IFERROR(AVERAGEIFS(Estação!$G$2:$G$50000,Estação!$A$2:$A$50000,$B76,Estação!$G$2:$G$50000,"&gt;-50"),"")</f>
        <v/>
      </c>
      <c r="H76" s="12" t="str">
        <f>IFERROR(AVERAGEIFS(Estação!$Z$2:$Z$50000,Estação!$A$2:$A$50000,$B76,Estação!$Z$2:$Z$50000,"&gt;-50"),"")</f>
        <v/>
      </c>
      <c r="I76" s="12" t="str">
        <f>IFERROR(AVERAGEIFS(Estação!$E$2:$E$50000,Estação!$A$2:$A$50000,$B76,Estação!$E$2:$E$50000,"&gt;-50"),"")</f>
        <v/>
      </c>
      <c r="J76" s="12" t="str">
        <f>IFERROR(AVERAGEIFS(Estação!$H$2:$H$50000,Estação!$A$2:$A$50000,$B76,Estação!$H$2:$H$50000,"&gt;-50"),"")</f>
        <v/>
      </c>
      <c r="K76" s="12" t="str">
        <f>IFERROR(AVERAGEIFS(Estação!$L$2:$L$50000,Estação!$A$2:$A$50000,$B76,Estação!$L$2:$L$50000,"&gt;-50"),"")</f>
        <v/>
      </c>
      <c r="L76" s="12" t="str">
        <f>IFERROR(AVERAGEIFS(Estação!$B$2:$B$50000,Estação!$A$2:$A$50000,$B76,Estação!$B$2:$B$50000,"&gt;-50"),"")</f>
        <v/>
      </c>
      <c r="M76" s="12" t="str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>0</v>
      </c>
      <c r="O76" s="12">
        <f>IF($B76="§","",SUMIFS(Estação!$P$2:$P$50000,Estação!$A$2:$A$50000,$B76))</f>
        <v>0</v>
      </c>
      <c r="P76" s="12">
        <f>IF($B76="§","",SUMIFS(Estação!$Q$2:$Q$50000,Estação!$A$2:$A$50000,$B76))</f>
        <v>0</v>
      </c>
      <c r="Q76" s="12" t="str">
        <f>IFERROR(AVERAGEIFS(Estação!$AA$2:$AA$50000,Estação!$A$2:$A$50000,$B76,Estação!$AA$2:$AA$50000,"&gt;-50"),"")</f>
        <v/>
      </c>
      <c r="R76" s="12" t="str">
        <f>IFERROR(AVERAGEIFS(Estação!$AB$2:$AB$50000,Estação!$A$2:$A$50000,$B76,Estação!$AB$2:$AB$50000,"&gt;-50"),"")</f>
        <v/>
      </c>
      <c r="S76" s="12" t="str">
        <f>IFERROR(AVERAGEIFS(Estação!$Y$2:$Y$50000,Estação!$A$2:$A$50000,$B76,Estação!$Y$2:$Y$50000,"&gt;-50"),"")</f>
        <v/>
      </c>
      <c r="T76" s="12" t="str">
        <f>IFERROR(AVERAGEIFS(Estação!$C$2:$C$50000,Estação!$A$2:$A$50000,$B76,Estação!$C$2:$C$50000,"&gt;-50"),"")</f>
        <v/>
      </c>
    </row>
    <row r="77" spans="1:20" x14ac:dyDescent="0.25">
      <c r="A77" s="12" t="s">
        <v>77</v>
      </c>
      <c r="B77" s="12" t="str">
        <f>YEAR($B$1)&amp;"-02*"</f>
        <v>2026-02*</v>
      </c>
      <c r="D77" s="12" t="str">
        <f>IFERROR(AVERAGEIFS(Estação!$S$2:$S$50000,Estação!$A$2:$A$50000,$B77,Estação!$S$2:$S$50000,"&gt;-50"),"")</f>
        <v/>
      </c>
      <c r="E77" s="12" t="str">
        <f>IFERROR(AVERAGEIFS(Estação!$T$2:$T$50000,Estação!$A$2:$A$50000,$B77,Estação!$T$2:$T$50000,"&gt;-50"),"")</f>
        <v/>
      </c>
      <c r="F77" s="12" t="str">
        <f>IFERROR(AVERAGEIFS(Estação!$F$2:$F$50000,Estação!$A$2:$A$50000,$B77,Estação!$F$2:$F$50000,"&gt;-50"),"")</f>
        <v/>
      </c>
      <c r="G77" s="12" t="str">
        <f>IFERROR(AVERAGEIFS(Estação!$G$2:$G$50000,Estação!$A$2:$A$50000,$B77,Estação!$G$2:$G$50000,"&gt;-50"),"")</f>
        <v/>
      </c>
      <c r="H77" s="12" t="str">
        <f>IFERROR(AVERAGEIFS(Estação!$Z$2:$Z$50000,Estação!$A$2:$A$50000,$B77,Estação!$Z$2:$Z$50000,"&gt;-50"),"")</f>
        <v/>
      </c>
      <c r="I77" s="12" t="str">
        <f>IFERROR(AVERAGEIFS(Estação!$E$2:$E$50000,Estação!$A$2:$A$50000,$B77,Estação!$E$2:$E$50000,"&gt;-50"),"")</f>
        <v/>
      </c>
      <c r="J77" s="12" t="str">
        <f>IFERROR(AVERAGEIFS(Estação!$H$2:$H$50000,Estação!$A$2:$A$50000,$B77,Estação!$H$2:$H$50000,"&gt;-50"),"")</f>
        <v/>
      </c>
      <c r="K77" s="12" t="str">
        <f>IFERROR(AVERAGEIFS(Estação!$L$2:$L$50000,Estação!$A$2:$A$50000,$B77,Estação!$L$2:$L$50000,"&gt;-50"),"")</f>
        <v/>
      </c>
      <c r="L77" s="12" t="str">
        <f>IFERROR(AVERAGEIFS(Estação!$B$2:$B$50000,Estação!$A$2:$A$50000,$B77,Estação!$B$2:$B$50000,"&gt;-50"),"")</f>
        <v/>
      </c>
      <c r="M77" s="12" t="str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>0</v>
      </c>
      <c r="O77" s="12">
        <f>IF($B77="§","",SUMIFS(Estação!$P$2:$P$50000,Estação!$A$2:$A$50000,$B77))</f>
        <v>0</v>
      </c>
      <c r="P77" s="12">
        <f>IF($B77="§","",SUMIFS(Estação!$Q$2:$Q$50000,Estação!$A$2:$A$50000,$B77))</f>
        <v>0</v>
      </c>
      <c r="Q77" s="12" t="str">
        <f>IFERROR(AVERAGEIFS(Estação!$AA$2:$AA$50000,Estação!$A$2:$A$50000,$B77,Estação!$AA$2:$AA$50000,"&gt;-50"),"")</f>
        <v/>
      </c>
      <c r="R77" s="12" t="str">
        <f>IFERROR(AVERAGEIFS(Estação!$AB$2:$AB$50000,Estação!$A$2:$A$50000,$B77,Estação!$AB$2:$AB$50000,"&gt;-50"),"")</f>
        <v/>
      </c>
      <c r="S77" s="12" t="str">
        <f>IFERROR(AVERAGEIFS(Estação!$Y$2:$Y$50000,Estação!$A$2:$A$50000,$B77,Estação!$Y$2:$Y$50000,"&gt;-50"),"")</f>
        <v/>
      </c>
      <c r="T77" s="12" t="str">
        <f>IFERROR(AVERAGEIFS(Estação!$C$2:$C$50000,Estação!$A$2:$A$50000,$B77,Estação!$C$2:$C$50000,"&gt;-50"),"")</f>
        <v/>
      </c>
    </row>
    <row r="78" spans="1:20" x14ac:dyDescent="0.25">
      <c r="A78" s="12" t="s">
        <v>78</v>
      </c>
      <c r="B78" s="12" t="str">
        <f>YEAR($B$1)&amp;"-03*"</f>
        <v>2026-03*</v>
      </c>
      <c r="D78" s="12" t="str">
        <f>IFERROR(AVERAGEIFS(Estação!$S$2:$S$50000,Estação!$A$2:$A$50000,$B78,Estação!$S$2:$S$50000,"&gt;-50"),"")</f>
        <v/>
      </c>
      <c r="E78" s="12" t="str">
        <f>IFERROR(AVERAGEIFS(Estação!$T$2:$T$50000,Estação!$A$2:$A$50000,$B78,Estação!$T$2:$T$50000,"&gt;-50"),"")</f>
        <v/>
      </c>
      <c r="F78" s="12" t="str">
        <f>IFERROR(AVERAGEIFS(Estação!$F$2:$F$50000,Estação!$A$2:$A$50000,$B78,Estação!$F$2:$F$50000,"&gt;-50"),"")</f>
        <v/>
      </c>
      <c r="G78" s="12" t="str">
        <f>IFERROR(AVERAGEIFS(Estação!$G$2:$G$50000,Estação!$A$2:$A$50000,$B78,Estação!$G$2:$G$50000,"&gt;-50"),"")</f>
        <v/>
      </c>
      <c r="H78" s="12" t="str">
        <f>IFERROR(AVERAGEIFS(Estação!$Z$2:$Z$50000,Estação!$A$2:$A$50000,$B78,Estação!$Z$2:$Z$50000,"&gt;-50"),"")</f>
        <v/>
      </c>
      <c r="I78" s="12" t="str">
        <f>IFERROR(AVERAGEIFS(Estação!$E$2:$E$50000,Estação!$A$2:$A$50000,$B78,Estação!$E$2:$E$50000,"&gt;-50"),"")</f>
        <v/>
      </c>
      <c r="J78" s="12" t="str">
        <f>IFERROR(AVERAGEIFS(Estação!$H$2:$H$50000,Estação!$A$2:$A$50000,$B78,Estação!$H$2:$H$50000,"&gt;-50"),"")</f>
        <v/>
      </c>
      <c r="K78" s="12" t="str">
        <f>IFERROR(AVERAGEIFS(Estação!$L$2:$L$50000,Estação!$A$2:$A$50000,$B78,Estação!$L$2:$L$50000,"&gt;-50"),"")</f>
        <v/>
      </c>
      <c r="L78" s="12" t="str">
        <f>IFERROR(AVERAGEIFS(Estação!$B$2:$B$50000,Estação!$A$2:$A$50000,$B78,Estação!$B$2:$B$50000,"&gt;-50"),"")</f>
        <v/>
      </c>
      <c r="M78" s="12" t="str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>0</v>
      </c>
      <c r="O78" s="12">
        <f>IF($B78="§","",SUMIFS(Estação!$P$2:$P$50000,Estação!$A$2:$A$50000,$B78))</f>
        <v>0</v>
      </c>
      <c r="P78" s="12">
        <f>IF($B78="§","",SUMIFS(Estação!$Q$2:$Q$50000,Estação!$A$2:$A$50000,$B78))</f>
        <v>0</v>
      </c>
      <c r="Q78" s="12" t="str">
        <f>IFERROR(AVERAGEIFS(Estação!$AA$2:$AA$50000,Estação!$A$2:$A$50000,$B78,Estação!$AA$2:$AA$50000,"&gt;-50"),"")</f>
        <v/>
      </c>
      <c r="R78" s="12" t="str">
        <f>IFERROR(AVERAGEIFS(Estação!$AB$2:$AB$50000,Estação!$A$2:$A$50000,$B78,Estação!$AB$2:$AB$50000,"&gt;-50"),"")</f>
        <v/>
      </c>
      <c r="S78" s="12" t="str">
        <f>IFERROR(AVERAGEIFS(Estação!$Y$2:$Y$50000,Estação!$A$2:$A$50000,$B78,Estação!$Y$2:$Y$50000,"&gt;-50"),"")</f>
        <v/>
      </c>
      <c r="T78" s="12" t="str">
        <f>IFERROR(AVERAGEIFS(Estação!$C$2:$C$50000,Estação!$A$2:$A$50000,$B78,Estação!$C$2:$C$50000,"&gt;-50"),"")</f>
        <v/>
      </c>
    </row>
    <row r="79" spans="1:20" x14ac:dyDescent="0.25">
      <c r="A79" s="12" t="s">
        <v>79</v>
      </c>
      <c r="B79" s="12" t="str">
        <f>YEAR($B$1)&amp;"-04*"</f>
        <v>2026-04*</v>
      </c>
      <c r="D79" s="12" t="str">
        <f>IFERROR(AVERAGEIFS(Estação!$S$2:$S$50000,Estação!$A$2:$A$50000,$B79,Estação!$S$2:$S$50000,"&gt;-50"),"")</f>
        <v/>
      </c>
      <c r="E79" s="12" t="str">
        <f>IFERROR(AVERAGEIFS(Estação!$T$2:$T$50000,Estação!$A$2:$A$50000,$B79,Estação!$T$2:$T$50000,"&gt;-50"),"")</f>
        <v/>
      </c>
      <c r="F79" s="12" t="str">
        <f>IFERROR(AVERAGEIFS(Estação!$F$2:$F$50000,Estação!$A$2:$A$50000,$B79,Estação!$F$2:$F$50000,"&gt;-50"),"")</f>
        <v/>
      </c>
      <c r="G79" s="12" t="str">
        <f>IFERROR(AVERAGEIFS(Estação!$G$2:$G$50000,Estação!$A$2:$A$50000,$B79,Estação!$G$2:$G$50000,"&gt;-50"),"")</f>
        <v/>
      </c>
      <c r="H79" s="12" t="str">
        <f>IFERROR(AVERAGEIFS(Estação!$Z$2:$Z$50000,Estação!$A$2:$A$50000,$B79,Estação!$Z$2:$Z$50000,"&gt;-50"),"")</f>
        <v/>
      </c>
      <c r="I79" s="12" t="str">
        <f>IFERROR(AVERAGEIFS(Estação!$E$2:$E$50000,Estação!$A$2:$A$50000,$B79,Estação!$E$2:$E$50000,"&gt;-50"),"")</f>
        <v/>
      </c>
      <c r="J79" s="12" t="str">
        <f>IFERROR(AVERAGEIFS(Estação!$H$2:$H$50000,Estação!$A$2:$A$50000,$B79,Estação!$H$2:$H$50000,"&gt;-50"),"")</f>
        <v/>
      </c>
      <c r="K79" s="12" t="str">
        <f>IFERROR(AVERAGEIFS(Estação!$L$2:$L$50000,Estação!$A$2:$A$50000,$B79,Estação!$L$2:$L$50000,"&gt;-50"),"")</f>
        <v/>
      </c>
      <c r="L79" s="12" t="str">
        <f>IFERROR(AVERAGEIFS(Estação!$B$2:$B$50000,Estação!$A$2:$A$50000,$B79,Estação!$B$2:$B$50000,"&gt;-50"),"")</f>
        <v/>
      </c>
      <c r="M79" s="12" t="str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>0</v>
      </c>
      <c r="O79" s="12">
        <f>IF($B79="§","",SUMIFS(Estação!$P$2:$P$50000,Estação!$A$2:$A$50000,$B79))</f>
        <v>0</v>
      </c>
      <c r="P79" s="12">
        <f>IF($B79="§","",SUMIFS(Estação!$Q$2:$Q$50000,Estação!$A$2:$A$50000,$B79))</f>
        <v>0</v>
      </c>
      <c r="Q79" s="12" t="str">
        <f>IFERROR(AVERAGEIFS(Estação!$AA$2:$AA$50000,Estação!$A$2:$A$50000,$B79,Estação!$AA$2:$AA$50000,"&gt;-50"),"")</f>
        <v/>
      </c>
      <c r="R79" s="12" t="str">
        <f>IFERROR(AVERAGEIFS(Estação!$AB$2:$AB$50000,Estação!$A$2:$A$50000,$B79,Estação!$AB$2:$AB$50000,"&gt;-50"),"")</f>
        <v/>
      </c>
      <c r="S79" s="12" t="str">
        <f>IFERROR(AVERAGEIFS(Estação!$Y$2:$Y$50000,Estação!$A$2:$A$50000,$B79,Estação!$Y$2:$Y$50000,"&gt;-50"),"")</f>
        <v/>
      </c>
      <c r="T79" s="12" t="str">
        <f>IFERROR(AVERAGEIFS(Estação!$C$2:$C$50000,Estação!$A$2:$A$50000,$B79,Estação!$C$2:$C$50000,"&gt;-50"),"")</f>
        <v/>
      </c>
    </row>
    <row r="80" spans="1:20" x14ac:dyDescent="0.25">
      <c r="A80" s="12" t="s">
        <v>80</v>
      </c>
      <c r="B80" s="12" t="str">
        <f>YEAR($B$1)&amp;"-05*"</f>
        <v>2026-05*</v>
      </c>
      <c r="D80" s="12" t="str">
        <f>IFERROR(AVERAGEIFS(Estação!$S$2:$S$50000,Estação!$A$2:$A$50000,$B80,Estação!$S$2:$S$50000,"&gt;-50"),"")</f>
        <v/>
      </c>
      <c r="E80" s="12" t="str">
        <f>IFERROR(AVERAGEIFS(Estação!$T$2:$T$50000,Estação!$A$2:$A$50000,$B80,Estação!$T$2:$T$50000,"&gt;-50"),"")</f>
        <v/>
      </c>
      <c r="F80" s="12" t="str">
        <f>IFERROR(AVERAGEIFS(Estação!$F$2:$F$50000,Estação!$A$2:$A$50000,$B80,Estação!$F$2:$F$50000,"&gt;-50"),"")</f>
        <v/>
      </c>
      <c r="G80" s="12" t="str">
        <f>IFERROR(AVERAGEIFS(Estação!$G$2:$G$50000,Estação!$A$2:$A$50000,$B80,Estação!$G$2:$G$50000,"&gt;-50"),"")</f>
        <v/>
      </c>
      <c r="H80" s="12" t="str">
        <f>IFERROR(AVERAGEIFS(Estação!$Z$2:$Z$50000,Estação!$A$2:$A$50000,$B80,Estação!$Z$2:$Z$50000,"&gt;-50"),"")</f>
        <v/>
      </c>
      <c r="I80" s="12" t="str">
        <f>IFERROR(AVERAGEIFS(Estação!$E$2:$E$50000,Estação!$A$2:$A$50000,$B80,Estação!$E$2:$E$50000,"&gt;-50"),"")</f>
        <v/>
      </c>
      <c r="J80" s="12" t="str">
        <f>IFERROR(AVERAGEIFS(Estação!$H$2:$H$50000,Estação!$A$2:$A$50000,$B80,Estação!$H$2:$H$50000,"&gt;-50"),"")</f>
        <v/>
      </c>
      <c r="K80" s="12" t="str">
        <f>IFERROR(AVERAGEIFS(Estação!$L$2:$L$50000,Estação!$A$2:$A$50000,$B80,Estação!$L$2:$L$50000,"&gt;-50"),"")</f>
        <v/>
      </c>
      <c r="L80" s="12" t="str">
        <f>IFERROR(AVERAGEIFS(Estação!$B$2:$B$50000,Estação!$A$2:$A$50000,$B80,Estação!$B$2:$B$50000,"&gt;-50"),"")</f>
        <v/>
      </c>
      <c r="M80" s="12" t="str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>0</v>
      </c>
      <c r="O80" s="12">
        <f>IF($B80="§","",SUMIFS(Estação!$P$2:$P$50000,Estação!$A$2:$A$50000,$B80))</f>
        <v>0</v>
      </c>
      <c r="P80" s="12">
        <f>IF($B80="§","",SUMIFS(Estação!$Q$2:$Q$50000,Estação!$A$2:$A$50000,$B80))</f>
        <v>0</v>
      </c>
      <c r="Q80" s="12" t="str">
        <f>IFERROR(AVERAGEIFS(Estação!$AA$2:$AA$50000,Estação!$A$2:$A$50000,$B80,Estação!$AA$2:$AA$50000,"&gt;-50"),"")</f>
        <v/>
      </c>
      <c r="R80" s="12" t="str">
        <f>IFERROR(AVERAGEIFS(Estação!$AB$2:$AB$50000,Estação!$A$2:$A$50000,$B80,Estação!$AB$2:$AB$50000,"&gt;-50"),"")</f>
        <v/>
      </c>
      <c r="S80" s="12" t="str">
        <f>IFERROR(AVERAGEIFS(Estação!$Y$2:$Y$50000,Estação!$A$2:$A$50000,$B80,Estação!$Y$2:$Y$50000,"&gt;-50"),"")</f>
        <v/>
      </c>
      <c r="T80" s="12" t="str">
        <f>IFERROR(AVERAGEIFS(Estação!$C$2:$C$50000,Estação!$A$2:$A$50000,$B80,Estação!$C$2:$C$50000,"&gt;-50"),"")</f>
        <v/>
      </c>
    </row>
    <row r="81" spans="1:20" x14ac:dyDescent="0.25">
      <c r="A81" s="12" t="s">
        <v>81</v>
      </c>
      <c r="B81" s="12" t="str">
        <f>YEAR($B$1)&amp;"-06*"</f>
        <v>2026-06*</v>
      </c>
      <c r="D81" s="12" t="str">
        <f>IFERROR(AVERAGEIFS(Estação!$S$2:$S$50000,Estação!$A$2:$A$50000,$B81,Estação!$S$2:$S$50000,"&gt;-50"),"")</f>
        <v/>
      </c>
      <c r="E81" s="12" t="str">
        <f>IFERROR(AVERAGEIFS(Estação!$T$2:$T$50000,Estação!$A$2:$A$50000,$B81,Estação!$T$2:$T$50000,"&gt;-50"),"")</f>
        <v/>
      </c>
      <c r="F81" s="12" t="str">
        <f>IFERROR(AVERAGEIFS(Estação!$F$2:$F$50000,Estação!$A$2:$A$50000,$B81,Estação!$F$2:$F$50000,"&gt;-50"),"")</f>
        <v/>
      </c>
      <c r="G81" s="12" t="str">
        <f>IFERROR(AVERAGEIFS(Estação!$G$2:$G$50000,Estação!$A$2:$A$50000,$B81,Estação!$G$2:$G$50000,"&gt;-50"),"")</f>
        <v/>
      </c>
      <c r="H81" s="12" t="str">
        <f>IFERROR(AVERAGEIFS(Estação!$Z$2:$Z$50000,Estação!$A$2:$A$50000,$B81,Estação!$Z$2:$Z$50000,"&gt;-50"),"")</f>
        <v/>
      </c>
      <c r="I81" s="12" t="str">
        <f>IFERROR(AVERAGEIFS(Estação!$E$2:$E$50000,Estação!$A$2:$A$50000,$B81,Estação!$E$2:$E$50000,"&gt;-50"),"")</f>
        <v/>
      </c>
      <c r="J81" s="12" t="str">
        <f>IFERROR(AVERAGEIFS(Estação!$H$2:$H$50000,Estação!$A$2:$A$50000,$B81,Estação!$H$2:$H$50000,"&gt;-50"),"")</f>
        <v/>
      </c>
      <c r="K81" s="12" t="str">
        <f>IFERROR(AVERAGEIFS(Estação!$L$2:$L$50000,Estação!$A$2:$A$50000,$B81,Estação!$L$2:$L$50000,"&gt;-50"),"")</f>
        <v/>
      </c>
      <c r="L81" s="12" t="str">
        <f>IFERROR(AVERAGEIFS(Estação!$B$2:$B$50000,Estação!$A$2:$A$50000,$B81,Estação!$B$2:$B$50000,"&gt;-50"),"")</f>
        <v/>
      </c>
      <c r="M81" s="12" t="str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>0</v>
      </c>
      <c r="O81" s="12">
        <f>IF($B81="§","",SUMIFS(Estação!$P$2:$P$50000,Estação!$A$2:$A$50000,$B81))</f>
        <v>0</v>
      </c>
      <c r="P81" s="12">
        <f>IF($B81="§","",SUMIFS(Estação!$Q$2:$Q$50000,Estação!$A$2:$A$50000,$B81))</f>
        <v>0</v>
      </c>
      <c r="Q81" s="12" t="str">
        <f>IFERROR(AVERAGEIFS(Estação!$AA$2:$AA$50000,Estação!$A$2:$A$50000,$B81,Estação!$AA$2:$AA$50000,"&gt;-50"),"")</f>
        <v/>
      </c>
      <c r="R81" s="12" t="str">
        <f>IFERROR(AVERAGEIFS(Estação!$AB$2:$AB$50000,Estação!$A$2:$A$50000,$B81,Estação!$AB$2:$AB$50000,"&gt;-50"),"")</f>
        <v/>
      </c>
      <c r="S81" s="12" t="str">
        <f>IFERROR(AVERAGEIFS(Estação!$Y$2:$Y$50000,Estação!$A$2:$A$50000,$B81,Estação!$Y$2:$Y$50000,"&gt;-50"),"")</f>
        <v/>
      </c>
      <c r="T81" s="12" t="str">
        <f>IFERROR(AVERAGEIFS(Estação!$C$2:$C$50000,Estação!$A$2:$A$50000,$B81,Estação!$C$2:$C$50000,"&gt;-50"),"")</f>
        <v/>
      </c>
    </row>
    <row r="82" spans="1:20" x14ac:dyDescent="0.25">
      <c r="A82" s="12" t="s">
        <v>82</v>
      </c>
      <c r="B82" s="12" t="str">
        <f>YEAR($B$1)&amp;"-07*"</f>
        <v>2026-07*</v>
      </c>
      <c r="D82" s="12">
        <f>IFERROR(AVERAGEIFS(Estação!$S$2:$S$50000,Estação!$A$2:$A$50000,$B82,Estação!$S$2:$S$50000,"&gt;-50"),"")</f>
        <v>15.300000000000002</v>
      </c>
      <c r="E82" s="12">
        <f>IFERROR(AVERAGEIFS(Estação!$T$2:$T$50000,Estação!$A$2:$A$50000,$B82,Estação!$T$2:$T$50000,"&gt;-50"),"")</f>
        <v>14.700000000000001</v>
      </c>
      <c r="F82" s="12">
        <f>IFERROR(AVERAGEIFS(Estação!$F$2:$F$50000,Estação!$A$2:$A$50000,$B82,Estação!$F$2:$F$50000,"&gt;-50"),"")</f>
        <v>15.4</v>
      </c>
      <c r="G82" s="12">
        <f>IFERROR(AVERAGEIFS(Estação!$G$2:$G$50000,Estação!$A$2:$A$50000,$B82,Estação!$G$2:$G$50000,"&gt;-50"),"")</f>
        <v>14.700000000000001</v>
      </c>
      <c r="H82" s="12">
        <f>IFERROR(AVERAGEIFS(Estação!$Z$2:$Z$50000,Estação!$A$2:$A$50000,$B82,Estação!$Z$2:$Z$50000,"&gt;-50"),"")</f>
        <v>9.6999999999999993</v>
      </c>
      <c r="I82" s="12">
        <f>IFERROR(AVERAGEIFS(Estação!$E$2:$E$50000,Estação!$A$2:$A$50000,$B82,Estação!$E$2:$E$50000,"&gt;-50"),"")</f>
        <v>13.833333333333334</v>
      </c>
      <c r="J82" s="12">
        <f>IFERROR(AVERAGEIFS(Estação!$H$2:$H$50000,Estação!$A$2:$A$50000,$B82,Estação!$H$2:$H$50000,"&gt;-50"),"")</f>
        <v>95</v>
      </c>
      <c r="K82" s="12">
        <f>IFERROR(AVERAGEIFS(Estação!$L$2:$L$50000,Estação!$A$2:$A$50000,$B82,Estação!$L$2:$L$50000,"&gt;-50"),"")</f>
        <v>86.333333333333329</v>
      </c>
      <c r="L82" s="12">
        <f>IFERROR(AVERAGEIFS(Estação!$B$2:$B$50000,Estação!$A$2:$A$50000,$B82,Estação!$B$2:$B$50000,"&gt;-50"),"")</f>
        <v>995</v>
      </c>
      <c r="M82" s="12">
        <f>IFERROR(AVERAGEIFS(Estação!$M$2:$M$50000,Estação!$A$2:$A$50000,$B82,Estação!$M$2:$M$50000,"&gt;-50"),"")</f>
        <v>995</v>
      </c>
      <c r="N82" s="12">
        <f>IF($B82="§","",SUMIFS(Estação!$O$2:$O$50000,Estação!$A$2:$A$50000,$B82))</f>
        <v>0</v>
      </c>
      <c r="O82" s="12">
        <f>IF($B82="§","",SUMIFS(Estação!$P$2:$P$50000,Estação!$A$2:$A$50000,$B82))</f>
        <v>35.099999999999994</v>
      </c>
      <c r="P82" s="12">
        <f>IF($B82="§","",SUMIFS(Estação!$Q$2:$Q$50000,Estação!$A$2:$A$50000,$B82))</f>
        <v>1.4</v>
      </c>
      <c r="Q82" s="12">
        <f>IFERROR(AVERAGEIFS(Estação!$AA$2:$AA$50000,Estação!$A$2:$A$50000,$B82,Estação!$AA$2:$AA$50000,"&gt;-50"),"")</f>
        <v>4.4333333333333336</v>
      </c>
      <c r="R82" s="12">
        <f>IFERROR(AVERAGEIFS(Estação!$AB$2:$AB$50000,Estação!$A$2:$A$50000,$B82,Estação!$AB$2:$AB$50000,"&gt;-50"),"")</f>
        <v>5.5</v>
      </c>
      <c r="S82" s="12">
        <f>IFERROR(AVERAGEIFS(Estação!$Y$2:$Y$50000,Estação!$A$2:$A$50000,$B82,Estação!$Y$2:$Y$50000,"&gt;-50"),"")</f>
        <v>0</v>
      </c>
      <c r="T82" s="12">
        <f>IFERROR(AVERAGEIFS(Estação!$C$2:$C$50000,Estação!$A$2:$A$50000,$B82,Estação!$C$2:$C$50000,"&gt;-50"),"")</f>
        <v>100</v>
      </c>
    </row>
    <row r="83" spans="1:20" x14ac:dyDescent="0.25">
      <c r="A83" s="12" t="s">
        <v>83</v>
      </c>
      <c r="B83" s="12" t="str">
        <f>YEAR($B$1)&amp;"-08*"</f>
        <v>2026-08*</v>
      </c>
      <c r="D83" s="12" t="str">
        <f>IFERROR(AVERAGEIFS(Estação!$S$2:$S$50000,Estação!$A$2:$A$50000,$B83,Estação!$S$2:$S$50000,"&gt;-50"),"")</f>
        <v/>
      </c>
      <c r="E83" s="12" t="str">
        <f>IFERROR(AVERAGEIFS(Estação!$T$2:$T$50000,Estação!$A$2:$A$50000,$B83,Estação!$T$2:$T$50000,"&gt;-50"),"")</f>
        <v/>
      </c>
      <c r="F83" s="12" t="str">
        <f>IFERROR(AVERAGEIFS(Estação!$F$2:$F$50000,Estação!$A$2:$A$50000,$B83,Estação!$F$2:$F$50000,"&gt;-50"),"")</f>
        <v/>
      </c>
      <c r="G83" s="12" t="str">
        <f>IFERROR(AVERAGEIFS(Estação!$G$2:$G$50000,Estação!$A$2:$A$50000,$B83,Estação!$G$2:$G$50000,"&gt;-50"),"")</f>
        <v/>
      </c>
      <c r="H83" s="12" t="str">
        <f>IFERROR(AVERAGEIFS(Estação!$Z$2:$Z$50000,Estação!$A$2:$A$50000,$B83,Estação!$Z$2:$Z$50000,"&gt;-50"),"")</f>
        <v/>
      </c>
      <c r="I83" s="12" t="str">
        <f>IFERROR(AVERAGEIFS(Estação!$E$2:$E$50000,Estação!$A$2:$A$50000,$B83,Estação!$E$2:$E$50000,"&gt;-50"),"")</f>
        <v/>
      </c>
      <c r="J83" s="12" t="str">
        <f>IFERROR(AVERAGEIFS(Estação!$H$2:$H$50000,Estação!$A$2:$A$50000,$B83,Estação!$H$2:$H$50000,"&gt;-50"),"")</f>
        <v/>
      </c>
      <c r="K83" s="12" t="str">
        <f>IFERROR(AVERAGEIFS(Estação!$L$2:$L$50000,Estação!$A$2:$A$50000,$B83,Estação!$L$2:$L$50000,"&gt;-50"),"")</f>
        <v/>
      </c>
      <c r="L83" s="12" t="str">
        <f>IFERROR(AVERAGEIFS(Estação!$B$2:$B$50000,Estação!$A$2:$A$50000,$B83,Estação!$B$2:$B$50000,"&gt;-50"),"")</f>
        <v/>
      </c>
      <c r="M83" s="12" t="str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>0</v>
      </c>
      <c r="O83" s="12">
        <f>IF($B83="§","",SUMIFS(Estação!$P$2:$P$50000,Estação!$A$2:$A$50000,$B83))</f>
        <v>0</v>
      </c>
      <c r="P83" s="12">
        <f>IF($B83="§","",SUMIFS(Estação!$Q$2:$Q$50000,Estação!$A$2:$A$50000,$B83))</f>
        <v>0</v>
      </c>
      <c r="Q83" s="12" t="str">
        <f>IFERROR(AVERAGEIFS(Estação!$AA$2:$AA$50000,Estação!$A$2:$A$50000,$B83,Estação!$AA$2:$AA$50000,"&gt;-50"),"")</f>
        <v/>
      </c>
      <c r="R83" s="12" t="str">
        <f>IFERROR(AVERAGEIFS(Estação!$AB$2:$AB$50000,Estação!$A$2:$A$50000,$B83,Estação!$AB$2:$AB$50000,"&gt;-50"),"")</f>
        <v/>
      </c>
      <c r="S83" s="12" t="str">
        <f>IFERROR(AVERAGEIFS(Estação!$Y$2:$Y$50000,Estação!$A$2:$A$50000,$B83,Estação!$Y$2:$Y$50000,"&gt;-50"),"")</f>
        <v/>
      </c>
      <c r="T83" s="12" t="str">
        <f>IFERROR(AVERAGEIFS(Estação!$C$2:$C$50000,Estação!$A$2:$A$50000,$B83,Estação!$C$2:$C$50000,"&gt;-50"),"")</f>
        <v/>
      </c>
    </row>
    <row r="84" spans="1:20" x14ac:dyDescent="0.25">
      <c r="A84" s="12" t="s">
        <v>84</v>
      </c>
      <c r="B84" s="12" t="str">
        <f>YEAR($B$1)&amp;"-09*"</f>
        <v>2026-09*</v>
      </c>
      <c r="D84" s="12" t="str">
        <f>IFERROR(AVERAGEIFS(Estação!$S$2:$S$50000,Estação!$A$2:$A$50000,$B84,Estação!$S$2:$S$50000,"&gt;-50"),"")</f>
        <v/>
      </c>
      <c r="E84" s="12" t="str">
        <f>IFERROR(AVERAGEIFS(Estação!$T$2:$T$50000,Estação!$A$2:$A$50000,$B84,Estação!$T$2:$T$50000,"&gt;-50"),"")</f>
        <v/>
      </c>
      <c r="F84" s="12" t="str">
        <f>IFERROR(AVERAGEIFS(Estação!$F$2:$F$50000,Estação!$A$2:$A$50000,$B84,Estação!$F$2:$F$50000,"&gt;-50"),"")</f>
        <v/>
      </c>
      <c r="G84" s="12" t="str">
        <f>IFERROR(AVERAGEIFS(Estação!$G$2:$G$50000,Estação!$A$2:$A$50000,$B84,Estação!$G$2:$G$50000,"&gt;-50"),"")</f>
        <v/>
      </c>
      <c r="H84" s="12" t="str">
        <f>IFERROR(AVERAGEIFS(Estação!$Z$2:$Z$50000,Estação!$A$2:$A$50000,$B84,Estação!$Z$2:$Z$50000,"&gt;-50"),"")</f>
        <v/>
      </c>
      <c r="I84" s="12" t="str">
        <f>IFERROR(AVERAGEIFS(Estação!$E$2:$E$50000,Estação!$A$2:$A$50000,$B84,Estação!$E$2:$E$50000,"&gt;-50"),"")</f>
        <v/>
      </c>
      <c r="J84" s="12" t="str">
        <f>IFERROR(AVERAGEIFS(Estação!$H$2:$H$50000,Estação!$A$2:$A$50000,$B84,Estação!$H$2:$H$50000,"&gt;-50"),"")</f>
        <v/>
      </c>
      <c r="K84" s="12" t="str">
        <f>IFERROR(AVERAGEIFS(Estação!$L$2:$L$50000,Estação!$A$2:$A$50000,$B84,Estação!$L$2:$L$50000,"&gt;-50"),"")</f>
        <v/>
      </c>
      <c r="L84" s="12" t="str">
        <f>IFERROR(AVERAGEIFS(Estação!$B$2:$B$50000,Estação!$A$2:$A$50000,$B84,Estação!$B$2:$B$50000,"&gt;-50"),"")</f>
        <v/>
      </c>
      <c r="M84" s="12" t="str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>0</v>
      </c>
      <c r="O84" s="12">
        <f>IF($B84="§","",SUMIFS(Estação!$P$2:$P$50000,Estação!$A$2:$A$50000,$B84))</f>
        <v>0</v>
      </c>
      <c r="P84" s="12">
        <f>IF($B84="§","",SUMIFS(Estação!$Q$2:$Q$50000,Estação!$A$2:$A$50000,$B84))</f>
        <v>0</v>
      </c>
      <c r="Q84" s="12" t="str">
        <f>IFERROR(AVERAGEIFS(Estação!$AA$2:$AA$50000,Estação!$A$2:$A$50000,$B84,Estação!$AA$2:$AA$50000,"&gt;-50"),"")</f>
        <v/>
      </c>
      <c r="R84" s="12" t="str">
        <f>IFERROR(AVERAGEIFS(Estação!$AB$2:$AB$50000,Estação!$A$2:$A$50000,$B84,Estação!$AB$2:$AB$50000,"&gt;-50"),"")</f>
        <v/>
      </c>
      <c r="S84" s="12" t="str">
        <f>IFERROR(AVERAGEIFS(Estação!$Y$2:$Y$50000,Estação!$A$2:$A$50000,$B84,Estação!$Y$2:$Y$50000,"&gt;-50"),"")</f>
        <v/>
      </c>
      <c r="T84" s="12" t="str">
        <f>IFERROR(AVERAGEIFS(Estação!$C$2:$C$50000,Estação!$A$2:$A$50000,$B84,Estação!$C$2:$C$50000,"&gt;-50"),"")</f>
        <v/>
      </c>
    </row>
    <row r="85" spans="1:20" x14ac:dyDescent="0.25">
      <c r="A85" s="12" t="s">
        <v>85</v>
      </c>
      <c r="B85" s="12" t="str">
        <f>YEAR($B$1)&amp;"-10*"</f>
        <v>2026-10*</v>
      </c>
      <c r="D85" s="12" t="str">
        <f>IFERROR(AVERAGEIFS(Estação!$S$2:$S$50000,Estação!$A$2:$A$50000,$B85,Estação!$S$2:$S$50000,"&gt;-50"),"")</f>
        <v/>
      </c>
      <c r="E85" s="12" t="str">
        <f>IFERROR(AVERAGEIFS(Estação!$T$2:$T$50000,Estação!$A$2:$A$50000,$B85,Estação!$T$2:$T$50000,"&gt;-50"),"")</f>
        <v/>
      </c>
      <c r="F85" s="12" t="str">
        <f>IFERROR(AVERAGEIFS(Estação!$F$2:$F$50000,Estação!$A$2:$A$50000,$B85,Estação!$F$2:$F$50000,"&gt;-50"),"")</f>
        <v/>
      </c>
      <c r="G85" s="12" t="str">
        <f>IFERROR(AVERAGEIFS(Estação!$G$2:$G$50000,Estação!$A$2:$A$50000,$B85,Estação!$G$2:$G$50000,"&gt;-50"),"")</f>
        <v/>
      </c>
      <c r="H85" s="12" t="str">
        <f>IFERROR(AVERAGEIFS(Estação!$Z$2:$Z$50000,Estação!$A$2:$A$50000,$B85,Estação!$Z$2:$Z$50000,"&gt;-50"),"")</f>
        <v/>
      </c>
      <c r="I85" s="12" t="str">
        <f>IFERROR(AVERAGEIFS(Estação!$E$2:$E$50000,Estação!$A$2:$A$50000,$B85,Estação!$E$2:$E$50000,"&gt;-50"),"")</f>
        <v/>
      </c>
      <c r="J85" s="12" t="str">
        <f>IFERROR(AVERAGEIFS(Estação!$H$2:$H$50000,Estação!$A$2:$A$50000,$B85,Estação!$H$2:$H$50000,"&gt;-50"),"")</f>
        <v/>
      </c>
      <c r="K85" s="12" t="str">
        <f>IFERROR(AVERAGEIFS(Estação!$L$2:$L$50000,Estação!$A$2:$A$50000,$B85,Estação!$L$2:$L$50000,"&gt;-50"),"")</f>
        <v/>
      </c>
      <c r="L85" s="12" t="str">
        <f>IFERROR(AVERAGEIFS(Estação!$B$2:$B$50000,Estação!$A$2:$A$50000,$B85,Estação!$B$2:$B$50000,"&gt;-50"),"")</f>
        <v/>
      </c>
      <c r="M85" s="12" t="str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>0</v>
      </c>
      <c r="O85" s="12">
        <f>IF($B85="§","",SUMIFS(Estação!$P$2:$P$50000,Estação!$A$2:$A$50000,$B85))</f>
        <v>0</v>
      </c>
      <c r="P85" s="12">
        <f>IF($B85="§","",SUMIFS(Estação!$Q$2:$Q$50000,Estação!$A$2:$A$50000,$B85))</f>
        <v>0</v>
      </c>
      <c r="Q85" s="12" t="str">
        <f>IFERROR(AVERAGEIFS(Estação!$AA$2:$AA$50000,Estação!$A$2:$A$50000,$B85,Estação!$AA$2:$AA$50000,"&gt;-50"),"")</f>
        <v/>
      </c>
      <c r="R85" s="12" t="str">
        <f>IFERROR(AVERAGEIFS(Estação!$AB$2:$AB$50000,Estação!$A$2:$A$50000,$B85,Estação!$AB$2:$AB$50000,"&gt;-50"),"")</f>
        <v/>
      </c>
      <c r="S85" s="12" t="str">
        <f>IFERROR(AVERAGEIFS(Estação!$Y$2:$Y$50000,Estação!$A$2:$A$50000,$B85,Estação!$Y$2:$Y$50000,"&gt;-50"),"")</f>
        <v/>
      </c>
      <c r="T85" s="12" t="str">
        <f>IFERROR(AVERAGEIFS(Estação!$C$2:$C$50000,Estação!$A$2:$A$50000,$B85,Estação!$C$2:$C$50000,"&gt;-50"),"")</f>
        <v/>
      </c>
    </row>
    <row r="86" spans="1:20" x14ac:dyDescent="0.25">
      <c r="A86" s="12" t="s">
        <v>86</v>
      </c>
      <c r="B86" s="12" t="str">
        <f>YEAR($B$1)&amp;"-11*"</f>
        <v>2026-11*</v>
      </c>
      <c r="D86" s="12" t="str">
        <f>IFERROR(AVERAGEIFS(Estação!$S$2:$S$50000,Estação!$A$2:$A$50000,$B86,Estação!$S$2:$S$50000,"&gt;-50"),"")</f>
        <v/>
      </c>
      <c r="E86" s="12" t="str">
        <f>IFERROR(AVERAGEIFS(Estação!$T$2:$T$50000,Estação!$A$2:$A$50000,$B86,Estação!$T$2:$T$50000,"&gt;-50"),"")</f>
        <v/>
      </c>
      <c r="F86" s="12" t="str">
        <f>IFERROR(AVERAGEIFS(Estação!$F$2:$F$50000,Estação!$A$2:$A$50000,$B86,Estação!$F$2:$F$50000,"&gt;-50"),"")</f>
        <v/>
      </c>
      <c r="G86" s="12" t="str">
        <f>IFERROR(AVERAGEIFS(Estação!$G$2:$G$50000,Estação!$A$2:$A$50000,$B86,Estação!$G$2:$G$50000,"&gt;-50"),"")</f>
        <v/>
      </c>
      <c r="H86" s="12" t="str">
        <f>IFERROR(AVERAGEIFS(Estação!$Z$2:$Z$50000,Estação!$A$2:$A$50000,$B86,Estação!$Z$2:$Z$50000,"&gt;-50"),"")</f>
        <v/>
      </c>
      <c r="I86" s="12" t="str">
        <f>IFERROR(AVERAGEIFS(Estação!$E$2:$E$50000,Estação!$A$2:$A$50000,$B86,Estação!$E$2:$E$50000,"&gt;-50"),"")</f>
        <v/>
      </c>
      <c r="J86" s="12" t="str">
        <f>IFERROR(AVERAGEIFS(Estação!$H$2:$H$50000,Estação!$A$2:$A$50000,$B86,Estação!$H$2:$H$50000,"&gt;-50"),"")</f>
        <v/>
      </c>
      <c r="K86" s="12" t="str">
        <f>IFERROR(AVERAGEIFS(Estação!$L$2:$L$50000,Estação!$A$2:$A$50000,$B86,Estação!$L$2:$L$50000,"&gt;-50"),"")</f>
        <v/>
      </c>
      <c r="L86" s="12" t="str">
        <f>IFERROR(AVERAGEIFS(Estação!$B$2:$B$50000,Estação!$A$2:$A$50000,$B86,Estação!$B$2:$B$50000,"&gt;-50"),"")</f>
        <v/>
      </c>
      <c r="M86" s="12" t="str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>0</v>
      </c>
      <c r="O86" s="12">
        <f>IF($B86="§","",SUMIFS(Estação!$P$2:$P$50000,Estação!$A$2:$A$50000,$B86))</f>
        <v>0</v>
      </c>
      <c r="P86" s="12">
        <f>IF($B86="§","",SUMIFS(Estação!$Q$2:$Q$50000,Estação!$A$2:$A$50000,$B86))</f>
        <v>0</v>
      </c>
      <c r="Q86" s="12" t="str">
        <f>IFERROR(AVERAGEIFS(Estação!$AA$2:$AA$50000,Estação!$A$2:$A$50000,$B86,Estação!$AA$2:$AA$50000,"&gt;-50"),"")</f>
        <v/>
      </c>
      <c r="R86" s="12" t="str">
        <f>IFERROR(AVERAGEIFS(Estação!$AB$2:$AB$50000,Estação!$A$2:$A$50000,$B86,Estação!$AB$2:$AB$50000,"&gt;-50"),"")</f>
        <v/>
      </c>
      <c r="S86" s="12" t="str">
        <f>IFERROR(AVERAGEIFS(Estação!$Y$2:$Y$50000,Estação!$A$2:$A$50000,$B86,Estação!$Y$2:$Y$50000,"&gt;-50"),"")</f>
        <v/>
      </c>
      <c r="T86" s="12" t="str">
        <f>IFERROR(AVERAGEIFS(Estação!$C$2:$C$50000,Estação!$A$2:$A$50000,$B86,Estação!$C$2:$C$50000,"&gt;-50"),"")</f>
        <v/>
      </c>
    </row>
    <row r="87" spans="1:20" x14ac:dyDescent="0.25">
      <c r="A87" s="12" t="s">
        <v>87</v>
      </c>
      <c r="B87" s="12" t="str">
        <f>YEAR($B$1)&amp;"-12*"</f>
        <v>2026-12*</v>
      </c>
      <c r="D87" s="12" t="str">
        <f>IFERROR(AVERAGEIFS(Estação!$S$2:$S$50000,Estação!$A$2:$A$50000,$B87,Estação!$S$2:$S$50000,"&gt;-50"),"")</f>
        <v/>
      </c>
      <c r="E87" s="12" t="str">
        <f>IFERROR(AVERAGEIFS(Estação!$T$2:$T$50000,Estação!$A$2:$A$50000,$B87,Estação!$T$2:$T$50000,"&gt;-50"),"")</f>
        <v/>
      </c>
      <c r="F87" s="12" t="str">
        <f>IFERROR(AVERAGEIFS(Estação!$F$2:$F$50000,Estação!$A$2:$A$50000,$B87,Estação!$F$2:$F$50000,"&gt;-50"),"")</f>
        <v/>
      </c>
      <c r="G87" s="12" t="str">
        <f>IFERROR(AVERAGEIFS(Estação!$G$2:$G$50000,Estação!$A$2:$A$50000,$B87,Estação!$G$2:$G$50000,"&gt;-50"),"")</f>
        <v/>
      </c>
      <c r="H87" s="12" t="str">
        <f>IFERROR(AVERAGEIFS(Estação!$Z$2:$Z$50000,Estação!$A$2:$A$50000,$B87,Estação!$Z$2:$Z$50000,"&gt;-50"),"")</f>
        <v/>
      </c>
      <c r="I87" s="12" t="str">
        <f>IFERROR(AVERAGEIFS(Estação!$E$2:$E$50000,Estação!$A$2:$A$50000,$B87,Estação!$E$2:$E$50000,"&gt;-50"),"")</f>
        <v/>
      </c>
      <c r="J87" s="12" t="str">
        <f>IFERROR(AVERAGEIFS(Estação!$H$2:$H$50000,Estação!$A$2:$A$50000,$B87,Estação!$H$2:$H$50000,"&gt;-50"),"")</f>
        <v/>
      </c>
      <c r="K87" s="12" t="str">
        <f>IFERROR(AVERAGEIFS(Estação!$L$2:$L$50000,Estação!$A$2:$A$50000,$B87,Estação!$L$2:$L$50000,"&gt;-50"),"")</f>
        <v/>
      </c>
      <c r="L87" s="12" t="str">
        <f>IFERROR(AVERAGEIFS(Estação!$B$2:$B$50000,Estação!$A$2:$A$50000,$B87,Estação!$B$2:$B$50000,"&gt;-50"),"")</f>
        <v/>
      </c>
      <c r="M87" s="12" t="str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>0</v>
      </c>
      <c r="O87" s="12">
        <f>IF($B87="§","",SUMIFS(Estação!$P$2:$P$50000,Estação!$A$2:$A$50000,$B87))</f>
        <v>0</v>
      </c>
      <c r="P87" s="12">
        <f>IF($B87="§","",SUMIFS(Estação!$Q$2:$Q$50000,Estação!$A$2:$A$50000,$B87))</f>
        <v>0</v>
      </c>
      <c r="Q87" s="12" t="str">
        <f>IFERROR(AVERAGEIFS(Estação!$AA$2:$AA$50000,Estação!$A$2:$A$50000,$B87,Estação!$AA$2:$AA$50000,"&gt;-50"),"")</f>
        <v/>
      </c>
      <c r="R87" s="12" t="str">
        <f>IFERROR(AVERAGEIFS(Estação!$AB$2:$AB$50000,Estação!$A$2:$A$50000,$B87,Estação!$AB$2:$AB$50000,"&gt;-50"),"")</f>
        <v/>
      </c>
      <c r="S87" s="12" t="str">
        <f>IFERROR(AVERAGEIFS(Estação!$Y$2:$Y$50000,Estação!$A$2:$A$50000,$B87,Estação!$Y$2:$Y$50000,"&gt;-50"),"")</f>
        <v/>
      </c>
      <c r="T87" s="12" t="str">
        <f>IFERROR(AVERAGEIFS(Estação!$C$2:$C$50000,Estação!$A$2:$A$50000,$B87,Estação!$C$2:$C$50000,"&gt;-50"),"")</f>
        <v/>
      </c>
    </row>
    <row r="90" spans="1:20" x14ac:dyDescent="0.25">
      <c r="A90" s="12" t="s">
        <v>49</v>
      </c>
      <c r="B90" s="12" t="s">
        <v>50</v>
      </c>
      <c r="C90" s="12" t="s">
        <v>51</v>
      </c>
      <c r="D90" s="12" t="s">
        <v>18</v>
      </c>
      <c r="E90" s="12" t="s">
        <v>19</v>
      </c>
      <c r="F90" s="12" t="s">
        <v>5</v>
      </c>
      <c r="G90" s="12" t="s">
        <v>6</v>
      </c>
      <c r="H90" s="12" t="s">
        <v>25</v>
      </c>
      <c r="I90" s="12" t="s">
        <v>4</v>
      </c>
      <c r="J90" s="12" t="s">
        <v>7</v>
      </c>
      <c r="K90" s="12" t="s">
        <v>11</v>
      </c>
      <c r="L90" s="12" t="s">
        <v>1</v>
      </c>
      <c r="M90" s="12" t="s">
        <v>12</v>
      </c>
      <c r="N90" s="12" t="s">
        <v>14</v>
      </c>
      <c r="O90" s="12" t="s">
        <v>15</v>
      </c>
      <c r="P90" s="12" t="s">
        <v>16</v>
      </c>
      <c r="Q90" s="12" t="s">
        <v>26</v>
      </c>
      <c r="R90" s="12" t="s">
        <v>27</v>
      </c>
      <c r="S90" s="12" t="s">
        <v>24</v>
      </c>
      <c r="T90" s="12" t="s">
        <v>2</v>
      </c>
    </row>
    <row r="91" spans="1:20" x14ac:dyDescent="0.25">
      <c r="A91" s="12" t="str">
        <f t="shared" ref="A91:A126" si="3">IF($C91&gt;DATE(YEAR($B$1),MONTH($B$1),1),"",RIGHT("0"&amp;MONTH($C91),2)&amp;"/"&amp;YEAR($C91))</f>
        <v>07/2026</v>
      </c>
      <c r="B91" s="12" t="str">
        <f t="shared" ref="B91:B126" si="4">IF($C91&gt;DATE(YEAR($B$1),MONTH($B$1),1),"§",YEAR($C91)&amp;"-"&amp;RIGHT("0"&amp;MONTH($C91),2)&amp;"*")</f>
        <v>2026-07*</v>
      </c>
      <c r="C91" s="12">
        <f>EDATE(DATE(YEAR($C$1),MONTH($C$1),1),0)</f>
        <v>46204</v>
      </c>
      <c r="D91" s="12">
        <f>IF($B91="§","",IFERROR(AVERAGEIFS(Estação!$S$2:$S$50000,Estação!$A$2:$A$50000,$B91,Estação!$S$2:$S$50000,"&gt;-50"),""))</f>
        <v>15.300000000000002</v>
      </c>
      <c r="E91" s="12">
        <f>IF($B91="§","",IFERROR(AVERAGEIFS(Estação!$T$2:$T$50000,Estação!$A$2:$A$50000,$B91,Estação!$T$2:$T$50000,"&gt;-50"),""))</f>
        <v>14.700000000000001</v>
      </c>
      <c r="F91" s="12">
        <f>IF($B91="§","",IFERROR(AVERAGEIFS(Estação!$F$2:$F$50000,Estação!$A$2:$A$50000,$B91,Estação!$F$2:$F$50000,"&gt;-50"),""))</f>
        <v>15.4</v>
      </c>
      <c r="G91" s="12">
        <f>IF($B91="§","",IFERROR(AVERAGEIFS(Estação!$G$2:$G$50000,Estação!$A$2:$A$50000,$B91,Estação!$G$2:$G$50000,"&gt;-50"),""))</f>
        <v>14.700000000000001</v>
      </c>
      <c r="H91" s="12">
        <f>IF($B91="§","",IFERROR(AVERAGEIFS(Estação!$Z$2:$Z$50000,Estação!$A$2:$A$50000,$B91,Estação!$Z$2:$Z$50000,"&gt;-50"),""))</f>
        <v>9.6999999999999993</v>
      </c>
      <c r="I91" s="12">
        <f>IF($B91="§","",IFERROR(AVERAGEIFS(Estação!$E$2:$E$50000,Estação!$A$2:$A$50000,$B91,Estação!$E$2:$E$50000,"&gt;-50"),""))</f>
        <v>13.833333333333334</v>
      </c>
      <c r="J91" s="12">
        <f>IF($B91="§","",IFERROR(AVERAGEIFS(Estação!$H$2:$H$50000,Estação!$A$2:$A$50000,$B91,Estação!$H$2:$H$50000,"&gt;-50"),""))</f>
        <v>95</v>
      </c>
      <c r="K91" s="12">
        <f>IF($B91="§","",IFERROR(AVERAGEIFS(Estação!$L$2:$L$50000,Estação!$A$2:$A$50000,$B91,Estação!$L$2:$L$50000,"&gt;-50"),""))</f>
        <v>86.333333333333329</v>
      </c>
      <c r="L91" s="12">
        <f>IF($B91="§","",IFERROR(AVERAGEIFS(Estação!$B$2:$B$50000,Estação!$A$2:$A$50000,$B91,Estação!$B$2:$B$50000,"&gt;-50"),""))</f>
        <v>995</v>
      </c>
      <c r="M91" s="12">
        <f>IF($B91="§","",IFERROR(AVERAGEIFS(Estação!$M$2:$M$50000,Estação!$A$2:$A$50000,$B91,Estação!$M$2:$M$50000,"&gt;-50"),""))</f>
        <v>995</v>
      </c>
      <c r="N91" s="12">
        <f>IF($B91="§","",SUMIFS(Estação!$O$2:$O$50000,Estação!$A$2:$A$50000,$B91))</f>
        <v>0</v>
      </c>
      <c r="O91" s="12">
        <f>IF($B91="§","",SUMIFS(Estação!$P$2:$P$50000,Estação!$A$2:$A$50000,$B91))</f>
        <v>35.099999999999994</v>
      </c>
      <c r="P91" s="12">
        <f>IF($B91="§","",SUMIFS(Estação!$Q$2:$Q$50000,Estação!$A$2:$A$50000,$B91))</f>
        <v>1.4</v>
      </c>
      <c r="Q91" s="12">
        <f>IF($B91="§","",IFERROR(AVERAGEIFS(Estação!$AA$2:$AA$50000,Estação!$A$2:$A$50000,$B91,Estação!$AA$2:$AA$50000,"&gt;-50"),""))</f>
        <v>4.4333333333333336</v>
      </c>
      <c r="R91" s="12">
        <f>IF($B91="§","",IFERROR(AVERAGEIFS(Estação!$AB$2:$AB$50000,Estação!$A$2:$A$50000,$B91,Estação!$AB$2:$AB$50000,"&gt;-50"),""))</f>
        <v>5.5</v>
      </c>
      <c r="S91" s="12">
        <f>IF($B91="§","",IFERROR(AVERAGEIFS(Estação!$Y$2:$Y$50000,Estação!$A$2:$A$50000,$B91,Estação!$Y$2:$Y$50000,"&gt;-50"),""))</f>
        <v>0</v>
      </c>
      <c r="T91" s="12">
        <f>IF($B91="§","",IFERROR(AVERAGEIFS(Estação!$C$2:$C$50000,Estação!$A$2:$A$50000,$B91,Estação!$C$2:$C$50000,"&gt;-50"),""))</f>
        <v>100</v>
      </c>
    </row>
    <row r="92" spans="1:20" x14ac:dyDescent="0.25">
      <c r="A92" s="12" t="str">
        <f t="shared" si="3"/>
        <v/>
      </c>
      <c r="B92" s="12" t="str">
        <f t="shared" si="4"/>
        <v>§</v>
      </c>
      <c r="C92" s="12">
        <f>EDATE(DATE(YEAR($C$1),MONTH($C$1),1),1)</f>
        <v>46235</v>
      </c>
      <c r="D92" s="12" t="str">
        <f>IF($B92="§","",IFERROR(AVERAGEIFS(Estação!$S$2:$S$50000,Estação!$A$2:$A$50000,$B92,Estação!$S$2:$S$50000,"&gt;-50"),""))</f>
        <v/>
      </c>
      <c r="E92" s="12" t="str">
        <f>IF($B92="§","",IFERROR(AVERAGEIFS(Estação!$T$2:$T$50000,Estação!$A$2:$A$50000,$B92,Estação!$T$2:$T$50000,"&gt;-50"),""))</f>
        <v/>
      </c>
      <c r="F92" s="12" t="str">
        <f>IF($B92="§","",IFERROR(AVERAGEIFS(Estação!$F$2:$F$50000,Estação!$A$2:$A$50000,$B92,Estação!$F$2:$F$50000,"&gt;-50"),""))</f>
        <v/>
      </c>
      <c r="G92" s="12" t="str">
        <f>IF($B92="§","",IFERROR(AVERAGEIFS(Estação!$G$2:$G$50000,Estação!$A$2:$A$50000,$B92,Estação!$G$2:$G$50000,"&gt;-50"),""))</f>
        <v/>
      </c>
      <c r="H92" s="12" t="str">
        <f>IF($B92="§","",IFERROR(AVERAGEIFS(Estação!$Z$2:$Z$50000,Estação!$A$2:$A$50000,$B92,Estação!$Z$2:$Z$50000,"&gt;-50"),""))</f>
        <v/>
      </c>
      <c r="I92" s="12" t="str">
        <f>IF($B92="§","",IFERROR(AVERAGEIFS(Estação!$E$2:$E$50000,Estação!$A$2:$A$50000,$B92,Estação!$E$2:$E$50000,"&gt;-50"),""))</f>
        <v/>
      </c>
      <c r="J92" s="12" t="str">
        <f>IF($B92="§","",IFERROR(AVERAGEIFS(Estação!$H$2:$H$50000,Estação!$A$2:$A$50000,$B92,Estação!$H$2:$H$50000,"&gt;-50"),""))</f>
        <v/>
      </c>
      <c r="K92" s="12" t="str">
        <f>IF($B92="§","",IFERROR(AVERAGEIFS(Estação!$L$2:$L$50000,Estação!$A$2:$A$50000,$B92,Estação!$L$2:$L$50000,"&gt;-50"),""))</f>
        <v/>
      </c>
      <c r="L92" s="12" t="str">
        <f>IF($B92="§","",IFERROR(AVERAGEIFS(Estação!$B$2:$B$50000,Estação!$A$2:$A$50000,$B92,Estação!$B$2:$B$50000,"&gt;-50"),""))</f>
        <v/>
      </c>
      <c r="M92" s="12" t="str">
        <f>IF($B92="§","",IFERROR(AVERAGEIFS(Estação!$M$2:$M$50000,Estação!$A$2:$A$50000,$B92,Estação!$M$2:$M$50000,"&gt;-50"),""))</f>
        <v/>
      </c>
      <c r="N92" s="12" t="str">
        <f>IF($B92="§","",N(N91)+SUMIFS(Estação!$O$2:$O$50000,Estação!$A$2:$A$50000,$B92))</f>
        <v/>
      </c>
      <c r="O92" s="12" t="str">
        <f>IF($B92="§","",N(O91)+SUMIFS(Estação!$P$2:$P$50000,Estação!$A$2:$A$50000,$B92))</f>
        <v/>
      </c>
      <c r="P92" s="12" t="str">
        <f>IF($B92="§","",N(P91)+SUMIFS(Estação!$Q$2:$Q$50000,Estação!$A$2:$A$50000,$B92))</f>
        <v/>
      </c>
      <c r="Q92" s="12" t="str">
        <f>IF($B92="§","",IFERROR(AVERAGEIFS(Estação!$AA$2:$AA$50000,Estação!$A$2:$A$50000,$B92,Estação!$AA$2:$AA$50000,"&gt;-50"),""))</f>
        <v/>
      </c>
      <c r="R92" s="12" t="str">
        <f>IF($B92="§","",IFERROR(AVERAGEIFS(Estação!$AB$2:$AB$50000,Estação!$A$2:$A$50000,$B92,Estação!$AB$2:$AB$50000,"&gt;-50"),""))</f>
        <v/>
      </c>
      <c r="S92" s="12" t="str">
        <f>IF($B92="§","",IFERROR(AVERAGEIFS(Estação!$Y$2:$Y$50000,Estação!$A$2:$A$50000,$B92,Estação!$Y$2:$Y$50000,"&gt;-50"),""))</f>
        <v/>
      </c>
      <c r="T92" s="12" t="str">
        <f>IF($B92="§","",IFERROR(AVERAGEIFS(Estação!$C$2:$C$50000,Estação!$A$2:$A$50000,$B92,Estação!$C$2:$C$50000,"&gt;-50"),""))</f>
        <v/>
      </c>
    </row>
    <row r="93" spans="1:20" x14ac:dyDescent="0.25">
      <c r="A93" s="12" t="str">
        <f t="shared" si="3"/>
        <v/>
      </c>
      <c r="B93" s="12" t="str">
        <f t="shared" si="4"/>
        <v>§</v>
      </c>
      <c r="C93" s="12">
        <f>EDATE(DATE(YEAR($C$1),MONTH($C$1),1),2)</f>
        <v>46266</v>
      </c>
      <c r="D93" s="12" t="str">
        <f>IF($B93="§","",IFERROR(AVERAGEIFS(Estação!$S$2:$S$50000,Estação!$A$2:$A$50000,$B93,Estação!$S$2:$S$50000,"&gt;-50"),""))</f>
        <v/>
      </c>
      <c r="E93" s="12" t="str">
        <f>IF($B93="§","",IFERROR(AVERAGEIFS(Estação!$T$2:$T$50000,Estação!$A$2:$A$50000,$B93,Estação!$T$2:$T$50000,"&gt;-50"),""))</f>
        <v/>
      </c>
      <c r="F93" s="12" t="str">
        <f>IF($B93="§","",IFERROR(AVERAGEIFS(Estação!$F$2:$F$50000,Estação!$A$2:$A$50000,$B93,Estação!$F$2:$F$50000,"&gt;-50"),""))</f>
        <v/>
      </c>
      <c r="G93" s="12" t="str">
        <f>IF($B93="§","",IFERROR(AVERAGEIFS(Estação!$G$2:$G$50000,Estação!$A$2:$A$50000,$B93,Estação!$G$2:$G$50000,"&gt;-50"),""))</f>
        <v/>
      </c>
      <c r="H93" s="12" t="str">
        <f>IF($B93="§","",IFERROR(AVERAGEIFS(Estação!$Z$2:$Z$50000,Estação!$A$2:$A$50000,$B93,Estação!$Z$2:$Z$50000,"&gt;-50"),""))</f>
        <v/>
      </c>
      <c r="I93" s="12" t="str">
        <f>IF($B93="§","",IFERROR(AVERAGEIFS(Estação!$E$2:$E$50000,Estação!$A$2:$A$50000,$B93,Estação!$E$2:$E$50000,"&gt;-50"),""))</f>
        <v/>
      </c>
      <c r="J93" s="12" t="str">
        <f>IF($B93="§","",IFERROR(AVERAGEIFS(Estação!$H$2:$H$50000,Estação!$A$2:$A$50000,$B93,Estação!$H$2:$H$50000,"&gt;-50"),""))</f>
        <v/>
      </c>
      <c r="K93" s="12" t="str">
        <f>IF($B93="§","",IFERROR(AVERAGEIFS(Estação!$L$2:$L$50000,Estação!$A$2:$A$50000,$B93,Estação!$L$2:$L$50000,"&gt;-50"),""))</f>
        <v/>
      </c>
      <c r="L93" s="12" t="str">
        <f>IF($B93="§","",IFERROR(AVERAGEIFS(Estação!$B$2:$B$50000,Estação!$A$2:$A$50000,$B93,Estação!$B$2:$B$50000,"&gt;-50"),""))</f>
        <v/>
      </c>
      <c r="M93" s="12" t="str">
        <f>IF($B93="§","",IFERROR(AVERAGEIFS(Estação!$M$2:$M$50000,Estação!$A$2:$A$50000,$B93,Estação!$M$2:$M$50000,"&gt;-50"),""))</f>
        <v/>
      </c>
      <c r="N93" s="12" t="str">
        <f>IF($B93="§","",N(N92)+SUMIFS(Estação!$O$2:$O$50000,Estação!$A$2:$A$50000,$B93))</f>
        <v/>
      </c>
      <c r="O93" s="12" t="str">
        <f>IF($B93="§","",N(O92)+SUMIFS(Estação!$P$2:$P$50000,Estação!$A$2:$A$50000,$B93))</f>
        <v/>
      </c>
      <c r="P93" s="12" t="str">
        <f>IF($B93="§","",N(P92)+SUMIFS(Estação!$Q$2:$Q$50000,Estação!$A$2:$A$50000,$B93))</f>
        <v/>
      </c>
      <c r="Q93" s="12" t="str">
        <f>IF($B93="§","",IFERROR(AVERAGEIFS(Estação!$AA$2:$AA$50000,Estação!$A$2:$A$50000,$B93,Estação!$AA$2:$AA$50000,"&gt;-50"),""))</f>
        <v/>
      </c>
      <c r="R93" s="12" t="str">
        <f>IF($B93="§","",IFERROR(AVERAGEIFS(Estação!$AB$2:$AB$50000,Estação!$A$2:$A$50000,$B93,Estação!$AB$2:$AB$50000,"&gt;-50"),""))</f>
        <v/>
      </c>
      <c r="S93" s="12" t="str">
        <f>IF($B93="§","",IFERROR(AVERAGEIFS(Estação!$Y$2:$Y$50000,Estação!$A$2:$A$50000,$B93,Estação!$Y$2:$Y$50000,"&gt;-50"),""))</f>
        <v/>
      </c>
      <c r="T93" s="12" t="str">
        <f>IF($B93="§","",IFERROR(AVERAGEIFS(Estação!$C$2:$C$50000,Estação!$A$2:$A$50000,$B93,Estação!$C$2:$C$50000,"&gt;-50"),""))</f>
        <v/>
      </c>
    </row>
    <row r="94" spans="1:20" x14ac:dyDescent="0.25">
      <c r="A94" s="12" t="str">
        <f t="shared" si="3"/>
        <v/>
      </c>
      <c r="B94" s="12" t="str">
        <f t="shared" si="4"/>
        <v>§</v>
      </c>
      <c r="C94" s="12">
        <f>EDATE(DATE(YEAR($C$1),MONTH($C$1),1),3)</f>
        <v>46296</v>
      </c>
      <c r="D94" s="12" t="str">
        <f>IF($B94="§","",IFERROR(AVERAGEIFS(Estação!$S$2:$S$50000,Estação!$A$2:$A$50000,$B94,Estação!$S$2:$S$50000,"&gt;-50"),""))</f>
        <v/>
      </c>
      <c r="E94" s="12" t="str">
        <f>IF($B94="§","",IFERROR(AVERAGEIFS(Estação!$T$2:$T$50000,Estação!$A$2:$A$50000,$B94,Estação!$T$2:$T$50000,"&gt;-50"),""))</f>
        <v/>
      </c>
      <c r="F94" s="12" t="str">
        <f>IF($B94="§","",IFERROR(AVERAGEIFS(Estação!$F$2:$F$50000,Estação!$A$2:$A$50000,$B94,Estação!$F$2:$F$50000,"&gt;-50"),""))</f>
        <v/>
      </c>
      <c r="G94" s="12" t="str">
        <f>IF($B94="§","",IFERROR(AVERAGEIFS(Estação!$G$2:$G$50000,Estação!$A$2:$A$50000,$B94,Estação!$G$2:$G$50000,"&gt;-50"),""))</f>
        <v/>
      </c>
      <c r="H94" s="12" t="str">
        <f>IF($B94="§","",IFERROR(AVERAGEIFS(Estação!$Z$2:$Z$50000,Estação!$A$2:$A$50000,$B94,Estação!$Z$2:$Z$50000,"&gt;-50"),""))</f>
        <v/>
      </c>
      <c r="I94" s="12" t="str">
        <f>IF($B94="§","",IFERROR(AVERAGEIFS(Estação!$E$2:$E$50000,Estação!$A$2:$A$50000,$B94,Estação!$E$2:$E$50000,"&gt;-50"),""))</f>
        <v/>
      </c>
      <c r="J94" s="12" t="str">
        <f>IF($B94="§","",IFERROR(AVERAGEIFS(Estação!$H$2:$H$50000,Estação!$A$2:$A$50000,$B94,Estação!$H$2:$H$50000,"&gt;-50"),""))</f>
        <v/>
      </c>
      <c r="K94" s="12" t="str">
        <f>IF($B94="§","",IFERROR(AVERAGEIFS(Estação!$L$2:$L$50000,Estação!$A$2:$A$50000,$B94,Estação!$L$2:$L$50000,"&gt;-50"),""))</f>
        <v/>
      </c>
      <c r="L94" s="12" t="str">
        <f>IF($B94="§","",IFERROR(AVERAGEIFS(Estação!$B$2:$B$50000,Estação!$A$2:$A$50000,$B94,Estação!$B$2:$B$50000,"&gt;-50"),""))</f>
        <v/>
      </c>
      <c r="M94" s="12" t="str">
        <f>IF($B94="§","",IFERROR(AVERAGEIFS(Estação!$M$2:$M$50000,Estação!$A$2:$A$50000,$B94,Estação!$M$2:$M$50000,"&gt;-50"),""))</f>
        <v/>
      </c>
      <c r="N94" s="12" t="str">
        <f>IF($B94="§","",N(N93)+SUMIFS(Estação!$O$2:$O$50000,Estação!$A$2:$A$50000,$B94))</f>
        <v/>
      </c>
      <c r="O94" s="12" t="str">
        <f>IF($B94="§","",N(O93)+SUMIFS(Estação!$P$2:$P$50000,Estação!$A$2:$A$50000,$B94))</f>
        <v/>
      </c>
      <c r="P94" s="12" t="str">
        <f>IF($B94="§","",N(P93)+SUMIFS(Estação!$Q$2:$Q$50000,Estação!$A$2:$A$50000,$B94))</f>
        <v/>
      </c>
      <c r="Q94" s="12" t="str">
        <f>IF($B94="§","",IFERROR(AVERAGEIFS(Estação!$AA$2:$AA$50000,Estação!$A$2:$A$50000,$B94,Estação!$AA$2:$AA$50000,"&gt;-50"),""))</f>
        <v/>
      </c>
      <c r="R94" s="12" t="str">
        <f>IF($B94="§","",IFERROR(AVERAGEIFS(Estação!$AB$2:$AB$50000,Estação!$A$2:$A$50000,$B94,Estação!$AB$2:$AB$50000,"&gt;-50"),""))</f>
        <v/>
      </c>
      <c r="S94" s="12" t="str">
        <f>IF($B94="§","",IFERROR(AVERAGEIFS(Estação!$Y$2:$Y$50000,Estação!$A$2:$A$50000,$B94,Estação!$Y$2:$Y$50000,"&gt;-50"),""))</f>
        <v/>
      </c>
      <c r="T94" s="12" t="str">
        <f>IF($B94="§","",IFERROR(AVERAGEIFS(Estação!$C$2:$C$50000,Estação!$A$2:$A$50000,$B94,Estação!$C$2:$C$50000,"&gt;-50"),""))</f>
        <v/>
      </c>
    </row>
    <row r="95" spans="1:20" x14ac:dyDescent="0.25">
      <c r="A95" s="12" t="str">
        <f t="shared" si="3"/>
        <v/>
      </c>
      <c r="B95" s="12" t="str">
        <f t="shared" si="4"/>
        <v>§</v>
      </c>
      <c r="C95" s="12">
        <f>EDATE(DATE(YEAR($C$1),MONTH($C$1),1),4)</f>
        <v>46327</v>
      </c>
      <c r="D95" s="12" t="str">
        <f>IF($B95="§","",IFERROR(AVERAGEIFS(Estação!$S$2:$S$50000,Estação!$A$2:$A$50000,$B95,Estação!$S$2:$S$50000,"&gt;-50"),""))</f>
        <v/>
      </c>
      <c r="E95" s="12" t="str">
        <f>IF($B95="§","",IFERROR(AVERAGEIFS(Estação!$T$2:$T$50000,Estação!$A$2:$A$50000,$B95,Estação!$T$2:$T$50000,"&gt;-50"),""))</f>
        <v/>
      </c>
      <c r="F95" s="12" t="str">
        <f>IF($B95="§","",IFERROR(AVERAGEIFS(Estação!$F$2:$F$50000,Estação!$A$2:$A$50000,$B95,Estação!$F$2:$F$50000,"&gt;-50"),""))</f>
        <v/>
      </c>
      <c r="G95" s="12" t="str">
        <f>IF($B95="§","",IFERROR(AVERAGEIFS(Estação!$G$2:$G$50000,Estação!$A$2:$A$50000,$B95,Estação!$G$2:$G$50000,"&gt;-50"),""))</f>
        <v/>
      </c>
      <c r="H95" s="12" t="str">
        <f>IF($B95="§","",IFERROR(AVERAGEIFS(Estação!$Z$2:$Z$50000,Estação!$A$2:$A$50000,$B95,Estação!$Z$2:$Z$50000,"&gt;-50"),""))</f>
        <v/>
      </c>
      <c r="I95" s="12" t="str">
        <f>IF($B95="§","",IFERROR(AVERAGEIFS(Estação!$E$2:$E$50000,Estação!$A$2:$A$50000,$B95,Estação!$E$2:$E$50000,"&gt;-50"),""))</f>
        <v/>
      </c>
      <c r="J95" s="12" t="str">
        <f>IF($B95="§","",IFERROR(AVERAGEIFS(Estação!$H$2:$H$50000,Estação!$A$2:$A$50000,$B95,Estação!$H$2:$H$50000,"&gt;-50"),""))</f>
        <v/>
      </c>
      <c r="K95" s="12" t="str">
        <f>IF($B95="§","",IFERROR(AVERAGEIFS(Estação!$L$2:$L$50000,Estação!$A$2:$A$50000,$B95,Estação!$L$2:$L$50000,"&gt;-50"),""))</f>
        <v/>
      </c>
      <c r="L95" s="12" t="str">
        <f>IF($B95="§","",IFERROR(AVERAGEIFS(Estação!$B$2:$B$50000,Estação!$A$2:$A$50000,$B95,Estação!$B$2:$B$50000,"&gt;-50"),""))</f>
        <v/>
      </c>
      <c r="M95" s="12" t="str">
        <f>IF($B95="§","",IFERROR(AVERAGEIFS(Estação!$M$2:$M$50000,Estação!$A$2:$A$50000,$B95,Estação!$M$2:$M$50000,"&gt;-50"),""))</f>
        <v/>
      </c>
      <c r="N95" s="12" t="str">
        <f>IF($B95="§","",N(N94)+SUMIFS(Estação!$O$2:$O$50000,Estação!$A$2:$A$50000,$B95))</f>
        <v/>
      </c>
      <c r="O95" s="12" t="str">
        <f>IF($B95="§","",N(O94)+SUMIFS(Estação!$P$2:$P$50000,Estação!$A$2:$A$50000,$B95))</f>
        <v/>
      </c>
      <c r="P95" s="12" t="str">
        <f>IF($B95="§","",N(P94)+SUMIFS(Estação!$Q$2:$Q$50000,Estação!$A$2:$A$50000,$B95))</f>
        <v/>
      </c>
      <c r="Q95" s="12" t="str">
        <f>IF($B95="§","",IFERROR(AVERAGEIFS(Estação!$AA$2:$AA$50000,Estação!$A$2:$A$50000,$B95,Estação!$AA$2:$AA$50000,"&gt;-50"),""))</f>
        <v/>
      </c>
      <c r="R95" s="12" t="str">
        <f>IF($B95="§","",IFERROR(AVERAGEIFS(Estação!$AB$2:$AB$50000,Estação!$A$2:$A$50000,$B95,Estação!$AB$2:$AB$50000,"&gt;-50"),""))</f>
        <v/>
      </c>
      <c r="S95" s="12" t="str">
        <f>IF($B95="§","",IFERROR(AVERAGEIFS(Estação!$Y$2:$Y$50000,Estação!$A$2:$A$50000,$B95,Estação!$Y$2:$Y$50000,"&gt;-50"),""))</f>
        <v/>
      </c>
      <c r="T95" s="12" t="str">
        <f>IF($B95="§","",IFERROR(AVERAGEIFS(Estação!$C$2:$C$50000,Estação!$A$2:$A$50000,$B95,Estação!$C$2:$C$50000,"&gt;-50"),""))</f>
        <v/>
      </c>
    </row>
    <row r="96" spans="1:20" x14ac:dyDescent="0.25">
      <c r="A96" s="12" t="str">
        <f t="shared" si="3"/>
        <v/>
      </c>
      <c r="B96" s="12" t="str">
        <f t="shared" si="4"/>
        <v>§</v>
      </c>
      <c r="C96" s="12">
        <f>EDATE(DATE(YEAR($C$1),MONTH($C$1),1),5)</f>
        <v>46357</v>
      </c>
      <c r="D96" s="12" t="str">
        <f>IF($B96="§","",IFERROR(AVERAGEIFS(Estação!$S$2:$S$50000,Estação!$A$2:$A$50000,$B96,Estação!$S$2:$S$50000,"&gt;-50"),""))</f>
        <v/>
      </c>
      <c r="E96" s="12" t="str">
        <f>IF($B96="§","",IFERROR(AVERAGEIFS(Estação!$T$2:$T$50000,Estação!$A$2:$A$50000,$B96,Estação!$T$2:$T$50000,"&gt;-50"),""))</f>
        <v/>
      </c>
      <c r="F96" s="12" t="str">
        <f>IF($B96="§","",IFERROR(AVERAGEIFS(Estação!$F$2:$F$50000,Estação!$A$2:$A$50000,$B96,Estação!$F$2:$F$50000,"&gt;-50"),""))</f>
        <v/>
      </c>
      <c r="G96" s="12" t="str">
        <f>IF($B96="§","",IFERROR(AVERAGEIFS(Estação!$G$2:$G$50000,Estação!$A$2:$A$50000,$B96,Estação!$G$2:$G$50000,"&gt;-50"),""))</f>
        <v/>
      </c>
      <c r="H96" s="12" t="str">
        <f>IF($B96="§","",IFERROR(AVERAGEIFS(Estação!$Z$2:$Z$50000,Estação!$A$2:$A$50000,$B96,Estação!$Z$2:$Z$50000,"&gt;-50"),""))</f>
        <v/>
      </c>
      <c r="I96" s="12" t="str">
        <f>IF($B96="§","",IFERROR(AVERAGEIFS(Estação!$E$2:$E$50000,Estação!$A$2:$A$50000,$B96,Estação!$E$2:$E$50000,"&gt;-50"),""))</f>
        <v/>
      </c>
      <c r="J96" s="12" t="str">
        <f>IF($B96="§","",IFERROR(AVERAGEIFS(Estação!$H$2:$H$50000,Estação!$A$2:$A$50000,$B96,Estação!$H$2:$H$50000,"&gt;-50"),""))</f>
        <v/>
      </c>
      <c r="K96" s="12" t="str">
        <f>IF($B96="§","",IFERROR(AVERAGEIFS(Estação!$L$2:$L$50000,Estação!$A$2:$A$50000,$B96,Estação!$L$2:$L$50000,"&gt;-50"),""))</f>
        <v/>
      </c>
      <c r="L96" s="12" t="str">
        <f>IF($B96="§","",IFERROR(AVERAGEIFS(Estação!$B$2:$B$50000,Estação!$A$2:$A$50000,$B96,Estação!$B$2:$B$50000,"&gt;-50"),""))</f>
        <v/>
      </c>
      <c r="M96" s="12" t="str">
        <f>IF($B96="§","",IFERROR(AVERAGEIFS(Estação!$M$2:$M$50000,Estação!$A$2:$A$50000,$B96,Estação!$M$2:$M$50000,"&gt;-50"),""))</f>
        <v/>
      </c>
      <c r="N96" s="12" t="str">
        <f>IF($B96="§","",N(N95)+SUMIFS(Estação!$O$2:$O$50000,Estação!$A$2:$A$50000,$B96))</f>
        <v/>
      </c>
      <c r="O96" s="12" t="str">
        <f>IF($B96="§","",N(O95)+SUMIFS(Estação!$P$2:$P$50000,Estação!$A$2:$A$50000,$B96))</f>
        <v/>
      </c>
      <c r="P96" s="12" t="str">
        <f>IF($B96="§","",N(P95)+SUMIFS(Estação!$Q$2:$Q$50000,Estação!$A$2:$A$50000,$B96))</f>
        <v/>
      </c>
      <c r="Q96" s="12" t="str">
        <f>IF($B96="§","",IFERROR(AVERAGEIFS(Estação!$AA$2:$AA$50000,Estação!$A$2:$A$50000,$B96,Estação!$AA$2:$AA$50000,"&gt;-50"),""))</f>
        <v/>
      </c>
      <c r="R96" s="12" t="str">
        <f>IF($B96="§","",IFERROR(AVERAGEIFS(Estação!$AB$2:$AB$50000,Estação!$A$2:$A$50000,$B96,Estação!$AB$2:$AB$50000,"&gt;-50"),""))</f>
        <v/>
      </c>
      <c r="S96" s="12" t="str">
        <f>IF($B96="§","",IFERROR(AVERAGEIFS(Estação!$Y$2:$Y$50000,Estação!$A$2:$A$50000,$B96,Estação!$Y$2:$Y$50000,"&gt;-50"),""))</f>
        <v/>
      </c>
      <c r="T96" s="12" t="str">
        <f>IF($B96="§","",IFERROR(AVERAGEIFS(Estação!$C$2:$C$50000,Estação!$A$2:$A$50000,$B96,Estação!$C$2:$C$50000,"&gt;-50"),""))</f>
        <v/>
      </c>
    </row>
    <row r="97" spans="1:20" x14ac:dyDescent="0.25">
      <c r="A97" s="12" t="str">
        <f t="shared" si="3"/>
        <v/>
      </c>
      <c r="B97" s="12" t="str">
        <f t="shared" si="4"/>
        <v>§</v>
      </c>
      <c r="C97" s="12">
        <f>EDATE(DATE(YEAR($C$1),MONTH($C$1),1),6)</f>
        <v>46388</v>
      </c>
      <c r="D97" s="12" t="str">
        <f>IF($B97="§","",IFERROR(AVERAGEIFS(Estação!$S$2:$S$50000,Estação!$A$2:$A$50000,$B97,Estação!$S$2:$S$50000,"&gt;-50"),""))</f>
        <v/>
      </c>
      <c r="E97" s="12" t="str">
        <f>IF($B97="§","",IFERROR(AVERAGEIFS(Estação!$T$2:$T$50000,Estação!$A$2:$A$50000,$B97,Estação!$T$2:$T$50000,"&gt;-50"),""))</f>
        <v/>
      </c>
      <c r="F97" s="12" t="str">
        <f>IF($B97="§","",IFERROR(AVERAGEIFS(Estação!$F$2:$F$50000,Estação!$A$2:$A$50000,$B97,Estação!$F$2:$F$50000,"&gt;-50"),""))</f>
        <v/>
      </c>
      <c r="G97" s="12" t="str">
        <f>IF($B97="§","",IFERROR(AVERAGEIFS(Estação!$G$2:$G$50000,Estação!$A$2:$A$50000,$B97,Estação!$G$2:$G$50000,"&gt;-50"),""))</f>
        <v/>
      </c>
      <c r="H97" s="12" t="str">
        <f>IF($B97="§","",IFERROR(AVERAGEIFS(Estação!$Z$2:$Z$50000,Estação!$A$2:$A$50000,$B97,Estação!$Z$2:$Z$50000,"&gt;-50"),""))</f>
        <v/>
      </c>
      <c r="I97" s="12" t="str">
        <f>IF($B97="§","",IFERROR(AVERAGEIFS(Estação!$E$2:$E$50000,Estação!$A$2:$A$50000,$B97,Estação!$E$2:$E$50000,"&gt;-50"),""))</f>
        <v/>
      </c>
      <c r="J97" s="12" t="str">
        <f>IF($B97="§","",IFERROR(AVERAGEIFS(Estação!$H$2:$H$50000,Estação!$A$2:$A$50000,$B97,Estação!$H$2:$H$50000,"&gt;-50"),""))</f>
        <v/>
      </c>
      <c r="K97" s="12" t="str">
        <f>IF($B97="§","",IFERROR(AVERAGEIFS(Estação!$L$2:$L$50000,Estação!$A$2:$A$50000,$B97,Estação!$L$2:$L$50000,"&gt;-50"),""))</f>
        <v/>
      </c>
      <c r="L97" s="12" t="str">
        <f>IF($B97="§","",IFERROR(AVERAGEIFS(Estação!$B$2:$B$50000,Estação!$A$2:$A$50000,$B97,Estação!$B$2:$B$50000,"&gt;-50"),""))</f>
        <v/>
      </c>
      <c r="M97" s="12" t="str">
        <f>IF($B97="§","",IFERROR(AVERAGEIFS(Estação!$M$2:$M$50000,Estação!$A$2:$A$50000,$B97,Estação!$M$2:$M$50000,"&gt;-50"),""))</f>
        <v/>
      </c>
      <c r="N97" s="12" t="str">
        <f>IF($B97="§","",N(N96)+SUMIFS(Estação!$O$2:$O$50000,Estação!$A$2:$A$50000,$B97))</f>
        <v/>
      </c>
      <c r="O97" s="12" t="str">
        <f>IF($B97="§","",N(O96)+SUMIFS(Estação!$P$2:$P$50000,Estação!$A$2:$A$50000,$B97))</f>
        <v/>
      </c>
      <c r="P97" s="12" t="str">
        <f>IF($B97="§","",N(P96)+SUMIFS(Estação!$Q$2:$Q$50000,Estação!$A$2:$A$50000,$B97))</f>
        <v/>
      </c>
      <c r="Q97" s="12" t="str">
        <f>IF($B97="§","",IFERROR(AVERAGEIFS(Estação!$AA$2:$AA$50000,Estação!$A$2:$A$50000,$B97,Estação!$AA$2:$AA$50000,"&gt;-50"),""))</f>
        <v/>
      </c>
      <c r="R97" s="12" t="str">
        <f>IF($B97="§","",IFERROR(AVERAGEIFS(Estação!$AB$2:$AB$50000,Estação!$A$2:$A$50000,$B97,Estação!$AB$2:$AB$50000,"&gt;-50"),""))</f>
        <v/>
      </c>
      <c r="S97" s="12" t="str">
        <f>IF($B97="§","",IFERROR(AVERAGEIFS(Estação!$Y$2:$Y$50000,Estação!$A$2:$A$50000,$B97,Estação!$Y$2:$Y$50000,"&gt;-50"),""))</f>
        <v/>
      </c>
      <c r="T97" s="12" t="str">
        <f>IF($B97="§","",IFERROR(AVERAGEIFS(Estação!$C$2:$C$50000,Estação!$A$2:$A$50000,$B97,Estação!$C$2:$C$50000,"&gt;-50"),""))</f>
        <v/>
      </c>
    </row>
    <row r="98" spans="1:20" x14ac:dyDescent="0.25">
      <c r="A98" s="12" t="str">
        <f t="shared" si="3"/>
        <v/>
      </c>
      <c r="B98" s="12" t="str">
        <f t="shared" si="4"/>
        <v>§</v>
      </c>
      <c r="C98" s="12">
        <f>EDATE(DATE(YEAR($C$1),MONTH($C$1),1),7)</f>
        <v>46419</v>
      </c>
      <c r="D98" s="12" t="str">
        <f>IF($B98="§","",IFERROR(AVERAGEIFS(Estação!$S$2:$S$50000,Estação!$A$2:$A$50000,$B98,Estação!$S$2:$S$50000,"&gt;-50"),""))</f>
        <v/>
      </c>
      <c r="E98" s="12" t="str">
        <f>IF($B98="§","",IFERROR(AVERAGEIFS(Estação!$T$2:$T$50000,Estação!$A$2:$A$50000,$B98,Estação!$T$2:$T$50000,"&gt;-50"),""))</f>
        <v/>
      </c>
      <c r="F98" s="12" t="str">
        <f>IF($B98="§","",IFERROR(AVERAGEIFS(Estação!$F$2:$F$50000,Estação!$A$2:$A$50000,$B98,Estação!$F$2:$F$50000,"&gt;-50"),""))</f>
        <v/>
      </c>
      <c r="G98" s="12" t="str">
        <f>IF($B98="§","",IFERROR(AVERAGEIFS(Estação!$G$2:$G$50000,Estação!$A$2:$A$50000,$B98,Estação!$G$2:$G$50000,"&gt;-50"),""))</f>
        <v/>
      </c>
      <c r="H98" s="12" t="str">
        <f>IF($B98="§","",IFERROR(AVERAGEIFS(Estação!$Z$2:$Z$50000,Estação!$A$2:$A$50000,$B98,Estação!$Z$2:$Z$50000,"&gt;-50"),""))</f>
        <v/>
      </c>
      <c r="I98" s="12" t="str">
        <f>IF($B98="§","",IFERROR(AVERAGEIFS(Estação!$E$2:$E$50000,Estação!$A$2:$A$50000,$B98,Estação!$E$2:$E$50000,"&gt;-50"),""))</f>
        <v/>
      </c>
      <c r="J98" s="12" t="str">
        <f>IF($B98="§","",IFERROR(AVERAGEIFS(Estação!$H$2:$H$50000,Estação!$A$2:$A$50000,$B98,Estação!$H$2:$H$50000,"&gt;-50"),""))</f>
        <v/>
      </c>
      <c r="K98" s="12" t="str">
        <f>IF($B98="§","",IFERROR(AVERAGEIFS(Estação!$L$2:$L$50000,Estação!$A$2:$A$50000,$B98,Estação!$L$2:$L$50000,"&gt;-50"),""))</f>
        <v/>
      </c>
      <c r="L98" s="12" t="str">
        <f>IF($B98="§","",IFERROR(AVERAGEIFS(Estação!$B$2:$B$50000,Estação!$A$2:$A$50000,$B98,Estação!$B$2:$B$50000,"&gt;-50"),""))</f>
        <v/>
      </c>
      <c r="M98" s="12" t="str">
        <f>IF($B98="§","",IFERROR(AVERAGEIFS(Estação!$M$2:$M$50000,Estação!$A$2:$A$50000,$B98,Estação!$M$2:$M$50000,"&gt;-50"),""))</f>
        <v/>
      </c>
      <c r="N98" s="12" t="str">
        <f>IF($B98="§","",N(N97)+SUMIFS(Estação!$O$2:$O$50000,Estação!$A$2:$A$50000,$B98))</f>
        <v/>
      </c>
      <c r="O98" s="12" t="str">
        <f>IF($B98="§","",N(O97)+SUMIFS(Estação!$P$2:$P$50000,Estação!$A$2:$A$50000,$B98))</f>
        <v/>
      </c>
      <c r="P98" s="12" t="str">
        <f>IF($B98="§","",N(P97)+SUMIFS(Estação!$Q$2:$Q$50000,Estação!$A$2:$A$50000,$B98))</f>
        <v/>
      </c>
      <c r="Q98" s="12" t="str">
        <f>IF($B98="§","",IFERROR(AVERAGEIFS(Estação!$AA$2:$AA$50000,Estação!$A$2:$A$50000,$B98,Estação!$AA$2:$AA$50000,"&gt;-50"),""))</f>
        <v/>
      </c>
      <c r="R98" s="12" t="str">
        <f>IF($B98="§","",IFERROR(AVERAGEIFS(Estação!$AB$2:$AB$50000,Estação!$A$2:$A$50000,$B98,Estação!$AB$2:$AB$50000,"&gt;-50"),""))</f>
        <v/>
      </c>
      <c r="S98" s="12" t="str">
        <f>IF($B98="§","",IFERROR(AVERAGEIFS(Estação!$Y$2:$Y$50000,Estação!$A$2:$A$50000,$B98,Estação!$Y$2:$Y$50000,"&gt;-50"),""))</f>
        <v/>
      </c>
      <c r="T98" s="12" t="str">
        <f>IF($B98="§","",IFERROR(AVERAGEIFS(Estação!$C$2:$C$50000,Estação!$A$2:$A$50000,$B98,Estação!$C$2:$C$50000,"&gt;-50"),""))</f>
        <v/>
      </c>
    </row>
    <row r="99" spans="1:20" x14ac:dyDescent="0.25">
      <c r="A99" s="12" t="str">
        <f t="shared" si="3"/>
        <v/>
      </c>
      <c r="B99" s="12" t="str">
        <f t="shared" si="4"/>
        <v>§</v>
      </c>
      <c r="C99" s="12">
        <f>EDATE(DATE(YEAR($C$1),MONTH($C$1),1),8)</f>
        <v>46447</v>
      </c>
      <c r="D99" s="12" t="str">
        <f>IF($B99="§","",IFERROR(AVERAGEIFS(Estação!$S$2:$S$50000,Estação!$A$2:$A$50000,$B99,Estação!$S$2:$S$50000,"&gt;-50"),""))</f>
        <v/>
      </c>
      <c r="E99" s="12" t="str">
        <f>IF($B99="§","",IFERROR(AVERAGEIFS(Estação!$T$2:$T$50000,Estação!$A$2:$A$50000,$B99,Estação!$T$2:$T$50000,"&gt;-50"),""))</f>
        <v/>
      </c>
      <c r="F99" s="12" t="str">
        <f>IF($B99="§","",IFERROR(AVERAGEIFS(Estação!$F$2:$F$50000,Estação!$A$2:$A$50000,$B99,Estação!$F$2:$F$50000,"&gt;-50"),""))</f>
        <v/>
      </c>
      <c r="G99" s="12" t="str">
        <f>IF($B99="§","",IFERROR(AVERAGEIFS(Estação!$G$2:$G$50000,Estação!$A$2:$A$50000,$B99,Estação!$G$2:$G$50000,"&gt;-50"),""))</f>
        <v/>
      </c>
      <c r="H99" s="12" t="str">
        <f>IF($B99="§","",IFERROR(AVERAGEIFS(Estação!$Z$2:$Z$50000,Estação!$A$2:$A$50000,$B99,Estação!$Z$2:$Z$50000,"&gt;-50"),""))</f>
        <v/>
      </c>
      <c r="I99" s="12" t="str">
        <f>IF($B99="§","",IFERROR(AVERAGEIFS(Estação!$E$2:$E$50000,Estação!$A$2:$A$50000,$B99,Estação!$E$2:$E$50000,"&gt;-50"),""))</f>
        <v/>
      </c>
      <c r="J99" s="12" t="str">
        <f>IF($B99="§","",IFERROR(AVERAGEIFS(Estação!$H$2:$H$50000,Estação!$A$2:$A$50000,$B99,Estação!$H$2:$H$50000,"&gt;-50"),""))</f>
        <v/>
      </c>
      <c r="K99" s="12" t="str">
        <f>IF($B99="§","",IFERROR(AVERAGEIFS(Estação!$L$2:$L$50000,Estação!$A$2:$A$50000,$B99,Estação!$L$2:$L$50000,"&gt;-50"),""))</f>
        <v/>
      </c>
      <c r="L99" s="12" t="str">
        <f>IF($B99="§","",IFERROR(AVERAGEIFS(Estação!$B$2:$B$50000,Estação!$A$2:$A$50000,$B99,Estação!$B$2:$B$50000,"&gt;-50"),""))</f>
        <v/>
      </c>
      <c r="M99" s="12" t="str">
        <f>IF($B99="§","",IFERROR(AVERAGEIFS(Estação!$M$2:$M$50000,Estação!$A$2:$A$50000,$B99,Estação!$M$2:$M$50000,"&gt;-50"),""))</f>
        <v/>
      </c>
      <c r="N99" s="12" t="str">
        <f>IF($B99="§","",N(N98)+SUMIFS(Estação!$O$2:$O$50000,Estação!$A$2:$A$50000,$B99))</f>
        <v/>
      </c>
      <c r="O99" s="12" t="str">
        <f>IF($B99="§","",N(O98)+SUMIFS(Estação!$P$2:$P$50000,Estação!$A$2:$A$50000,$B99))</f>
        <v/>
      </c>
      <c r="P99" s="12" t="str">
        <f>IF($B99="§","",N(P98)+SUMIFS(Estação!$Q$2:$Q$50000,Estação!$A$2:$A$50000,$B99))</f>
        <v/>
      </c>
      <c r="Q99" s="12" t="str">
        <f>IF($B99="§","",IFERROR(AVERAGEIFS(Estação!$AA$2:$AA$50000,Estação!$A$2:$A$50000,$B99,Estação!$AA$2:$AA$50000,"&gt;-50"),""))</f>
        <v/>
      </c>
      <c r="R99" s="12" t="str">
        <f>IF($B99="§","",IFERROR(AVERAGEIFS(Estação!$AB$2:$AB$50000,Estação!$A$2:$A$50000,$B99,Estação!$AB$2:$AB$50000,"&gt;-50"),""))</f>
        <v/>
      </c>
      <c r="S99" s="12" t="str">
        <f>IF($B99="§","",IFERROR(AVERAGEIFS(Estação!$Y$2:$Y$50000,Estação!$A$2:$A$50000,$B99,Estação!$Y$2:$Y$50000,"&gt;-50"),""))</f>
        <v/>
      </c>
      <c r="T99" s="12" t="str">
        <f>IF($B99="§","",IFERROR(AVERAGEIFS(Estação!$C$2:$C$50000,Estação!$A$2:$A$50000,$B99,Estação!$C$2:$C$50000,"&gt;-50"),""))</f>
        <v/>
      </c>
    </row>
    <row r="100" spans="1:20" x14ac:dyDescent="0.25">
      <c r="A100" s="12" t="str">
        <f t="shared" si="3"/>
        <v/>
      </c>
      <c r="B100" s="12" t="str">
        <f t="shared" si="4"/>
        <v>§</v>
      </c>
      <c r="C100" s="12">
        <f>EDATE(DATE(YEAR($C$1),MONTH($C$1),1),9)</f>
        <v>46478</v>
      </c>
      <c r="D100" s="12" t="str">
        <f>IF($B100="§","",IFERROR(AVERAGEIFS(Estação!$S$2:$S$50000,Estação!$A$2:$A$50000,$B100,Estação!$S$2:$S$50000,"&gt;-50"),""))</f>
        <v/>
      </c>
      <c r="E100" s="12" t="str">
        <f>IF($B100="§","",IFERROR(AVERAGEIFS(Estação!$T$2:$T$50000,Estação!$A$2:$A$50000,$B100,Estação!$T$2:$T$50000,"&gt;-50"),""))</f>
        <v/>
      </c>
      <c r="F100" s="12" t="str">
        <f>IF($B100="§","",IFERROR(AVERAGEIFS(Estação!$F$2:$F$50000,Estação!$A$2:$A$50000,$B100,Estação!$F$2:$F$50000,"&gt;-50"),""))</f>
        <v/>
      </c>
      <c r="G100" s="12" t="str">
        <f>IF($B100="§","",IFERROR(AVERAGEIFS(Estação!$G$2:$G$50000,Estação!$A$2:$A$50000,$B100,Estação!$G$2:$G$50000,"&gt;-50"),""))</f>
        <v/>
      </c>
      <c r="H100" s="12" t="str">
        <f>IF($B100="§","",IFERROR(AVERAGEIFS(Estação!$Z$2:$Z$50000,Estação!$A$2:$A$50000,$B100,Estação!$Z$2:$Z$50000,"&gt;-50"),""))</f>
        <v/>
      </c>
      <c r="I100" s="12" t="str">
        <f>IF($B100="§","",IFERROR(AVERAGEIFS(Estação!$E$2:$E$50000,Estação!$A$2:$A$50000,$B100,Estação!$E$2:$E$50000,"&gt;-50"),""))</f>
        <v/>
      </c>
      <c r="J100" s="12" t="str">
        <f>IF($B100="§","",IFERROR(AVERAGEIFS(Estação!$H$2:$H$50000,Estação!$A$2:$A$50000,$B100,Estação!$H$2:$H$50000,"&gt;-50"),""))</f>
        <v/>
      </c>
      <c r="K100" s="12" t="str">
        <f>IF($B100="§","",IFERROR(AVERAGEIFS(Estação!$L$2:$L$50000,Estação!$A$2:$A$50000,$B100,Estação!$L$2:$L$50000,"&gt;-50"),""))</f>
        <v/>
      </c>
      <c r="L100" s="12" t="str">
        <f>IF($B100="§","",IFERROR(AVERAGEIFS(Estação!$B$2:$B$50000,Estação!$A$2:$A$50000,$B100,Estação!$B$2:$B$50000,"&gt;-50"),""))</f>
        <v/>
      </c>
      <c r="M100" s="12" t="str">
        <f>IF($B100="§","",IFERROR(AVERAGEIFS(Estação!$M$2:$M$50000,Estação!$A$2:$A$50000,$B100,Estação!$M$2:$M$50000,"&gt;-50"),""))</f>
        <v/>
      </c>
      <c r="N100" s="12" t="str">
        <f>IF($B100="§","",N(N99)+SUMIFS(Estação!$O$2:$O$50000,Estação!$A$2:$A$50000,$B100))</f>
        <v/>
      </c>
      <c r="O100" s="12" t="str">
        <f>IF($B100="§","",N(O99)+SUMIFS(Estação!$P$2:$P$50000,Estação!$A$2:$A$50000,$B100))</f>
        <v/>
      </c>
      <c r="P100" s="12" t="str">
        <f>IF($B100="§","",N(P99)+SUMIFS(Estação!$Q$2:$Q$50000,Estação!$A$2:$A$50000,$B100))</f>
        <v/>
      </c>
      <c r="Q100" s="12" t="str">
        <f>IF($B100="§","",IFERROR(AVERAGEIFS(Estação!$AA$2:$AA$50000,Estação!$A$2:$A$50000,$B100,Estação!$AA$2:$AA$50000,"&gt;-50"),""))</f>
        <v/>
      </c>
      <c r="R100" s="12" t="str">
        <f>IF($B100="§","",IFERROR(AVERAGEIFS(Estação!$AB$2:$AB$50000,Estação!$A$2:$A$50000,$B100,Estação!$AB$2:$AB$50000,"&gt;-50"),""))</f>
        <v/>
      </c>
      <c r="S100" s="12" t="str">
        <f>IF($B100="§","",IFERROR(AVERAGEIFS(Estação!$Y$2:$Y$50000,Estação!$A$2:$A$50000,$B100,Estação!$Y$2:$Y$50000,"&gt;-50"),""))</f>
        <v/>
      </c>
      <c r="T100" s="12" t="str">
        <f>IF($B100="§","",IFERROR(AVERAGEIFS(Estação!$C$2:$C$50000,Estação!$A$2:$A$50000,$B100,Estação!$C$2:$C$50000,"&gt;-50"),""))</f>
        <v/>
      </c>
    </row>
    <row r="101" spans="1:20" x14ac:dyDescent="0.25">
      <c r="A101" s="12" t="str">
        <f t="shared" si="3"/>
        <v/>
      </c>
      <c r="B101" s="12" t="str">
        <f t="shared" si="4"/>
        <v>§</v>
      </c>
      <c r="C101" s="12">
        <f>EDATE(DATE(YEAR($C$1),MONTH($C$1),1),10)</f>
        <v>46508</v>
      </c>
      <c r="D101" s="12" t="str">
        <f>IF($B101="§","",IFERROR(AVERAGEIFS(Estação!$S$2:$S$50000,Estação!$A$2:$A$50000,$B101,Estação!$S$2:$S$50000,"&gt;-50"),""))</f>
        <v/>
      </c>
      <c r="E101" s="12" t="str">
        <f>IF($B101="§","",IFERROR(AVERAGEIFS(Estação!$T$2:$T$50000,Estação!$A$2:$A$50000,$B101,Estação!$T$2:$T$50000,"&gt;-50"),""))</f>
        <v/>
      </c>
      <c r="F101" s="12" t="str">
        <f>IF($B101="§","",IFERROR(AVERAGEIFS(Estação!$F$2:$F$50000,Estação!$A$2:$A$50000,$B101,Estação!$F$2:$F$50000,"&gt;-50"),""))</f>
        <v/>
      </c>
      <c r="G101" s="12" t="str">
        <f>IF($B101="§","",IFERROR(AVERAGEIFS(Estação!$G$2:$G$50000,Estação!$A$2:$A$50000,$B101,Estação!$G$2:$G$50000,"&gt;-50"),""))</f>
        <v/>
      </c>
      <c r="H101" s="12" t="str">
        <f>IF($B101="§","",IFERROR(AVERAGEIFS(Estação!$Z$2:$Z$50000,Estação!$A$2:$A$50000,$B101,Estação!$Z$2:$Z$50000,"&gt;-50"),""))</f>
        <v/>
      </c>
      <c r="I101" s="12" t="str">
        <f>IF($B101="§","",IFERROR(AVERAGEIFS(Estação!$E$2:$E$50000,Estação!$A$2:$A$50000,$B101,Estação!$E$2:$E$50000,"&gt;-50"),""))</f>
        <v/>
      </c>
      <c r="J101" s="12" t="str">
        <f>IF($B101="§","",IFERROR(AVERAGEIFS(Estação!$H$2:$H$50000,Estação!$A$2:$A$50000,$B101,Estação!$H$2:$H$50000,"&gt;-50"),""))</f>
        <v/>
      </c>
      <c r="K101" s="12" t="str">
        <f>IF($B101="§","",IFERROR(AVERAGEIFS(Estação!$L$2:$L$50000,Estação!$A$2:$A$50000,$B101,Estação!$L$2:$L$50000,"&gt;-50"),""))</f>
        <v/>
      </c>
      <c r="L101" s="12" t="str">
        <f>IF($B101="§","",IFERROR(AVERAGEIFS(Estação!$B$2:$B$50000,Estação!$A$2:$A$50000,$B101,Estação!$B$2:$B$50000,"&gt;-50"),""))</f>
        <v/>
      </c>
      <c r="M101" s="12" t="str">
        <f>IF($B101="§","",IFERROR(AVERAGEIFS(Estação!$M$2:$M$50000,Estação!$A$2:$A$50000,$B101,Estação!$M$2:$M$50000,"&gt;-50"),""))</f>
        <v/>
      </c>
      <c r="N101" s="12" t="str">
        <f>IF($B101="§","",N(N100)+SUMIFS(Estação!$O$2:$O$50000,Estação!$A$2:$A$50000,$B101))</f>
        <v/>
      </c>
      <c r="O101" s="12" t="str">
        <f>IF($B101="§","",N(O100)+SUMIFS(Estação!$P$2:$P$50000,Estação!$A$2:$A$50000,$B101))</f>
        <v/>
      </c>
      <c r="P101" s="12" t="str">
        <f>IF($B101="§","",N(P100)+SUMIFS(Estação!$Q$2:$Q$50000,Estação!$A$2:$A$50000,$B101))</f>
        <v/>
      </c>
      <c r="Q101" s="12" t="str">
        <f>IF($B101="§","",IFERROR(AVERAGEIFS(Estação!$AA$2:$AA$50000,Estação!$A$2:$A$50000,$B101,Estação!$AA$2:$AA$50000,"&gt;-50"),""))</f>
        <v/>
      </c>
      <c r="R101" s="12" t="str">
        <f>IF($B101="§","",IFERROR(AVERAGEIFS(Estação!$AB$2:$AB$50000,Estação!$A$2:$A$50000,$B101,Estação!$AB$2:$AB$50000,"&gt;-50"),""))</f>
        <v/>
      </c>
      <c r="S101" s="12" t="str">
        <f>IF($B101="§","",IFERROR(AVERAGEIFS(Estação!$Y$2:$Y$50000,Estação!$A$2:$A$50000,$B101,Estação!$Y$2:$Y$50000,"&gt;-50"),""))</f>
        <v/>
      </c>
      <c r="T101" s="12" t="str">
        <f>IF($B101="§","",IFERROR(AVERAGEIFS(Estação!$C$2:$C$50000,Estação!$A$2:$A$50000,$B101,Estação!$C$2:$C$50000,"&gt;-50"),""))</f>
        <v/>
      </c>
    </row>
    <row r="102" spans="1:20" x14ac:dyDescent="0.25">
      <c r="A102" s="12" t="str">
        <f t="shared" si="3"/>
        <v/>
      </c>
      <c r="B102" s="12" t="str">
        <f t="shared" si="4"/>
        <v>§</v>
      </c>
      <c r="C102" s="12">
        <f>EDATE(DATE(YEAR($C$1),MONTH($C$1),1),11)</f>
        <v>46539</v>
      </c>
      <c r="D102" s="12" t="str">
        <f>IF($B102="§","",IFERROR(AVERAGEIFS(Estação!$S$2:$S$50000,Estação!$A$2:$A$50000,$B102,Estação!$S$2:$S$50000,"&gt;-50"),""))</f>
        <v/>
      </c>
      <c r="E102" s="12" t="str">
        <f>IF($B102="§","",IFERROR(AVERAGEIFS(Estação!$T$2:$T$50000,Estação!$A$2:$A$50000,$B102,Estação!$T$2:$T$50000,"&gt;-50"),""))</f>
        <v/>
      </c>
      <c r="F102" s="12" t="str">
        <f>IF($B102="§","",IFERROR(AVERAGEIFS(Estação!$F$2:$F$50000,Estação!$A$2:$A$50000,$B102,Estação!$F$2:$F$50000,"&gt;-50"),""))</f>
        <v/>
      </c>
      <c r="G102" s="12" t="str">
        <f>IF($B102="§","",IFERROR(AVERAGEIFS(Estação!$G$2:$G$50000,Estação!$A$2:$A$50000,$B102,Estação!$G$2:$G$50000,"&gt;-50"),""))</f>
        <v/>
      </c>
      <c r="H102" s="12" t="str">
        <f>IF($B102="§","",IFERROR(AVERAGEIFS(Estação!$Z$2:$Z$50000,Estação!$A$2:$A$50000,$B102,Estação!$Z$2:$Z$50000,"&gt;-50"),""))</f>
        <v/>
      </c>
      <c r="I102" s="12" t="str">
        <f>IF($B102="§","",IFERROR(AVERAGEIFS(Estação!$E$2:$E$50000,Estação!$A$2:$A$50000,$B102,Estação!$E$2:$E$50000,"&gt;-50"),""))</f>
        <v/>
      </c>
      <c r="J102" s="12" t="str">
        <f>IF($B102="§","",IFERROR(AVERAGEIFS(Estação!$H$2:$H$50000,Estação!$A$2:$A$50000,$B102,Estação!$H$2:$H$50000,"&gt;-50"),""))</f>
        <v/>
      </c>
      <c r="K102" s="12" t="str">
        <f>IF($B102="§","",IFERROR(AVERAGEIFS(Estação!$L$2:$L$50000,Estação!$A$2:$A$50000,$B102,Estação!$L$2:$L$50000,"&gt;-50"),""))</f>
        <v/>
      </c>
      <c r="L102" s="12" t="str">
        <f>IF($B102="§","",IFERROR(AVERAGEIFS(Estação!$B$2:$B$50000,Estação!$A$2:$A$50000,$B102,Estação!$B$2:$B$50000,"&gt;-50"),""))</f>
        <v/>
      </c>
      <c r="M102" s="12" t="str">
        <f>IF($B102="§","",IFERROR(AVERAGEIFS(Estação!$M$2:$M$50000,Estação!$A$2:$A$50000,$B102,Estação!$M$2:$M$50000,"&gt;-50"),""))</f>
        <v/>
      </c>
      <c r="N102" s="12" t="str">
        <f>IF($B102="§","",N(N101)+SUMIFS(Estação!$O$2:$O$50000,Estação!$A$2:$A$50000,$B102))</f>
        <v/>
      </c>
      <c r="O102" s="12" t="str">
        <f>IF($B102="§","",N(O101)+SUMIFS(Estação!$P$2:$P$50000,Estação!$A$2:$A$50000,$B102))</f>
        <v/>
      </c>
      <c r="P102" s="12" t="str">
        <f>IF($B102="§","",N(P101)+SUMIFS(Estação!$Q$2:$Q$50000,Estação!$A$2:$A$50000,$B102))</f>
        <v/>
      </c>
      <c r="Q102" s="12" t="str">
        <f>IF($B102="§","",IFERROR(AVERAGEIFS(Estação!$AA$2:$AA$50000,Estação!$A$2:$A$50000,$B102,Estação!$AA$2:$AA$50000,"&gt;-50"),""))</f>
        <v/>
      </c>
      <c r="R102" s="12" t="str">
        <f>IF($B102="§","",IFERROR(AVERAGEIFS(Estação!$AB$2:$AB$50000,Estação!$A$2:$A$50000,$B102,Estação!$AB$2:$AB$50000,"&gt;-50"),""))</f>
        <v/>
      </c>
      <c r="S102" s="12" t="str">
        <f>IF($B102="§","",IFERROR(AVERAGEIFS(Estação!$Y$2:$Y$50000,Estação!$A$2:$A$50000,$B102,Estação!$Y$2:$Y$50000,"&gt;-50"),""))</f>
        <v/>
      </c>
      <c r="T102" s="12" t="str">
        <f>IF($B102="§","",IFERROR(AVERAGEIFS(Estação!$C$2:$C$50000,Estação!$A$2:$A$50000,$B102,Estação!$C$2:$C$50000,"&gt;-50"),""))</f>
        <v/>
      </c>
    </row>
    <row r="103" spans="1:20" x14ac:dyDescent="0.25">
      <c r="A103" s="12" t="str">
        <f t="shared" si="3"/>
        <v/>
      </c>
      <c r="B103" s="12" t="str">
        <f t="shared" si="4"/>
        <v>§</v>
      </c>
      <c r="C103" s="12">
        <f>EDATE(DATE(YEAR($C$1),MONTH($C$1),1),12)</f>
        <v>46569</v>
      </c>
      <c r="D103" s="12" t="str">
        <f>IF($B103="§","",IFERROR(AVERAGEIFS(Estação!$S$2:$S$50000,Estação!$A$2:$A$50000,$B103,Estação!$S$2:$S$50000,"&gt;-50"),""))</f>
        <v/>
      </c>
      <c r="E103" s="12" t="str">
        <f>IF($B103="§","",IFERROR(AVERAGEIFS(Estação!$T$2:$T$50000,Estação!$A$2:$A$50000,$B103,Estação!$T$2:$T$50000,"&gt;-50"),""))</f>
        <v/>
      </c>
      <c r="F103" s="12" t="str">
        <f>IF($B103="§","",IFERROR(AVERAGEIFS(Estação!$F$2:$F$50000,Estação!$A$2:$A$50000,$B103,Estação!$F$2:$F$50000,"&gt;-50"),""))</f>
        <v/>
      </c>
      <c r="G103" s="12" t="str">
        <f>IF($B103="§","",IFERROR(AVERAGEIFS(Estação!$G$2:$G$50000,Estação!$A$2:$A$50000,$B103,Estação!$G$2:$G$50000,"&gt;-50"),""))</f>
        <v/>
      </c>
      <c r="H103" s="12" t="str">
        <f>IF($B103="§","",IFERROR(AVERAGEIFS(Estação!$Z$2:$Z$50000,Estação!$A$2:$A$50000,$B103,Estação!$Z$2:$Z$50000,"&gt;-50"),""))</f>
        <v/>
      </c>
      <c r="I103" s="12" t="str">
        <f>IF($B103="§","",IFERROR(AVERAGEIFS(Estação!$E$2:$E$50000,Estação!$A$2:$A$50000,$B103,Estação!$E$2:$E$50000,"&gt;-50"),""))</f>
        <v/>
      </c>
      <c r="J103" s="12" t="str">
        <f>IF($B103="§","",IFERROR(AVERAGEIFS(Estação!$H$2:$H$50000,Estação!$A$2:$A$50000,$B103,Estação!$H$2:$H$50000,"&gt;-50"),""))</f>
        <v/>
      </c>
      <c r="K103" s="12" t="str">
        <f>IF($B103="§","",IFERROR(AVERAGEIFS(Estação!$L$2:$L$50000,Estação!$A$2:$A$50000,$B103,Estação!$L$2:$L$50000,"&gt;-50"),""))</f>
        <v/>
      </c>
      <c r="L103" s="12" t="str">
        <f>IF($B103="§","",IFERROR(AVERAGEIFS(Estação!$B$2:$B$50000,Estação!$A$2:$A$50000,$B103,Estação!$B$2:$B$50000,"&gt;-50"),""))</f>
        <v/>
      </c>
      <c r="M103" s="12" t="str">
        <f>IF($B103="§","",IFERROR(AVERAGEIFS(Estação!$M$2:$M$50000,Estação!$A$2:$A$50000,$B103,Estação!$M$2:$M$50000,"&gt;-50"),""))</f>
        <v/>
      </c>
      <c r="N103" s="12" t="str">
        <f>IF($B103="§","",N(N102)+SUMIFS(Estação!$O$2:$O$50000,Estação!$A$2:$A$50000,$B103))</f>
        <v/>
      </c>
      <c r="O103" s="12" t="str">
        <f>IF($B103="§","",N(O102)+SUMIFS(Estação!$P$2:$P$50000,Estação!$A$2:$A$50000,$B103))</f>
        <v/>
      </c>
      <c r="P103" s="12" t="str">
        <f>IF($B103="§","",N(P102)+SUMIFS(Estação!$Q$2:$Q$50000,Estação!$A$2:$A$50000,$B103))</f>
        <v/>
      </c>
      <c r="Q103" s="12" t="str">
        <f>IF($B103="§","",IFERROR(AVERAGEIFS(Estação!$AA$2:$AA$50000,Estação!$A$2:$A$50000,$B103,Estação!$AA$2:$AA$50000,"&gt;-50"),""))</f>
        <v/>
      </c>
      <c r="R103" s="12" t="str">
        <f>IF($B103="§","",IFERROR(AVERAGEIFS(Estação!$AB$2:$AB$50000,Estação!$A$2:$A$50000,$B103,Estação!$AB$2:$AB$50000,"&gt;-50"),""))</f>
        <v/>
      </c>
      <c r="S103" s="12" t="str">
        <f>IF($B103="§","",IFERROR(AVERAGEIFS(Estação!$Y$2:$Y$50000,Estação!$A$2:$A$50000,$B103,Estação!$Y$2:$Y$50000,"&gt;-50"),""))</f>
        <v/>
      </c>
      <c r="T103" s="12" t="str">
        <f>IF($B103="§","",IFERROR(AVERAGEIFS(Estação!$C$2:$C$50000,Estação!$A$2:$A$50000,$B103,Estação!$C$2:$C$50000,"&gt;-50"),""))</f>
        <v/>
      </c>
    </row>
    <row r="104" spans="1:20" x14ac:dyDescent="0.25">
      <c r="A104" s="12" t="str">
        <f t="shared" si="3"/>
        <v/>
      </c>
      <c r="B104" s="12" t="str">
        <f t="shared" si="4"/>
        <v>§</v>
      </c>
      <c r="C104" s="12">
        <f>EDATE(DATE(YEAR($C$1),MONTH($C$1),1),13)</f>
        <v>46600</v>
      </c>
      <c r="D104" s="12" t="str">
        <f>IF($B104="§","",IFERROR(AVERAGEIFS(Estação!$S$2:$S$50000,Estação!$A$2:$A$50000,$B104,Estação!$S$2:$S$50000,"&gt;-50"),""))</f>
        <v/>
      </c>
      <c r="E104" s="12" t="str">
        <f>IF($B104="§","",IFERROR(AVERAGEIFS(Estação!$T$2:$T$50000,Estação!$A$2:$A$50000,$B104,Estação!$T$2:$T$50000,"&gt;-50"),""))</f>
        <v/>
      </c>
      <c r="F104" s="12" t="str">
        <f>IF($B104="§","",IFERROR(AVERAGEIFS(Estação!$F$2:$F$50000,Estação!$A$2:$A$50000,$B104,Estação!$F$2:$F$50000,"&gt;-50"),""))</f>
        <v/>
      </c>
      <c r="G104" s="12" t="str">
        <f>IF($B104="§","",IFERROR(AVERAGEIFS(Estação!$G$2:$G$50000,Estação!$A$2:$A$50000,$B104,Estação!$G$2:$G$50000,"&gt;-50"),""))</f>
        <v/>
      </c>
      <c r="H104" s="12" t="str">
        <f>IF($B104="§","",IFERROR(AVERAGEIFS(Estação!$Z$2:$Z$50000,Estação!$A$2:$A$50000,$B104,Estação!$Z$2:$Z$50000,"&gt;-50"),""))</f>
        <v/>
      </c>
      <c r="I104" s="12" t="str">
        <f>IF($B104="§","",IFERROR(AVERAGEIFS(Estação!$E$2:$E$50000,Estação!$A$2:$A$50000,$B104,Estação!$E$2:$E$50000,"&gt;-50"),""))</f>
        <v/>
      </c>
      <c r="J104" s="12" t="str">
        <f>IF($B104="§","",IFERROR(AVERAGEIFS(Estação!$H$2:$H$50000,Estação!$A$2:$A$50000,$B104,Estação!$H$2:$H$50000,"&gt;-50"),""))</f>
        <v/>
      </c>
      <c r="K104" s="12" t="str">
        <f>IF($B104="§","",IFERROR(AVERAGEIFS(Estação!$L$2:$L$50000,Estação!$A$2:$A$50000,$B104,Estação!$L$2:$L$50000,"&gt;-50"),""))</f>
        <v/>
      </c>
      <c r="L104" s="12" t="str">
        <f>IF($B104="§","",IFERROR(AVERAGEIFS(Estação!$B$2:$B$50000,Estação!$A$2:$A$50000,$B104,Estação!$B$2:$B$50000,"&gt;-50"),""))</f>
        <v/>
      </c>
      <c r="M104" s="12" t="str">
        <f>IF($B104="§","",IFERROR(AVERAGEIFS(Estação!$M$2:$M$50000,Estação!$A$2:$A$50000,$B104,Estação!$M$2:$M$50000,"&gt;-50"),""))</f>
        <v/>
      </c>
      <c r="N104" s="12" t="str">
        <f>IF($B104="§","",N(N103)+SUMIFS(Estação!$O$2:$O$50000,Estação!$A$2:$A$50000,$B104))</f>
        <v/>
      </c>
      <c r="O104" s="12" t="str">
        <f>IF($B104="§","",N(O103)+SUMIFS(Estação!$P$2:$P$50000,Estação!$A$2:$A$50000,$B104))</f>
        <v/>
      </c>
      <c r="P104" s="12" t="str">
        <f>IF($B104="§","",N(P103)+SUMIFS(Estação!$Q$2:$Q$50000,Estação!$A$2:$A$50000,$B104))</f>
        <v/>
      </c>
      <c r="Q104" s="12" t="str">
        <f>IF($B104="§","",IFERROR(AVERAGEIFS(Estação!$AA$2:$AA$50000,Estação!$A$2:$A$50000,$B104,Estação!$AA$2:$AA$50000,"&gt;-50"),""))</f>
        <v/>
      </c>
      <c r="R104" s="12" t="str">
        <f>IF($B104="§","",IFERROR(AVERAGEIFS(Estação!$AB$2:$AB$50000,Estação!$A$2:$A$50000,$B104,Estação!$AB$2:$AB$50000,"&gt;-50"),""))</f>
        <v/>
      </c>
      <c r="S104" s="12" t="str">
        <f>IF($B104="§","",IFERROR(AVERAGEIFS(Estação!$Y$2:$Y$50000,Estação!$A$2:$A$50000,$B104,Estação!$Y$2:$Y$50000,"&gt;-50"),""))</f>
        <v/>
      </c>
      <c r="T104" s="12" t="str">
        <f>IF($B104="§","",IFERROR(AVERAGEIFS(Estação!$C$2:$C$50000,Estação!$A$2:$A$50000,$B104,Estação!$C$2:$C$50000,"&gt;-50"),""))</f>
        <v/>
      </c>
    </row>
    <row r="105" spans="1:20" x14ac:dyDescent="0.25">
      <c r="A105" s="12" t="str">
        <f t="shared" si="3"/>
        <v/>
      </c>
      <c r="B105" s="12" t="str">
        <f t="shared" si="4"/>
        <v>§</v>
      </c>
      <c r="C105" s="12">
        <f>EDATE(DATE(YEAR($C$1),MONTH($C$1),1),14)</f>
        <v>46631</v>
      </c>
      <c r="D105" s="12" t="str">
        <f>IF($B105="§","",IFERROR(AVERAGEIFS(Estação!$S$2:$S$50000,Estação!$A$2:$A$50000,$B105,Estação!$S$2:$S$50000,"&gt;-50"),""))</f>
        <v/>
      </c>
      <c r="E105" s="12" t="str">
        <f>IF($B105="§","",IFERROR(AVERAGEIFS(Estação!$T$2:$T$50000,Estação!$A$2:$A$50000,$B105,Estação!$T$2:$T$50000,"&gt;-50"),""))</f>
        <v/>
      </c>
      <c r="F105" s="12" t="str">
        <f>IF($B105="§","",IFERROR(AVERAGEIFS(Estação!$F$2:$F$50000,Estação!$A$2:$A$50000,$B105,Estação!$F$2:$F$50000,"&gt;-50"),""))</f>
        <v/>
      </c>
      <c r="G105" s="12" t="str">
        <f>IF($B105="§","",IFERROR(AVERAGEIFS(Estação!$G$2:$G$50000,Estação!$A$2:$A$50000,$B105,Estação!$G$2:$G$50000,"&gt;-50"),""))</f>
        <v/>
      </c>
      <c r="H105" s="12" t="str">
        <f>IF($B105="§","",IFERROR(AVERAGEIFS(Estação!$Z$2:$Z$50000,Estação!$A$2:$A$50000,$B105,Estação!$Z$2:$Z$50000,"&gt;-50"),""))</f>
        <v/>
      </c>
      <c r="I105" s="12" t="str">
        <f>IF($B105="§","",IFERROR(AVERAGEIFS(Estação!$E$2:$E$50000,Estação!$A$2:$A$50000,$B105,Estação!$E$2:$E$50000,"&gt;-50"),""))</f>
        <v/>
      </c>
      <c r="J105" s="12" t="str">
        <f>IF($B105="§","",IFERROR(AVERAGEIFS(Estação!$H$2:$H$50000,Estação!$A$2:$A$50000,$B105,Estação!$H$2:$H$50000,"&gt;-50"),""))</f>
        <v/>
      </c>
      <c r="K105" s="12" t="str">
        <f>IF($B105="§","",IFERROR(AVERAGEIFS(Estação!$L$2:$L$50000,Estação!$A$2:$A$50000,$B105,Estação!$L$2:$L$50000,"&gt;-50"),""))</f>
        <v/>
      </c>
      <c r="L105" s="12" t="str">
        <f>IF($B105="§","",IFERROR(AVERAGEIFS(Estação!$B$2:$B$50000,Estação!$A$2:$A$50000,$B105,Estação!$B$2:$B$50000,"&gt;-50"),""))</f>
        <v/>
      </c>
      <c r="M105" s="12" t="str">
        <f>IF($B105="§","",IFERROR(AVERAGEIFS(Estação!$M$2:$M$50000,Estação!$A$2:$A$50000,$B105,Estação!$M$2:$M$50000,"&gt;-50"),""))</f>
        <v/>
      </c>
      <c r="N105" s="12" t="str">
        <f>IF($B105="§","",N(N104)+SUMIFS(Estação!$O$2:$O$50000,Estação!$A$2:$A$50000,$B105))</f>
        <v/>
      </c>
      <c r="O105" s="12" t="str">
        <f>IF($B105="§","",N(O104)+SUMIFS(Estação!$P$2:$P$50000,Estação!$A$2:$A$50000,$B105))</f>
        <v/>
      </c>
      <c r="P105" s="12" t="str">
        <f>IF($B105="§","",N(P104)+SUMIFS(Estação!$Q$2:$Q$50000,Estação!$A$2:$A$50000,$B105))</f>
        <v/>
      </c>
      <c r="Q105" s="12" t="str">
        <f>IF($B105="§","",IFERROR(AVERAGEIFS(Estação!$AA$2:$AA$50000,Estação!$A$2:$A$50000,$B105,Estação!$AA$2:$AA$50000,"&gt;-50"),""))</f>
        <v/>
      </c>
      <c r="R105" s="12" t="str">
        <f>IF($B105="§","",IFERROR(AVERAGEIFS(Estação!$AB$2:$AB$50000,Estação!$A$2:$A$50000,$B105,Estação!$AB$2:$AB$50000,"&gt;-50"),""))</f>
        <v/>
      </c>
      <c r="S105" s="12" t="str">
        <f>IF($B105="§","",IFERROR(AVERAGEIFS(Estação!$Y$2:$Y$50000,Estação!$A$2:$A$50000,$B105,Estação!$Y$2:$Y$50000,"&gt;-50"),""))</f>
        <v/>
      </c>
      <c r="T105" s="12" t="str">
        <f>IF($B105="§","",IFERROR(AVERAGEIFS(Estação!$C$2:$C$50000,Estação!$A$2:$A$50000,$B105,Estação!$C$2:$C$50000,"&gt;-50"),""))</f>
        <v/>
      </c>
    </row>
    <row r="106" spans="1:20" x14ac:dyDescent="0.25">
      <c r="A106" s="12" t="str">
        <f t="shared" si="3"/>
        <v/>
      </c>
      <c r="B106" s="12" t="str">
        <f t="shared" si="4"/>
        <v>§</v>
      </c>
      <c r="C106" s="12">
        <f>EDATE(DATE(YEAR($C$1),MONTH($C$1),1),15)</f>
        <v>46661</v>
      </c>
      <c r="D106" s="12" t="str">
        <f>IF($B106="§","",IFERROR(AVERAGEIFS(Estação!$S$2:$S$50000,Estação!$A$2:$A$50000,$B106,Estação!$S$2:$S$50000,"&gt;-50"),""))</f>
        <v/>
      </c>
      <c r="E106" s="12" t="str">
        <f>IF($B106="§","",IFERROR(AVERAGEIFS(Estação!$T$2:$T$50000,Estação!$A$2:$A$50000,$B106,Estação!$T$2:$T$50000,"&gt;-50"),""))</f>
        <v/>
      </c>
      <c r="F106" s="12" t="str">
        <f>IF($B106="§","",IFERROR(AVERAGEIFS(Estação!$F$2:$F$50000,Estação!$A$2:$A$50000,$B106,Estação!$F$2:$F$50000,"&gt;-50"),""))</f>
        <v/>
      </c>
      <c r="G106" s="12" t="str">
        <f>IF($B106="§","",IFERROR(AVERAGEIFS(Estação!$G$2:$G$50000,Estação!$A$2:$A$50000,$B106,Estação!$G$2:$G$50000,"&gt;-50"),""))</f>
        <v/>
      </c>
      <c r="H106" s="12" t="str">
        <f>IF($B106="§","",IFERROR(AVERAGEIFS(Estação!$Z$2:$Z$50000,Estação!$A$2:$A$50000,$B106,Estação!$Z$2:$Z$50000,"&gt;-50"),""))</f>
        <v/>
      </c>
      <c r="I106" s="12" t="str">
        <f>IF($B106="§","",IFERROR(AVERAGEIFS(Estação!$E$2:$E$50000,Estação!$A$2:$A$50000,$B106,Estação!$E$2:$E$50000,"&gt;-50"),""))</f>
        <v/>
      </c>
      <c r="J106" s="12" t="str">
        <f>IF($B106="§","",IFERROR(AVERAGEIFS(Estação!$H$2:$H$50000,Estação!$A$2:$A$50000,$B106,Estação!$H$2:$H$50000,"&gt;-50"),""))</f>
        <v/>
      </c>
      <c r="K106" s="12" t="str">
        <f>IF($B106="§","",IFERROR(AVERAGEIFS(Estação!$L$2:$L$50000,Estação!$A$2:$A$50000,$B106,Estação!$L$2:$L$50000,"&gt;-50"),""))</f>
        <v/>
      </c>
      <c r="L106" s="12" t="str">
        <f>IF($B106="§","",IFERROR(AVERAGEIFS(Estação!$B$2:$B$50000,Estação!$A$2:$A$50000,$B106,Estação!$B$2:$B$50000,"&gt;-50"),""))</f>
        <v/>
      </c>
      <c r="M106" s="12" t="str">
        <f>IF($B106="§","",IFERROR(AVERAGEIFS(Estação!$M$2:$M$50000,Estação!$A$2:$A$50000,$B106,Estação!$M$2:$M$50000,"&gt;-50"),""))</f>
        <v/>
      </c>
      <c r="N106" s="12" t="str">
        <f>IF($B106="§","",N(N105)+SUMIFS(Estação!$O$2:$O$50000,Estação!$A$2:$A$50000,$B106))</f>
        <v/>
      </c>
      <c r="O106" s="12" t="str">
        <f>IF($B106="§","",N(O105)+SUMIFS(Estação!$P$2:$P$50000,Estação!$A$2:$A$50000,$B106))</f>
        <v/>
      </c>
      <c r="P106" s="12" t="str">
        <f>IF($B106="§","",N(P105)+SUMIFS(Estação!$Q$2:$Q$50000,Estação!$A$2:$A$50000,$B106))</f>
        <v/>
      </c>
      <c r="Q106" s="12" t="str">
        <f>IF($B106="§","",IFERROR(AVERAGEIFS(Estação!$AA$2:$AA$50000,Estação!$A$2:$A$50000,$B106,Estação!$AA$2:$AA$50000,"&gt;-50"),""))</f>
        <v/>
      </c>
      <c r="R106" s="12" t="str">
        <f>IF($B106="§","",IFERROR(AVERAGEIFS(Estação!$AB$2:$AB$50000,Estação!$A$2:$A$50000,$B106,Estação!$AB$2:$AB$50000,"&gt;-50"),""))</f>
        <v/>
      </c>
      <c r="S106" s="12" t="str">
        <f>IF($B106="§","",IFERROR(AVERAGEIFS(Estação!$Y$2:$Y$50000,Estação!$A$2:$A$50000,$B106,Estação!$Y$2:$Y$50000,"&gt;-50"),""))</f>
        <v/>
      </c>
      <c r="T106" s="12" t="str">
        <f>IF($B106="§","",IFERROR(AVERAGEIFS(Estação!$C$2:$C$50000,Estação!$A$2:$A$50000,$B106,Estação!$C$2:$C$50000,"&gt;-50"),""))</f>
        <v/>
      </c>
    </row>
    <row r="107" spans="1:20" x14ac:dyDescent="0.25">
      <c r="A107" s="12" t="str">
        <f t="shared" si="3"/>
        <v/>
      </c>
      <c r="B107" s="12" t="str">
        <f t="shared" si="4"/>
        <v>§</v>
      </c>
      <c r="C107" s="12">
        <f>EDATE(DATE(YEAR($C$1),MONTH($C$1),1),16)</f>
        <v>46692</v>
      </c>
      <c r="D107" s="12" t="str">
        <f>IF($B107="§","",IFERROR(AVERAGEIFS(Estação!$S$2:$S$50000,Estação!$A$2:$A$50000,$B107,Estação!$S$2:$S$50000,"&gt;-50"),""))</f>
        <v/>
      </c>
      <c r="E107" s="12" t="str">
        <f>IF($B107="§","",IFERROR(AVERAGEIFS(Estação!$T$2:$T$50000,Estação!$A$2:$A$50000,$B107,Estação!$T$2:$T$50000,"&gt;-50"),""))</f>
        <v/>
      </c>
      <c r="F107" s="12" t="str">
        <f>IF($B107="§","",IFERROR(AVERAGEIFS(Estação!$F$2:$F$50000,Estação!$A$2:$A$50000,$B107,Estação!$F$2:$F$50000,"&gt;-50"),""))</f>
        <v/>
      </c>
      <c r="G107" s="12" t="str">
        <f>IF($B107="§","",IFERROR(AVERAGEIFS(Estação!$G$2:$G$50000,Estação!$A$2:$A$50000,$B107,Estação!$G$2:$G$50000,"&gt;-50"),""))</f>
        <v/>
      </c>
      <c r="H107" s="12" t="str">
        <f>IF($B107="§","",IFERROR(AVERAGEIFS(Estação!$Z$2:$Z$50000,Estação!$A$2:$A$50000,$B107,Estação!$Z$2:$Z$50000,"&gt;-50"),""))</f>
        <v/>
      </c>
      <c r="I107" s="12" t="str">
        <f>IF($B107="§","",IFERROR(AVERAGEIFS(Estação!$E$2:$E$50000,Estação!$A$2:$A$50000,$B107,Estação!$E$2:$E$50000,"&gt;-50"),""))</f>
        <v/>
      </c>
      <c r="J107" s="12" t="str">
        <f>IF($B107="§","",IFERROR(AVERAGEIFS(Estação!$H$2:$H$50000,Estação!$A$2:$A$50000,$B107,Estação!$H$2:$H$50000,"&gt;-50"),""))</f>
        <v/>
      </c>
      <c r="K107" s="12" t="str">
        <f>IF($B107="§","",IFERROR(AVERAGEIFS(Estação!$L$2:$L$50000,Estação!$A$2:$A$50000,$B107,Estação!$L$2:$L$50000,"&gt;-50"),""))</f>
        <v/>
      </c>
      <c r="L107" s="12" t="str">
        <f>IF($B107="§","",IFERROR(AVERAGEIFS(Estação!$B$2:$B$50000,Estação!$A$2:$A$50000,$B107,Estação!$B$2:$B$50000,"&gt;-50"),""))</f>
        <v/>
      </c>
      <c r="M107" s="12" t="str">
        <f>IF($B107="§","",IFERROR(AVERAGEIFS(Estação!$M$2:$M$50000,Estação!$A$2:$A$50000,$B107,Estação!$M$2:$M$50000,"&gt;-50"),""))</f>
        <v/>
      </c>
      <c r="N107" s="12" t="str">
        <f>IF($B107="§","",N(N106)+SUMIFS(Estação!$O$2:$O$50000,Estação!$A$2:$A$50000,$B107))</f>
        <v/>
      </c>
      <c r="O107" s="12" t="str">
        <f>IF($B107="§","",N(O106)+SUMIFS(Estação!$P$2:$P$50000,Estação!$A$2:$A$50000,$B107))</f>
        <v/>
      </c>
      <c r="P107" s="12" t="str">
        <f>IF($B107="§","",N(P106)+SUMIFS(Estação!$Q$2:$Q$50000,Estação!$A$2:$A$50000,$B107))</f>
        <v/>
      </c>
      <c r="Q107" s="12" t="str">
        <f>IF($B107="§","",IFERROR(AVERAGEIFS(Estação!$AA$2:$AA$50000,Estação!$A$2:$A$50000,$B107,Estação!$AA$2:$AA$50000,"&gt;-50"),""))</f>
        <v/>
      </c>
      <c r="R107" s="12" t="str">
        <f>IF($B107="§","",IFERROR(AVERAGEIFS(Estação!$AB$2:$AB$50000,Estação!$A$2:$A$50000,$B107,Estação!$AB$2:$AB$50000,"&gt;-50"),""))</f>
        <v/>
      </c>
      <c r="S107" s="12" t="str">
        <f>IF($B107="§","",IFERROR(AVERAGEIFS(Estação!$Y$2:$Y$50000,Estação!$A$2:$A$50000,$B107,Estação!$Y$2:$Y$50000,"&gt;-50"),""))</f>
        <v/>
      </c>
      <c r="T107" s="12" t="str">
        <f>IF($B107="§","",IFERROR(AVERAGEIFS(Estação!$C$2:$C$50000,Estação!$A$2:$A$50000,$B107,Estação!$C$2:$C$50000,"&gt;-50"),""))</f>
        <v/>
      </c>
    </row>
    <row r="108" spans="1:20" x14ac:dyDescent="0.25">
      <c r="A108" s="12" t="str">
        <f t="shared" si="3"/>
        <v/>
      </c>
      <c r="B108" s="12" t="str">
        <f t="shared" si="4"/>
        <v>§</v>
      </c>
      <c r="C108" s="12">
        <f>EDATE(DATE(YEAR($C$1),MONTH($C$1),1),17)</f>
        <v>46722</v>
      </c>
      <c r="D108" s="12" t="str">
        <f>IF($B108="§","",IFERROR(AVERAGEIFS(Estação!$S$2:$S$50000,Estação!$A$2:$A$50000,$B108,Estação!$S$2:$S$50000,"&gt;-50"),""))</f>
        <v/>
      </c>
      <c r="E108" s="12" t="str">
        <f>IF($B108="§","",IFERROR(AVERAGEIFS(Estação!$T$2:$T$50000,Estação!$A$2:$A$50000,$B108,Estação!$T$2:$T$50000,"&gt;-50"),""))</f>
        <v/>
      </c>
      <c r="F108" s="12" t="str">
        <f>IF($B108="§","",IFERROR(AVERAGEIFS(Estação!$F$2:$F$50000,Estação!$A$2:$A$50000,$B108,Estação!$F$2:$F$50000,"&gt;-50"),""))</f>
        <v/>
      </c>
      <c r="G108" s="12" t="str">
        <f>IF($B108="§","",IFERROR(AVERAGEIFS(Estação!$G$2:$G$50000,Estação!$A$2:$A$50000,$B108,Estação!$G$2:$G$50000,"&gt;-50"),""))</f>
        <v/>
      </c>
      <c r="H108" s="12" t="str">
        <f>IF($B108="§","",IFERROR(AVERAGEIFS(Estação!$Z$2:$Z$50000,Estação!$A$2:$A$50000,$B108,Estação!$Z$2:$Z$50000,"&gt;-50"),""))</f>
        <v/>
      </c>
      <c r="I108" s="12" t="str">
        <f>IF($B108="§","",IFERROR(AVERAGEIFS(Estação!$E$2:$E$50000,Estação!$A$2:$A$50000,$B108,Estação!$E$2:$E$50000,"&gt;-50"),""))</f>
        <v/>
      </c>
      <c r="J108" s="12" t="str">
        <f>IF($B108="§","",IFERROR(AVERAGEIFS(Estação!$H$2:$H$50000,Estação!$A$2:$A$50000,$B108,Estação!$H$2:$H$50000,"&gt;-50"),""))</f>
        <v/>
      </c>
      <c r="K108" s="12" t="str">
        <f>IF($B108="§","",IFERROR(AVERAGEIFS(Estação!$L$2:$L$50000,Estação!$A$2:$A$50000,$B108,Estação!$L$2:$L$50000,"&gt;-50"),""))</f>
        <v/>
      </c>
      <c r="L108" s="12" t="str">
        <f>IF($B108="§","",IFERROR(AVERAGEIFS(Estação!$B$2:$B$50000,Estação!$A$2:$A$50000,$B108,Estação!$B$2:$B$50000,"&gt;-50"),""))</f>
        <v/>
      </c>
      <c r="M108" s="12" t="str">
        <f>IF($B108="§","",IFERROR(AVERAGEIFS(Estação!$M$2:$M$50000,Estação!$A$2:$A$50000,$B108,Estação!$M$2:$M$50000,"&gt;-50"),""))</f>
        <v/>
      </c>
      <c r="N108" s="12" t="str">
        <f>IF($B108="§","",N(N107)+SUMIFS(Estação!$O$2:$O$50000,Estação!$A$2:$A$50000,$B108))</f>
        <v/>
      </c>
      <c r="O108" s="12" t="str">
        <f>IF($B108="§","",N(O107)+SUMIFS(Estação!$P$2:$P$50000,Estação!$A$2:$A$50000,$B108))</f>
        <v/>
      </c>
      <c r="P108" s="12" t="str">
        <f>IF($B108="§","",N(P107)+SUMIFS(Estação!$Q$2:$Q$50000,Estação!$A$2:$A$50000,$B108))</f>
        <v/>
      </c>
      <c r="Q108" s="12" t="str">
        <f>IF($B108="§","",IFERROR(AVERAGEIFS(Estação!$AA$2:$AA$50000,Estação!$A$2:$A$50000,$B108,Estação!$AA$2:$AA$50000,"&gt;-50"),""))</f>
        <v/>
      </c>
      <c r="R108" s="12" t="str">
        <f>IF($B108="§","",IFERROR(AVERAGEIFS(Estação!$AB$2:$AB$50000,Estação!$A$2:$A$50000,$B108,Estação!$AB$2:$AB$50000,"&gt;-50"),""))</f>
        <v/>
      </c>
      <c r="S108" s="12" t="str">
        <f>IF($B108="§","",IFERROR(AVERAGEIFS(Estação!$Y$2:$Y$50000,Estação!$A$2:$A$50000,$B108,Estação!$Y$2:$Y$50000,"&gt;-50"),""))</f>
        <v/>
      </c>
      <c r="T108" s="12" t="str">
        <f>IF($B108="§","",IFERROR(AVERAGEIFS(Estação!$C$2:$C$50000,Estação!$A$2:$A$50000,$B108,Estação!$C$2:$C$50000,"&gt;-50"),""))</f>
        <v/>
      </c>
    </row>
    <row r="109" spans="1:20" x14ac:dyDescent="0.25">
      <c r="A109" s="12" t="str">
        <f t="shared" si="3"/>
        <v/>
      </c>
      <c r="B109" s="12" t="str">
        <f t="shared" si="4"/>
        <v>§</v>
      </c>
      <c r="C109" s="12">
        <f>EDATE(DATE(YEAR($C$1),MONTH($C$1),1),18)</f>
        <v>46753</v>
      </c>
      <c r="D109" s="12" t="str">
        <f>IF($B109="§","",IFERROR(AVERAGEIFS(Estação!$S$2:$S$50000,Estação!$A$2:$A$50000,$B109,Estação!$S$2:$S$50000,"&gt;-50"),""))</f>
        <v/>
      </c>
      <c r="E109" s="12" t="str">
        <f>IF($B109="§","",IFERROR(AVERAGEIFS(Estação!$T$2:$T$50000,Estação!$A$2:$A$50000,$B109,Estação!$T$2:$T$50000,"&gt;-50"),""))</f>
        <v/>
      </c>
      <c r="F109" s="12" t="str">
        <f>IF($B109="§","",IFERROR(AVERAGEIFS(Estação!$F$2:$F$50000,Estação!$A$2:$A$50000,$B109,Estação!$F$2:$F$50000,"&gt;-50"),""))</f>
        <v/>
      </c>
      <c r="G109" s="12" t="str">
        <f>IF($B109="§","",IFERROR(AVERAGEIFS(Estação!$G$2:$G$50000,Estação!$A$2:$A$50000,$B109,Estação!$G$2:$G$50000,"&gt;-50"),""))</f>
        <v/>
      </c>
      <c r="H109" s="12" t="str">
        <f>IF($B109="§","",IFERROR(AVERAGEIFS(Estação!$Z$2:$Z$50000,Estação!$A$2:$A$50000,$B109,Estação!$Z$2:$Z$50000,"&gt;-50"),""))</f>
        <v/>
      </c>
      <c r="I109" s="12" t="str">
        <f>IF($B109="§","",IFERROR(AVERAGEIFS(Estação!$E$2:$E$50000,Estação!$A$2:$A$50000,$B109,Estação!$E$2:$E$50000,"&gt;-50"),""))</f>
        <v/>
      </c>
      <c r="J109" s="12" t="str">
        <f>IF($B109="§","",IFERROR(AVERAGEIFS(Estação!$H$2:$H$50000,Estação!$A$2:$A$50000,$B109,Estação!$H$2:$H$50000,"&gt;-50"),""))</f>
        <v/>
      </c>
      <c r="K109" s="12" t="str">
        <f>IF($B109="§","",IFERROR(AVERAGEIFS(Estação!$L$2:$L$50000,Estação!$A$2:$A$50000,$B109,Estação!$L$2:$L$50000,"&gt;-50"),""))</f>
        <v/>
      </c>
      <c r="L109" s="12" t="str">
        <f>IF($B109="§","",IFERROR(AVERAGEIFS(Estação!$B$2:$B$50000,Estação!$A$2:$A$50000,$B109,Estação!$B$2:$B$50000,"&gt;-50"),""))</f>
        <v/>
      </c>
      <c r="M109" s="12" t="str">
        <f>IF($B109="§","",IFERROR(AVERAGEIFS(Estação!$M$2:$M$50000,Estação!$A$2:$A$50000,$B109,Estação!$M$2:$M$50000,"&gt;-50"),""))</f>
        <v/>
      </c>
      <c r="N109" s="12" t="str">
        <f>IF($B109="§","",N(N108)+SUMIFS(Estação!$O$2:$O$50000,Estação!$A$2:$A$50000,$B109))</f>
        <v/>
      </c>
      <c r="O109" s="12" t="str">
        <f>IF($B109="§","",N(O108)+SUMIFS(Estação!$P$2:$P$50000,Estação!$A$2:$A$50000,$B109))</f>
        <v/>
      </c>
      <c r="P109" s="12" t="str">
        <f>IF($B109="§","",N(P108)+SUMIFS(Estação!$Q$2:$Q$50000,Estação!$A$2:$A$50000,$B109))</f>
        <v/>
      </c>
      <c r="Q109" s="12" t="str">
        <f>IF($B109="§","",IFERROR(AVERAGEIFS(Estação!$AA$2:$AA$50000,Estação!$A$2:$A$50000,$B109,Estação!$AA$2:$AA$50000,"&gt;-50"),""))</f>
        <v/>
      </c>
      <c r="R109" s="12" t="str">
        <f>IF($B109="§","",IFERROR(AVERAGEIFS(Estação!$AB$2:$AB$50000,Estação!$A$2:$A$50000,$B109,Estação!$AB$2:$AB$50000,"&gt;-50"),""))</f>
        <v/>
      </c>
      <c r="S109" s="12" t="str">
        <f>IF($B109="§","",IFERROR(AVERAGEIFS(Estação!$Y$2:$Y$50000,Estação!$A$2:$A$50000,$B109,Estação!$Y$2:$Y$50000,"&gt;-50"),""))</f>
        <v/>
      </c>
      <c r="T109" s="12" t="str">
        <f>IF($B109="§","",IFERROR(AVERAGEIFS(Estação!$C$2:$C$50000,Estação!$A$2:$A$50000,$B109,Estação!$C$2:$C$50000,"&gt;-50"),""))</f>
        <v/>
      </c>
    </row>
    <row r="110" spans="1:20" x14ac:dyDescent="0.25">
      <c r="A110" s="12" t="str">
        <f t="shared" si="3"/>
        <v/>
      </c>
      <c r="B110" s="12" t="str">
        <f t="shared" si="4"/>
        <v>§</v>
      </c>
      <c r="C110" s="12">
        <f>EDATE(DATE(YEAR($C$1),MONTH($C$1),1),19)</f>
        <v>46784</v>
      </c>
      <c r="D110" s="12" t="str">
        <f>IF($B110="§","",IFERROR(AVERAGEIFS(Estação!$S$2:$S$50000,Estação!$A$2:$A$50000,$B110,Estação!$S$2:$S$50000,"&gt;-50"),""))</f>
        <v/>
      </c>
      <c r="E110" s="12" t="str">
        <f>IF($B110="§","",IFERROR(AVERAGEIFS(Estação!$T$2:$T$50000,Estação!$A$2:$A$50000,$B110,Estação!$T$2:$T$50000,"&gt;-50"),""))</f>
        <v/>
      </c>
      <c r="F110" s="12" t="str">
        <f>IF($B110="§","",IFERROR(AVERAGEIFS(Estação!$F$2:$F$50000,Estação!$A$2:$A$50000,$B110,Estação!$F$2:$F$50000,"&gt;-50"),""))</f>
        <v/>
      </c>
      <c r="G110" s="12" t="str">
        <f>IF($B110="§","",IFERROR(AVERAGEIFS(Estação!$G$2:$G$50000,Estação!$A$2:$A$50000,$B110,Estação!$G$2:$G$50000,"&gt;-50"),""))</f>
        <v/>
      </c>
      <c r="H110" s="12" t="str">
        <f>IF($B110="§","",IFERROR(AVERAGEIFS(Estação!$Z$2:$Z$50000,Estação!$A$2:$A$50000,$B110,Estação!$Z$2:$Z$50000,"&gt;-50"),""))</f>
        <v/>
      </c>
      <c r="I110" s="12" t="str">
        <f>IF($B110="§","",IFERROR(AVERAGEIFS(Estação!$E$2:$E$50000,Estação!$A$2:$A$50000,$B110,Estação!$E$2:$E$50000,"&gt;-50"),""))</f>
        <v/>
      </c>
      <c r="J110" s="12" t="str">
        <f>IF($B110="§","",IFERROR(AVERAGEIFS(Estação!$H$2:$H$50000,Estação!$A$2:$A$50000,$B110,Estação!$H$2:$H$50000,"&gt;-50"),""))</f>
        <v/>
      </c>
      <c r="K110" s="12" t="str">
        <f>IF($B110="§","",IFERROR(AVERAGEIFS(Estação!$L$2:$L$50000,Estação!$A$2:$A$50000,$B110,Estação!$L$2:$L$50000,"&gt;-50"),""))</f>
        <v/>
      </c>
      <c r="L110" s="12" t="str">
        <f>IF($B110="§","",IFERROR(AVERAGEIFS(Estação!$B$2:$B$50000,Estação!$A$2:$A$50000,$B110,Estação!$B$2:$B$50000,"&gt;-50"),""))</f>
        <v/>
      </c>
      <c r="M110" s="12" t="str">
        <f>IF($B110="§","",IFERROR(AVERAGEIFS(Estação!$M$2:$M$50000,Estação!$A$2:$A$50000,$B110,Estação!$M$2:$M$50000,"&gt;-50"),""))</f>
        <v/>
      </c>
      <c r="N110" s="12" t="str">
        <f>IF($B110="§","",N(N109)+SUMIFS(Estação!$O$2:$O$50000,Estação!$A$2:$A$50000,$B110))</f>
        <v/>
      </c>
      <c r="O110" s="12" t="str">
        <f>IF($B110="§","",N(O109)+SUMIFS(Estação!$P$2:$P$50000,Estação!$A$2:$A$50000,$B110))</f>
        <v/>
      </c>
      <c r="P110" s="12" t="str">
        <f>IF($B110="§","",N(P109)+SUMIFS(Estação!$Q$2:$Q$50000,Estação!$A$2:$A$50000,$B110))</f>
        <v/>
      </c>
      <c r="Q110" s="12" t="str">
        <f>IF($B110="§","",IFERROR(AVERAGEIFS(Estação!$AA$2:$AA$50000,Estação!$A$2:$A$50000,$B110,Estação!$AA$2:$AA$50000,"&gt;-50"),""))</f>
        <v/>
      </c>
      <c r="R110" s="12" t="str">
        <f>IF($B110="§","",IFERROR(AVERAGEIFS(Estação!$AB$2:$AB$50000,Estação!$A$2:$A$50000,$B110,Estação!$AB$2:$AB$50000,"&gt;-50"),""))</f>
        <v/>
      </c>
      <c r="S110" s="12" t="str">
        <f>IF($B110="§","",IFERROR(AVERAGEIFS(Estação!$Y$2:$Y$50000,Estação!$A$2:$A$50000,$B110,Estação!$Y$2:$Y$50000,"&gt;-50"),""))</f>
        <v/>
      </c>
      <c r="T110" s="12" t="str">
        <f>IF($B110="§","",IFERROR(AVERAGEIFS(Estação!$C$2:$C$50000,Estação!$A$2:$A$50000,$B110,Estação!$C$2:$C$50000,"&gt;-50"),""))</f>
        <v/>
      </c>
    </row>
    <row r="111" spans="1:20" x14ac:dyDescent="0.25">
      <c r="A111" s="12" t="str">
        <f t="shared" si="3"/>
        <v/>
      </c>
      <c r="B111" s="12" t="str">
        <f t="shared" si="4"/>
        <v>§</v>
      </c>
      <c r="C111" s="12">
        <f>EDATE(DATE(YEAR($C$1),MONTH($C$1),1),20)</f>
        <v>46813</v>
      </c>
      <c r="D111" s="12" t="str">
        <f>IF($B111="§","",IFERROR(AVERAGEIFS(Estação!$S$2:$S$50000,Estação!$A$2:$A$50000,$B111,Estação!$S$2:$S$50000,"&gt;-50"),""))</f>
        <v/>
      </c>
      <c r="E111" s="12" t="str">
        <f>IF($B111="§","",IFERROR(AVERAGEIFS(Estação!$T$2:$T$50000,Estação!$A$2:$A$50000,$B111,Estação!$T$2:$T$50000,"&gt;-50"),""))</f>
        <v/>
      </c>
      <c r="F111" s="12" t="str">
        <f>IF($B111="§","",IFERROR(AVERAGEIFS(Estação!$F$2:$F$50000,Estação!$A$2:$A$50000,$B111,Estação!$F$2:$F$50000,"&gt;-50"),""))</f>
        <v/>
      </c>
      <c r="G111" s="12" t="str">
        <f>IF($B111="§","",IFERROR(AVERAGEIFS(Estação!$G$2:$G$50000,Estação!$A$2:$A$50000,$B111,Estação!$G$2:$G$50000,"&gt;-50"),""))</f>
        <v/>
      </c>
      <c r="H111" s="12" t="str">
        <f>IF($B111="§","",IFERROR(AVERAGEIFS(Estação!$Z$2:$Z$50000,Estação!$A$2:$A$50000,$B111,Estação!$Z$2:$Z$50000,"&gt;-50"),""))</f>
        <v/>
      </c>
      <c r="I111" s="12" t="str">
        <f>IF($B111="§","",IFERROR(AVERAGEIFS(Estação!$E$2:$E$50000,Estação!$A$2:$A$50000,$B111,Estação!$E$2:$E$50000,"&gt;-50"),""))</f>
        <v/>
      </c>
      <c r="J111" s="12" t="str">
        <f>IF($B111="§","",IFERROR(AVERAGEIFS(Estação!$H$2:$H$50000,Estação!$A$2:$A$50000,$B111,Estação!$H$2:$H$50000,"&gt;-50"),""))</f>
        <v/>
      </c>
      <c r="K111" s="12" t="str">
        <f>IF($B111="§","",IFERROR(AVERAGEIFS(Estação!$L$2:$L$50000,Estação!$A$2:$A$50000,$B111,Estação!$L$2:$L$50000,"&gt;-50"),""))</f>
        <v/>
      </c>
      <c r="L111" s="12" t="str">
        <f>IF($B111="§","",IFERROR(AVERAGEIFS(Estação!$B$2:$B$50000,Estação!$A$2:$A$50000,$B111,Estação!$B$2:$B$50000,"&gt;-50"),""))</f>
        <v/>
      </c>
      <c r="M111" s="12" t="str">
        <f>IF($B111="§","",IFERROR(AVERAGEIFS(Estação!$M$2:$M$50000,Estação!$A$2:$A$50000,$B111,Estação!$M$2:$M$50000,"&gt;-50"),""))</f>
        <v/>
      </c>
      <c r="N111" s="12" t="str">
        <f>IF($B111="§","",N(N110)+SUMIFS(Estação!$O$2:$O$50000,Estação!$A$2:$A$50000,$B111))</f>
        <v/>
      </c>
      <c r="O111" s="12" t="str">
        <f>IF($B111="§","",N(O110)+SUMIFS(Estação!$P$2:$P$50000,Estação!$A$2:$A$50000,$B111))</f>
        <v/>
      </c>
      <c r="P111" s="12" t="str">
        <f>IF($B111="§","",N(P110)+SUMIFS(Estação!$Q$2:$Q$50000,Estação!$A$2:$A$50000,$B111))</f>
        <v/>
      </c>
      <c r="Q111" s="12" t="str">
        <f>IF($B111="§","",IFERROR(AVERAGEIFS(Estação!$AA$2:$AA$50000,Estação!$A$2:$A$50000,$B111,Estação!$AA$2:$AA$50000,"&gt;-50"),""))</f>
        <v/>
      </c>
      <c r="R111" s="12" t="str">
        <f>IF($B111="§","",IFERROR(AVERAGEIFS(Estação!$AB$2:$AB$50000,Estação!$A$2:$A$50000,$B111,Estação!$AB$2:$AB$50000,"&gt;-50"),""))</f>
        <v/>
      </c>
      <c r="S111" s="12" t="str">
        <f>IF($B111="§","",IFERROR(AVERAGEIFS(Estação!$Y$2:$Y$50000,Estação!$A$2:$A$50000,$B111,Estação!$Y$2:$Y$50000,"&gt;-50"),""))</f>
        <v/>
      </c>
      <c r="T111" s="12" t="str">
        <f>IF($B111="§","",IFERROR(AVERAGEIFS(Estação!$C$2:$C$50000,Estação!$A$2:$A$50000,$B111,Estação!$C$2:$C$50000,"&gt;-50"),""))</f>
        <v/>
      </c>
    </row>
    <row r="112" spans="1:20" x14ac:dyDescent="0.25">
      <c r="A112" s="12" t="str">
        <f t="shared" si="3"/>
        <v/>
      </c>
      <c r="B112" s="12" t="str">
        <f t="shared" si="4"/>
        <v>§</v>
      </c>
      <c r="C112" s="12">
        <f>EDATE(DATE(YEAR($C$1),MONTH($C$1),1),21)</f>
        <v>46844</v>
      </c>
      <c r="D112" s="12" t="str">
        <f>IF($B112="§","",IFERROR(AVERAGEIFS(Estação!$S$2:$S$50000,Estação!$A$2:$A$50000,$B112,Estação!$S$2:$S$50000,"&gt;-50"),""))</f>
        <v/>
      </c>
      <c r="E112" s="12" t="str">
        <f>IF($B112="§","",IFERROR(AVERAGEIFS(Estação!$T$2:$T$50000,Estação!$A$2:$A$50000,$B112,Estação!$T$2:$T$50000,"&gt;-50"),""))</f>
        <v/>
      </c>
      <c r="F112" s="12" t="str">
        <f>IF($B112="§","",IFERROR(AVERAGEIFS(Estação!$F$2:$F$50000,Estação!$A$2:$A$50000,$B112,Estação!$F$2:$F$50000,"&gt;-50"),""))</f>
        <v/>
      </c>
      <c r="G112" s="12" t="str">
        <f>IF($B112="§","",IFERROR(AVERAGEIFS(Estação!$G$2:$G$50000,Estação!$A$2:$A$50000,$B112,Estação!$G$2:$G$50000,"&gt;-50"),""))</f>
        <v/>
      </c>
      <c r="H112" s="12" t="str">
        <f>IF($B112="§","",IFERROR(AVERAGEIFS(Estação!$Z$2:$Z$50000,Estação!$A$2:$A$50000,$B112,Estação!$Z$2:$Z$50000,"&gt;-50"),""))</f>
        <v/>
      </c>
      <c r="I112" s="12" t="str">
        <f>IF($B112="§","",IFERROR(AVERAGEIFS(Estação!$E$2:$E$50000,Estação!$A$2:$A$50000,$B112,Estação!$E$2:$E$50000,"&gt;-50"),""))</f>
        <v/>
      </c>
      <c r="J112" s="12" t="str">
        <f>IF($B112="§","",IFERROR(AVERAGEIFS(Estação!$H$2:$H$50000,Estação!$A$2:$A$50000,$B112,Estação!$H$2:$H$50000,"&gt;-50"),""))</f>
        <v/>
      </c>
      <c r="K112" s="12" t="str">
        <f>IF($B112="§","",IFERROR(AVERAGEIFS(Estação!$L$2:$L$50000,Estação!$A$2:$A$50000,$B112,Estação!$L$2:$L$50000,"&gt;-50"),""))</f>
        <v/>
      </c>
      <c r="L112" s="12" t="str">
        <f>IF($B112="§","",IFERROR(AVERAGEIFS(Estação!$B$2:$B$50000,Estação!$A$2:$A$50000,$B112,Estação!$B$2:$B$50000,"&gt;-50"),""))</f>
        <v/>
      </c>
      <c r="M112" s="12" t="str">
        <f>IF($B112="§","",IFERROR(AVERAGEIFS(Estação!$M$2:$M$50000,Estação!$A$2:$A$50000,$B112,Estação!$M$2:$M$50000,"&gt;-50"),""))</f>
        <v/>
      </c>
      <c r="N112" s="12" t="str">
        <f>IF($B112="§","",N(N111)+SUMIFS(Estação!$O$2:$O$50000,Estação!$A$2:$A$50000,$B112))</f>
        <v/>
      </c>
      <c r="O112" s="12" t="str">
        <f>IF($B112="§","",N(O111)+SUMIFS(Estação!$P$2:$P$50000,Estação!$A$2:$A$50000,$B112))</f>
        <v/>
      </c>
      <c r="P112" s="12" t="str">
        <f>IF($B112="§","",N(P111)+SUMIFS(Estação!$Q$2:$Q$50000,Estação!$A$2:$A$50000,$B112))</f>
        <v/>
      </c>
      <c r="Q112" s="12" t="str">
        <f>IF($B112="§","",IFERROR(AVERAGEIFS(Estação!$AA$2:$AA$50000,Estação!$A$2:$A$50000,$B112,Estação!$AA$2:$AA$50000,"&gt;-50"),""))</f>
        <v/>
      </c>
      <c r="R112" s="12" t="str">
        <f>IF($B112="§","",IFERROR(AVERAGEIFS(Estação!$AB$2:$AB$50000,Estação!$A$2:$A$50000,$B112,Estação!$AB$2:$AB$50000,"&gt;-50"),""))</f>
        <v/>
      </c>
      <c r="S112" s="12" t="str">
        <f>IF($B112="§","",IFERROR(AVERAGEIFS(Estação!$Y$2:$Y$50000,Estação!$A$2:$A$50000,$B112,Estação!$Y$2:$Y$50000,"&gt;-50"),""))</f>
        <v/>
      </c>
      <c r="T112" s="12" t="str">
        <f>IF($B112="§","",IFERROR(AVERAGEIFS(Estação!$C$2:$C$50000,Estação!$A$2:$A$50000,$B112,Estação!$C$2:$C$50000,"&gt;-50"),""))</f>
        <v/>
      </c>
    </row>
    <row r="113" spans="1:20" x14ac:dyDescent="0.25">
      <c r="A113" s="12" t="str">
        <f t="shared" si="3"/>
        <v/>
      </c>
      <c r="B113" s="12" t="str">
        <f t="shared" si="4"/>
        <v>§</v>
      </c>
      <c r="C113" s="12">
        <f>EDATE(DATE(YEAR($C$1),MONTH($C$1),1),22)</f>
        <v>46874</v>
      </c>
      <c r="D113" s="12" t="str">
        <f>IF($B113="§","",IFERROR(AVERAGEIFS(Estação!$S$2:$S$50000,Estação!$A$2:$A$50000,$B113,Estação!$S$2:$S$50000,"&gt;-50"),""))</f>
        <v/>
      </c>
      <c r="E113" s="12" t="str">
        <f>IF($B113="§","",IFERROR(AVERAGEIFS(Estação!$T$2:$T$50000,Estação!$A$2:$A$50000,$B113,Estação!$T$2:$T$50000,"&gt;-50"),""))</f>
        <v/>
      </c>
      <c r="F113" s="12" t="str">
        <f>IF($B113="§","",IFERROR(AVERAGEIFS(Estação!$F$2:$F$50000,Estação!$A$2:$A$50000,$B113,Estação!$F$2:$F$50000,"&gt;-50"),""))</f>
        <v/>
      </c>
      <c r="G113" s="12" t="str">
        <f>IF($B113="§","",IFERROR(AVERAGEIFS(Estação!$G$2:$G$50000,Estação!$A$2:$A$50000,$B113,Estação!$G$2:$G$50000,"&gt;-50"),""))</f>
        <v/>
      </c>
      <c r="H113" s="12" t="str">
        <f>IF($B113="§","",IFERROR(AVERAGEIFS(Estação!$Z$2:$Z$50000,Estação!$A$2:$A$50000,$B113,Estação!$Z$2:$Z$50000,"&gt;-50"),""))</f>
        <v/>
      </c>
      <c r="I113" s="12" t="str">
        <f>IF($B113="§","",IFERROR(AVERAGEIFS(Estação!$E$2:$E$50000,Estação!$A$2:$A$50000,$B113,Estação!$E$2:$E$50000,"&gt;-50"),""))</f>
        <v/>
      </c>
      <c r="J113" s="12" t="str">
        <f>IF($B113="§","",IFERROR(AVERAGEIFS(Estação!$H$2:$H$50000,Estação!$A$2:$A$50000,$B113,Estação!$H$2:$H$50000,"&gt;-50"),""))</f>
        <v/>
      </c>
      <c r="K113" s="12" t="str">
        <f>IF($B113="§","",IFERROR(AVERAGEIFS(Estação!$L$2:$L$50000,Estação!$A$2:$A$50000,$B113,Estação!$L$2:$L$50000,"&gt;-50"),""))</f>
        <v/>
      </c>
      <c r="L113" s="12" t="str">
        <f>IF($B113="§","",IFERROR(AVERAGEIFS(Estação!$B$2:$B$50000,Estação!$A$2:$A$50000,$B113,Estação!$B$2:$B$50000,"&gt;-50"),""))</f>
        <v/>
      </c>
      <c r="M113" s="12" t="str">
        <f>IF($B113="§","",IFERROR(AVERAGEIFS(Estação!$M$2:$M$50000,Estação!$A$2:$A$50000,$B113,Estação!$M$2:$M$50000,"&gt;-50"),""))</f>
        <v/>
      </c>
      <c r="N113" s="12" t="str">
        <f>IF($B113="§","",N(N112)+SUMIFS(Estação!$O$2:$O$50000,Estação!$A$2:$A$50000,$B113))</f>
        <v/>
      </c>
      <c r="O113" s="12" t="str">
        <f>IF($B113="§","",N(O112)+SUMIFS(Estação!$P$2:$P$50000,Estação!$A$2:$A$50000,$B113))</f>
        <v/>
      </c>
      <c r="P113" s="12" t="str">
        <f>IF($B113="§","",N(P112)+SUMIFS(Estação!$Q$2:$Q$50000,Estação!$A$2:$A$50000,$B113))</f>
        <v/>
      </c>
      <c r="Q113" s="12" t="str">
        <f>IF($B113="§","",IFERROR(AVERAGEIFS(Estação!$AA$2:$AA$50000,Estação!$A$2:$A$50000,$B113,Estação!$AA$2:$AA$50000,"&gt;-50"),""))</f>
        <v/>
      </c>
      <c r="R113" s="12" t="str">
        <f>IF($B113="§","",IFERROR(AVERAGEIFS(Estação!$AB$2:$AB$50000,Estação!$A$2:$A$50000,$B113,Estação!$AB$2:$AB$50000,"&gt;-50"),""))</f>
        <v/>
      </c>
      <c r="S113" s="12" t="str">
        <f>IF($B113="§","",IFERROR(AVERAGEIFS(Estação!$Y$2:$Y$50000,Estação!$A$2:$A$50000,$B113,Estação!$Y$2:$Y$50000,"&gt;-50"),""))</f>
        <v/>
      </c>
      <c r="T113" s="12" t="str">
        <f>IF($B113="§","",IFERROR(AVERAGEIFS(Estação!$C$2:$C$50000,Estação!$A$2:$A$50000,$B113,Estação!$C$2:$C$50000,"&gt;-50"),""))</f>
        <v/>
      </c>
    </row>
    <row r="114" spans="1:20" x14ac:dyDescent="0.25">
      <c r="A114" s="12" t="str">
        <f t="shared" si="3"/>
        <v/>
      </c>
      <c r="B114" s="12" t="str">
        <f t="shared" si="4"/>
        <v>§</v>
      </c>
      <c r="C114" s="12">
        <f>EDATE(DATE(YEAR($C$1),MONTH($C$1),1),23)</f>
        <v>46905</v>
      </c>
      <c r="D114" s="12" t="str">
        <f>IF($B114="§","",IFERROR(AVERAGEIFS(Estação!$S$2:$S$50000,Estação!$A$2:$A$50000,$B114,Estação!$S$2:$S$50000,"&gt;-50"),""))</f>
        <v/>
      </c>
      <c r="E114" s="12" t="str">
        <f>IF($B114="§","",IFERROR(AVERAGEIFS(Estação!$T$2:$T$50000,Estação!$A$2:$A$50000,$B114,Estação!$T$2:$T$50000,"&gt;-50"),""))</f>
        <v/>
      </c>
      <c r="F114" s="12" t="str">
        <f>IF($B114="§","",IFERROR(AVERAGEIFS(Estação!$F$2:$F$50000,Estação!$A$2:$A$50000,$B114,Estação!$F$2:$F$50000,"&gt;-50"),""))</f>
        <v/>
      </c>
      <c r="G114" s="12" t="str">
        <f>IF($B114="§","",IFERROR(AVERAGEIFS(Estação!$G$2:$G$50000,Estação!$A$2:$A$50000,$B114,Estação!$G$2:$G$50000,"&gt;-50"),""))</f>
        <v/>
      </c>
      <c r="H114" s="12" t="str">
        <f>IF($B114="§","",IFERROR(AVERAGEIFS(Estação!$Z$2:$Z$50000,Estação!$A$2:$A$50000,$B114,Estação!$Z$2:$Z$50000,"&gt;-50"),""))</f>
        <v/>
      </c>
      <c r="I114" s="12" t="str">
        <f>IF($B114="§","",IFERROR(AVERAGEIFS(Estação!$E$2:$E$50000,Estação!$A$2:$A$50000,$B114,Estação!$E$2:$E$50000,"&gt;-50"),""))</f>
        <v/>
      </c>
      <c r="J114" s="12" t="str">
        <f>IF($B114="§","",IFERROR(AVERAGEIFS(Estação!$H$2:$H$50000,Estação!$A$2:$A$50000,$B114,Estação!$H$2:$H$50000,"&gt;-50"),""))</f>
        <v/>
      </c>
      <c r="K114" s="12" t="str">
        <f>IF($B114="§","",IFERROR(AVERAGEIFS(Estação!$L$2:$L$50000,Estação!$A$2:$A$50000,$B114,Estação!$L$2:$L$50000,"&gt;-50"),""))</f>
        <v/>
      </c>
      <c r="L114" s="12" t="str">
        <f>IF($B114="§","",IFERROR(AVERAGEIFS(Estação!$B$2:$B$50000,Estação!$A$2:$A$50000,$B114,Estação!$B$2:$B$50000,"&gt;-50"),""))</f>
        <v/>
      </c>
      <c r="M114" s="12" t="str">
        <f>IF($B114="§","",IFERROR(AVERAGEIFS(Estação!$M$2:$M$50000,Estação!$A$2:$A$50000,$B114,Estação!$M$2:$M$50000,"&gt;-50"),""))</f>
        <v/>
      </c>
      <c r="N114" s="12" t="str">
        <f>IF($B114="§","",N(N113)+SUMIFS(Estação!$O$2:$O$50000,Estação!$A$2:$A$50000,$B114))</f>
        <v/>
      </c>
      <c r="O114" s="12" t="str">
        <f>IF($B114="§","",N(O113)+SUMIFS(Estação!$P$2:$P$50000,Estação!$A$2:$A$50000,$B114))</f>
        <v/>
      </c>
      <c r="P114" s="12" t="str">
        <f>IF($B114="§","",N(P113)+SUMIFS(Estação!$Q$2:$Q$50000,Estação!$A$2:$A$50000,$B114))</f>
        <v/>
      </c>
      <c r="Q114" s="12" t="str">
        <f>IF($B114="§","",IFERROR(AVERAGEIFS(Estação!$AA$2:$AA$50000,Estação!$A$2:$A$50000,$B114,Estação!$AA$2:$AA$50000,"&gt;-50"),""))</f>
        <v/>
      </c>
      <c r="R114" s="12" t="str">
        <f>IF($B114="§","",IFERROR(AVERAGEIFS(Estação!$AB$2:$AB$50000,Estação!$A$2:$A$50000,$B114,Estação!$AB$2:$AB$50000,"&gt;-50"),""))</f>
        <v/>
      </c>
      <c r="S114" s="12" t="str">
        <f>IF($B114="§","",IFERROR(AVERAGEIFS(Estação!$Y$2:$Y$50000,Estação!$A$2:$A$50000,$B114,Estação!$Y$2:$Y$50000,"&gt;-50"),""))</f>
        <v/>
      </c>
      <c r="T114" s="12" t="str">
        <f>IF($B114="§","",IFERROR(AVERAGEIFS(Estação!$C$2:$C$50000,Estação!$A$2:$A$50000,$B114,Estação!$C$2:$C$50000,"&gt;-50"),""))</f>
        <v/>
      </c>
    </row>
    <row r="115" spans="1:20" x14ac:dyDescent="0.25">
      <c r="A115" s="12" t="str">
        <f t="shared" si="3"/>
        <v/>
      </c>
      <c r="B115" s="12" t="str">
        <f t="shared" si="4"/>
        <v>§</v>
      </c>
      <c r="C115" s="12">
        <f>EDATE(DATE(YEAR($C$1),MONTH($C$1),1),24)</f>
        <v>46935</v>
      </c>
      <c r="D115" s="12" t="str">
        <f>IF($B115="§","",IFERROR(AVERAGEIFS(Estação!$S$2:$S$50000,Estação!$A$2:$A$50000,$B115,Estação!$S$2:$S$50000,"&gt;-50"),""))</f>
        <v/>
      </c>
      <c r="E115" s="12" t="str">
        <f>IF($B115="§","",IFERROR(AVERAGEIFS(Estação!$T$2:$T$50000,Estação!$A$2:$A$50000,$B115,Estação!$T$2:$T$50000,"&gt;-50"),""))</f>
        <v/>
      </c>
      <c r="F115" s="12" t="str">
        <f>IF($B115="§","",IFERROR(AVERAGEIFS(Estação!$F$2:$F$50000,Estação!$A$2:$A$50000,$B115,Estação!$F$2:$F$50000,"&gt;-50"),""))</f>
        <v/>
      </c>
      <c r="G115" s="12" t="str">
        <f>IF($B115="§","",IFERROR(AVERAGEIFS(Estação!$G$2:$G$50000,Estação!$A$2:$A$50000,$B115,Estação!$G$2:$G$50000,"&gt;-50"),""))</f>
        <v/>
      </c>
      <c r="H115" s="12" t="str">
        <f>IF($B115="§","",IFERROR(AVERAGEIFS(Estação!$Z$2:$Z$50000,Estação!$A$2:$A$50000,$B115,Estação!$Z$2:$Z$50000,"&gt;-50"),""))</f>
        <v/>
      </c>
      <c r="I115" s="12" t="str">
        <f>IF($B115="§","",IFERROR(AVERAGEIFS(Estação!$E$2:$E$50000,Estação!$A$2:$A$50000,$B115,Estação!$E$2:$E$50000,"&gt;-50"),""))</f>
        <v/>
      </c>
      <c r="J115" s="12" t="str">
        <f>IF($B115="§","",IFERROR(AVERAGEIFS(Estação!$H$2:$H$50000,Estação!$A$2:$A$50000,$B115,Estação!$H$2:$H$50000,"&gt;-50"),""))</f>
        <v/>
      </c>
      <c r="K115" s="12" t="str">
        <f>IF($B115="§","",IFERROR(AVERAGEIFS(Estação!$L$2:$L$50000,Estação!$A$2:$A$50000,$B115,Estação!$L$2:$L$50000,"&gt;-50"),""))</f>
        <v/>
      </c>
      <c r="L115" s="12" t="str">
        <f>IF($B115="§","",IFERROR(AVERAGEIFS(Estação!$B$2:$B$50000,Estação!$A$2:$A$50000,$B115,Estação!$B$2:$B$50000,"&gt;-50"),""))</f>
        <v/>
      </c>
      <c r="M115" s="12" t="str">
        <f>IF($B115="§","",IFERROR(AVERAGEIFS(Estação!$M$2:$M$50000,Estação!$A$2:$A$50000,$B115,Estação!$M$2:$M$50000,"&gt;-50"),""))</f>
        <v/>
      </c>
      <c r="N115" s="12" t="str">
        <f>IF($B115="§","",N(N114)+SUMIFS(Estação!$O$2:$O$50000,Estação!$A$2:$A$50000,$B115))</f>
        <v/>
      </c>
      <c r="O115" s="12" t="str">
        <f>IF($B115="§","",N(O114)+SUMIFS(Estação!$P$2:$P$50000,Estação!$A$2:$A$50000,$B115))</f>
        <v/>
      </c>
      <c r="P115" s="12" t="str">
        <f>IF($B115="§","",N(P114)+SUMIFS(Estação!$Q$2:$Q$50000,Estação!$A$2:$A$50000,$B115))</f>
        <v/>
      </c>
      <c r="Q115" s="12" t="str">
        <f>IF($B115="§","",IFERROR(AVERAGEIFS(Estação!$AA$2:$AA$50000,Estação!$A$2:$A$50000,$B115,Estação!$AA$2:$AA$50000,"&gt;-50"),""))</f>
        <v/>
      </c>
      <c r="R115" s="12" t="str">
        <f>IF($B115="§","",IFERROR(AVERAGEIFS(Estação!$AB$2:$AB$50000,Estação!$A$2:$A$50000,$B115,Estação!$AB$2:$AB$50000,"&gt;-50"),""))</f>
        <v/>
      </c>
      <c r="S115" s="12" t="str">
        <f>IF($B115="§","",IFERROR(AVERAGEIFS(Estação!$Y$2:$Y$50000,Estação!$A$2:$A$50000,$B115,Estação!$Y$2:$Y$50000,"&gt;-50"),""))</f>
        <v/>
      </c>
      <c r="T115" s="12" t="str">
        <f>IF($B115="§","",IFERROR(AVERAGEIFS(Estação!$C$2:$C$50000,Estação!$A$2:$A$50000,$B115,Estação!$C$2:$C$50000,"&gt;-50"),""))</f>
        <v/>
      </c>
    </row>
    <row r="116" spans="1:20" x14ac:dyDescent="0.25">
      <c r="A116" s="12" t="str">
        <f t="shared" si="3"/>
        <v/>
      </c>
      <c r="B116" s="12" t="str">
        <f t="shared" si="4"/>
        <v>§</v>
      </c>
      <c r="C116" s="12">
        <f>EDATE(DATE(YEAR($C$1),MONTH($C$1),1),25)</f>
        <v>46966</v>
      </c>
      <c r="D116" s="12" t="str">
        <f>IF($B116="§","",IFERROR(AVERAGEIFS(Estação!$S$2:$S$50000,Estação!$A$2:$A$50000,$B116,Estação!$S$2:$S$50000,"&gt;-50"),""))</f>
        <v/>
      </c>
      <c r="E116" s="12" t="str">
        <f>IF($B116="§","",IFERROR(AVERAGEIFS(Estação!$T$2:$T$50000,Estação!$A$2:$A$50000,$B116,Estação!$T$2:$T$50000,"&gt;-50"),""))</f>
        <v/>
      </c>
      <c r="F116" s="12" t="str">
        <f>IF($B116="§","",IFERROR(AVERAGEIFS(Estação!$F$2:$F$50000,Estação!$A$2:$A$50000,$B116,Estação!$F$2:$F$50000,"&gt;-50"),""))</f>
        <v/>
      </c>
      <c r="G116" s="12" t="str">
        <f>IF($B116="§","",IFERROR(AVERAGEIFS(Estação!$G$2:$G$50000,Estação!$A$2:$A$50000,$B116,Estação!$G$2:$G$50000,"&gt;-50"),""))</f>
        <v/>
      </c>
      <c r="H116" s="12" t="str">
        <f>IF($B116="§","",IFERROR(AVERAGEIFS(Estação!$Z$2:$Z$50000,Estação!$A$2:$A$50000,$B116,Estação!$Z$2:$Z$50000,"&gt;-50"),""))</f>
        <v/>
      </c>
      <c r="I116" s="12" t="str">
        <f>IF($B116="§","",IFERROR(AVERAGEIFS(Estação!$E$2:$E$50000,Estação!$A$2:$A$50000,$B116,Estação!$E$2:$E$50000,"&gt;-50"),""))</f>
        <v/>
      </c>
      <c r="J116" s="12" t="str">
        <f>IF($B116="§","",IFERROR(AVERAGEIFS(Estação!$H$2:$H$50000,Estação!$A$2:$A$50000,$B116,Estação!$H$2:$H$50000,"&gt;-50"),""))</f>
        <v/>
      </c>
      <c r="K116" s="12" t="str">
        <f>IF($B116="§","",IFERROR(AVERAGEIFS(Estação!$L$2:$L$50000,Estação!$A$2:$A$50000,$B116,Estação!$L$2:$L$50000,"&gt;-50"),""))</f>
        <v/>
      </c>
      <c r="L116" s="12" t="str">
        <f>IF($B116="§","",IFERROR(AVERAGEIFS(Estação!$B$2:$B$50000,Estação!$A$2:$A$50000,$B116,Estação!$B$2:$B$50000,"&gt;-50"),""))</f>
        <v/>
      </c>
      <c r="M116" s="12" t="str">
        <f>IF($B116="§","",IFERROR(AVERAGEIFS(Estação!$M$2:$M$50000,Estação!$A$2:$A$50000,$B116,Estação!$M$2:$M$50000,"&gt;-50"),""))</f>
        <v/>
      </c>
      <c r="N116" s="12" t="str">
        <f>IF($B116="§","",N(N115)+SUMIFS(Estação!$O$2:$O$50000,Estação!$A$2:$A$50000,$B116))</f>
        <v/>
      </c>
      <c r="O116" s="12" t="str">
        <f>IF($B116="§","",N(O115)+SUMIFS(Estação!$P$2:$P$50000,Estação!$A$2:$A$50000,$B116))</f>
        <v/>
      </c>
      <c r="P116" s="12" t="str">
        <f>IF($B116="§","",N(P115)+SUMIFS(Estação!$Q$2:$Q$50000,Estação!$A$2:$A$50000,$B116))</f>
        <v/>
      </c>
      <c r="Q116" s="12" t="str">
        <f>IF($B116="§","",IFERROR(AVERAGEIFS(Estação!$AA$2:$AA$50000,Estação!$A$2:$A$50000,$B116,Estação!$AA$2:$AA$50000,"&gt;-50"),""))</f>
        <v/>
      </c>
      <c r="R116" s="12" t="str">
        <f>IF($B116="§","",IFERROR(AVERAGEIFS(Estação!$AB$2:$AB$50000,Estação!$A$2:$A$50000,$B116,Estação!$AB$2:$AB$50000,"&gt;-50"),""))</f>
        <v/>
      </c>
      <c r="S116" s="12" t="str">
        <f>IF($B116="§","",IFERROR(AVERAGEIFS(Estação!$Y$2:$Y$50000,Estação!$A$2:$A$50000,$B116,Estação!$Y$2:$Y$50000,"&gt;-50"),""))</f>
        <v/>
      </c>
      <c r="T116" s="12" t="str">
        <f>IF($B116="§","",IFERROR(AVERAGEIFS(Estação!$C$2:$C$50000,Estação!$A$2:$A$50000,$B116,Estação!$C$2:$C$50000,"&gt;-50"),""))</f>
        <v/>
      </c>
    </row>
    <row r="117" spans="1:20" x14ac:dyDescent="0.25">
      <c r="A117" s="12" t="str">
        <f t="shared" si="3"/>
        <v/>
      </c>
      <c r="B117" s="12" t="str">
        <f t="shared" si="4"/>
        <v>§</v>
      </c>
      <c r="C117" s="12">
        <f>EDATE(DATE(YEAR($C$1),MONTH($C$1),1),26)</f>
        <v>46997</v>
      </c>
      <c r="D117" s="12" t="str">
        <f>IF($B117="§","",IFERROR(AVERAGEIFS(Estação!$S$2:$S$50000,Estação!$A$2:$A$50000,$B117,Estação!$S$2:$S$50000,"&gt;-50"),""))</f>
        <v/>
      </c>
      <c r="E117" s="12" t="str">
        <f>IF($B117="§","",IFERROR(AVERAGEIFS(Estação!$T$2:$T$50000,Estação!$A$2:$A$50000,$B117,Estação!$T$2:$T$50000,"&gt;-50"),""))</f>
        <v/>
      </c>
      <c r="F117" s="12" t="str">
        <f>IF($B117="§","",IFERROR(AVERAGEIFS(Estação!$F$2:$F$50000,Estação!$A$2:$A$50000,$B117,Estação!$F$2:$F$50000,"&gt;-50"),""))</f>
        <v/>
      </c>
      <c r="G117" s="12" t="str">
        <f>IF($B117="§","",IFERROR(AVERAGEIFS(Estação!$G$2:$G$50000,Estação!$A$2:$A$50000,$B117,Estação!$G$2:$G$50000,"&gt;-50"),""))</f>
        <v/>
      </c>
      <c r="H117" s="12" t="str">
        <f>IF($B117="§","",IFERROR(AVERAGEIFS(Estação!$Z$2:$Z$50000,Estação!$A$2:$A$50000,$B117,Estação!$Z$2:$Z$50000,"&gt;-50"),""))</f>
        <v/>
      </c>
      <c r="I117" s="12" t="str">
        <f>IF($B117="§","",IFERROR(AVERAGEIFS(Estação!$E$2:$E$50000,Estação!$A$2:$A$50000,$B117,Estação!$E$2:$E$50000,"&gt;-50"),""))</f>
        <v/>
      </c>
      <c r="J117" s="12" t="str">
        <f>IF($B117="§","",IFERROR(AVERAGEIFS(Estação!$H$2:$H$50000,Estação!$A$2:$A$50000,$B117,Estação!$H$2:$H$50000,"&gt;-50"),""))</f>
        <v/>
      </c>
      <c r="K117" s="12" t="str">
        <f>IF($B117="§","",IFERROR(AVERAGEIFS(Estação!$L$2:$L$50000,Estação!$A$2:$A$50000,$B117,Estação!$L$2:$L$50000,"&gt;-50"),""))</f>
        <v/>
      </c>
      <c r="L117" s="12" t="str">
        <f>IF($B117="§","",IFERROR(AVERAGEIFS(Estação!$B$2:$B$50000,Estação!$A$2:$A$50000,$B117,Estação!$B$2:$B$50000,"&gt;-50"),""))</f>
        <v/>
      </c>
      <c r="M117" s="12" t="str">
        <f>IF($B117="§","",IFERROR(AVERAGEIFS(Estação!$M$2:$M$50000,Estação!$A$2:$A$50000,$B117,Estação!$M$2:$M$50000,"&gt;-50"),""))</f>
        <v/>
      </c>
      <c r="N117" s="12" t="str">
        <f>IF($B117="§","",N(N116)+SUMIFS(Estação!$O$2:$O$50000,Estação!$A$2:$A$50000,$B117))</f>
        <v/>
      </c>
      <c r="O117" s="12" t="str">
        <f>IF($B117="§","",N(O116)+SUMIFS(Estação!$P$2:$P$50000,Estação!$A$2:$A$50000,$B117))</f>
        <v/>
      </c>
      <c r="P117" s="12" t="str">
        <f>IF($B117="§","",N(P116)+SUMIFS(Estação!$Q$2:$Q$50000,Estação!$A$2:$A$50000,$B117))</f>
        <v/>
      </c>
      <c r="Q117" s="12" t="str">
        <f>IF($B117="§","",IFERROR(AVERAGEIFS(Estação!$AA$2:$AA$50000,Estação!$A$2:$A$50000,$B117,Estação!$AA$2:$AA$50000,"&gt;-50"),""))</f>
        <v/>
      </c>
      <c r="R117" s="12" t="str">
        <f>IF($B117="§","",IFERROR(AVERAGEIFS(Estação!$AB$2:$AB$50000,Estação!$A$2:$A$50000,$B117,Estação!$AB$2:$AB$50000,"&gt;-50"),""))</f>
        <v/>
      </c>
      <c r="S117" s="12" t="str">
        <f>IF($B117="§","",IFERROR(AVERAGEIFS(Estação!$Y$2:$Y$50000,Estação!$A$2:$A$50000,$B117,Estação!$Y$2:$Y$50000,"&gt;-50"),""))</f>
        <v/>
      </c>
      <c r="T117" s="12" t="str">
        <f>IF($B117="§","",IFERROR(AVERAGEIFS(Estação!$C$2:$C$50000,Estação!$A$2:$A$50000,$B117,Estação!$C$2:$C$50000,"&gt;-50"),""))</f>
        <v/>
      </c>
    </row>
    <row r="118" spans="1:20" x14ac:dyDescent="0.25">
      <c r="A118" s="12" t="str">
        <f t="shared" si="3"/>
        <v/>
      </c>
      <c r="B118" s="12" t="str">
        <f t="shared" si="4"/>
        <v>§</v>
      </c>
      <c r="C118" s="12">
        <f>EDATE(DATE(YEAR($C$1),MONTH($C$1),1),27)</f>
        <v>47027</v>
      </c>
      <c r="D118" s="12" t="str">
        <f>IF($B118="§","",IFERROR(AVERAGEIFS(Estação!$S$2:$S$50000,Estação!$A$2:$A$50000,$B118,Estação!$S$2:$S$50000,"&gt;-50"),""))</f>
        <v/>
      </c>
      <c r="E118" s="12" t="str">
        <f>IF($B118="§","",IFERROR(AVERAGEIFS(Estação!$T$2:$T$50000,Estação!$A$2:$A$50000,$B118,Estação!$T$2:$T$50000,"&gt;-50"),""))</f>
        <v/>
      </c>
      <c r="F118" s="12" t="str">
        <f>IF($B118="§","",IFERROR(AVERAGEIFS(Estação!$F$2:$F$50000,Estação!$A$2:$A$50000,$B118,Estação!$F$2:$F$50000,"&gt;-50"),""))</f>
        <v/>
      </c>
      <c r="G118" s="12" t="str">
        <f>IF($B118="§","",IFERROR(AVERAGEIFS(Estação!$G$2:$G$50000,Estação!$A$2:$A$50000,$B118,Estação!$G$2:$G$50000,"&gt;-50"),""))</f>
        <v/>
      </c>
      <c r="H118" s="12" t="str">
        <f>IF($B118="§","",IFERROR(AVERAGEIFS(Estação!$Z$2:$Z$50000,Estação!$A$2:$A$50000,$B118,Estação!$Z$2:$Z$50000,"&gt;-50"),""))</f>
        <v/>
      </c>
      <c r="I118" s="12" t="str">
        <f>IF($B118="§","",IFERROR(AVERAGEIFS(Estação!$E$2:$E$50000,Estação!$A$2:$A$50000,$B118,Estação!$E$2:$E$50000,"&gt;-50"),""))</f>
        <v/>
      </c>
      <c r="J118" s="12" t="str">
        <f>IF($B118="§","",IFERROR(AVERAGEIFS(Estação!$H$2:$H$50000,Estação!$A$2:$A$50000,$B118,Estação!$H$2:$H$50000,"&gt;-50"),""))</f>
        <v/>
      </c>
      <c r="K118" s="12" t="str">
        <f>IF($B118="§","",IFERROR(AVERAGEIFS(Estação!$L$2:$L$50000,Estação!$A$2:$A$50000,$B118,Estação!$L$2:$L$50000,"&gt;-50"),""))</f>
        <v/>
      </c>
      <c r="L118" s="12" t="str">
        <f>IF($B118="§","",IFERROR(AVERAGEIFS(Estação!$B$2:$B$50000,Estação!$A$2:$A$50000,$B118,Estação!$B$2:$B$50000,"&gt;-50"),""))</f>
        <v/>
      </c>
      <c r="M118" s="12" t="str">
        <f>IF($B118="§","",IFERROR(AVERAGEIFS(Estação!$M$2:$M$50000,Estação!$A$2:$A$50000,$B118,Estação!$M$2:$M$50000,"&gt;-50"),""))</f>
        <v/>
      </c>
      <c r="N118" s="12" t="str">
        <f>IF($B118="§","",N(N117)+SUMIFS(Estação!$O$2:$O$50000,Estação!$A$2:$A$50000,$B118))</f>
        <v/>
      </c>
      <c r="O118" s="12" t="str">
        <f>IF($B118="§","",N(O117)+SUMIFS(Estação!$P$2:$P$50000,Estação!$A$2:$A$50000,$B118))</f>
        <v/>
      </c>
      <c r="P118" s="12" t="str">
        <f>IF($B118="§","",N(P117)+SUMIFS(Estação!$Q$2:$Q$50000,Estação!$A$2:$A$50000,$B118))</f>
        <v/>
      </c>
      <c r="Q118" s="12" t="str">
        <f>IF($B118="§","",IFERROR(AVERAGEIFS(Estação!$AA$2:$AA$50000,Estação!$A$2:$A$50000,$B118,Estação!$AA$2:$AA$50000,"&gt;-50"),""))</f>
        <v/>
      </c>
      <c r="R118" s="12" t="str">
        <f>IF($B118="§","",IFERROR(AVERAGEIFS(Estação!$AB$2:$AB$50000,Estação!$A$2:$A$50000,$B118,Estação!$AB$2:$AB$50000,"&gt;-50"),""))</f>
        <v/>
      </c>
      <c r="S118" s="12" t="str">
        <f>IF($B118="§","",IFERROR(AVERAGEIFS(Estação!$Y$2:$Y$50000,Estação!$A$2:$A$50000,$B118,Estação!$Y$2:$Y$50000,"&gt;-50"),""))</f>
        <v/>
      </c>
      <c r="T118" s="12" t="str">
        <f>IF($B118="§","",IFERROR(AVERAGEIFS(Estação!$C$2:$C$50000,Estação!$A$2:$A$50000,$B118,Estação!$C$2:$C$50000,"&gt;-50"),""))</f>
        <v/>
      </c>
    </row>
    <row r="119" spans="1:20" x14ac:dyDescent="0.25">
      <c r="A119" s="12" t="str">
        <f t="shared" si="3"/>
        <v/>
      </c>
      <c r="B119" s="12" t="str">
        <f t="shared" si="4"/>
        <v>§</v>
      </c>
      <c r="C119" s="12">
        <f>EDATE(DATE(YEAR($C$1),MONTH($C$1),1),28)</f>
        <v>47058</v>
      </c>
      <c r="D119" s="12" t="str">
        <f>IF($B119="§","",IFERROR(AVERAGEIFS(Estação!$S$2:$S$50000,Estação!$A$2:$A$50000,$B119,Estação!$S$2:$S$50000,"&gt;-50"),""))</f>
        <v/>
      </c>
      <c r="E119" s="12" t="str">
        <f>IF($B119="§","",IFERROR(AVERAGEIFS(Estação!$T$2:$T$50000,Estação!$A$2:$A$50000,$B119,Estação!$T$2:$T$50000,"&gt;-50"),""))</f>
        <v/>
      </c>
      <c r="F119" s="12" t="str">
        <f>IF($B119="§","",IFERROR(AVERAGEIFS(Estação!$F$2:$F$50000,Estação!$A$2:$A$50000,$B119,Estação!$F$2:$F$50000,"&gt;-50"),""))</f>
        <v/>
      </c>
      <c r="G119" s="12" t="str">
        <f>IF($B119="§","",IFERROR(AVERAGEIFS(Estação!$G$2:$G$50000,Estação!$A$2:$A$50000,$B119,Estação!$G$2:$G$50000,"&gt;-50"),""))</f>
        <v/>
      </c>
      <c r="H119" s="12" t="str">
        <f>IF($B119="§","",IFERROR(AVERAGEIFS(Estação!$Z$2:$Z$50000,Estação!$A$2:$A$50000,$B119,Estação!$Z$2:$Z$50000,"&gt;-50"),""))</f>
        <v/>
      </c>
      <c r="I119" s="12" t="str">
        <f>IF($B119="§","",IFERROR(AVERAGEIFS(Estação!$E$2:$E$50000,Estação!$A$2:$A$50000,$B119,Estação!$E$2:$E$50000,"&gt;-50"),""))</f>
        <v/>
      </c>
      <c r="J119" s="12" t="str">
        <f>IF($B119="§","",IFERROR(AVERAGEIFS(Estação!$H$2:$H$50000,Estação!$A$2:$A$50000,$B119,Estação!$H$2:$H$50000,"&gt;-50"),""))</f>
        <v/>
      </c>
      <c r="K119" s="12" t="str">
        <f>IF($B119="§","",IFERROR(AVERAGEIFS(Estação!$L$2:$L$50000,Estação!$A$2:$A$50000,$B119,Estação!$L$2:$L$50000,"&gt;-50"),""))</f>
        <v/>
      </c>
      <c r="L119" s="12" t="str">
        <f>IF($B119="§","",IFERROR(AVERAGEIFS(Estação!$B$2:$B$50000,Estação!$A$2:$A$50000,$B119,Estação!$B$2:$B$50000,"&gt;-50"),""))</f>
        <v/>
      </c>
      <c r="M119" s="12" t="str">
        <f>IF($B119="§","",IFERROR(AVERAGEIFS(Estação!$M$2:$M$50000,Estação!$A$2:$A$50000,$B119,Estação!$M$2:$M$50000,"&gt;-50"),""))</f>
        <v/>
      </c>
      <c r="N119" s="12" t="str">
        <f>IF($B119="§","",N(N118)+SUMIFS(Estação!$O$2:$O$50000,Estação!$A$2:$A$50000,$B119))</f>
        <v/>
      </c>
      <c r="O119" s="12" t="str">
        <f>IF($B119="§","",N(O118)+SUMIFS(Estação!$P$2:$P$50000,Estação!$A$2:$A$50000,$B119))</f>
        <v/>
      </c>
      <c r="P119" s="12" t="str">
        <f>IF($B119="§","",N(P118)+SUMIFS(Estação!$Q$2:$Q$50000,Estação!$A$2:$A$50000,$B119))</f>
        <v/>
      </c>
      <c r="Q119" s="12" t="str">
        <f>IF($B119="§","",IFERROR(AVERAGEIFS(Estação!$AA$2:$AA$50000,Estação!$A$2:$A$50000,$B119,Estação!$AA$2:$AA$50000,"&gt;-50"),""))</f>
        <v/>
      </c>
      <c r="R119" s="12" t="str">
        <f>IF($B119="§","",IFERROR(AVERAGEIFS(Estação!$AB$2:$AB$50000,Estação!$A$2:$A$50000,$B119,Estação!$AB$2:$AB$50000,"&gt;-50"),""))</f>
        <v/>
      </c>
      <c r="S119" s="12" t="str">
        <f>IF($B119="§","",IFERROR(AVERAGEIFS(Estação!$Y$2:$Y$50000,Estação!$A$2:$A$50000,$B119,Estação!$Y$2:$Y$50000,"&gt;-50"),""))</f>
        <v/>
      </c>
      <c r="T119" s="12" t="str">
        <f>IF($B119="§","",IFERROR(AVERAGEIFS(Estação!$C$2:$C$50000,Estação!$A$2:$A$50000,$B119,Estação!$C$2:$C$50000,"&gt;-50"),""))</f>
        <v/>
      </c>
    </row>
    <row r="120" spans="1:20" x14ac:dyDescent="0.25">
      <c r="A120" s="12" t="str">
        <f t="shared" si="3"/>
        <v/>
      </c>
      <c r="B120" s="12" t="str">
        <f t="shared" si="4"/>
        <v>§</v>
      </c>
      <c r="C120" s="12">
        <f>EDATE(DATE(YEAR($C$1),MONTH($C$1),1),29)</f>
        <v>47088</v>
      </c>
      <c r="D120" s="12" t="str">
        <f>IF($B120="§","",IFERROR(AVERAGEIFS(Estação!$S$2:$S$50000,Estação!$A$2:$A$50000,$B120,Estação!$S$2:$S$50000,"&gt;-50"),""))</f>
        <v/>
      </c>
      <c r="E120" s="12" t="str">
        <f>IF($B120="§","",IFERROR(AVERAGEIFS(Estação!$T$2:$T$50000,Estação!$A$2:$A$50000,$B120,Estação!$T$2:$T$50000,"&gt;-50"),""))</f>
        <v/>
      </c>
      <c r="F120" s="12" t="str">
        <f>IF($B120="§","",IFERROR(AVERAGEIFS(Estação!$F$2:$F$50000,Estação!$A$2:$A$50000,$B120,Estação!$F$2:$F$50000,"&gt;-50"),""))</f>
        <v/>
      </c>
      <c r="G120" s="12" t="str">
        <f>IF($B120="§","",IFERROR(AVERAGEIFS(Estação!$G$2:$G$50000,Estação!$A$2:$A$50000,$B120,Estação!$G$2:$G$50000,"&gt;-50"),""))</f>
        <v/>
      </c>
      <c r="H120" s="12" t="str">
        <f>IF($B120="§","",IFERROR(AVERAGEIFS(Estação!$Z$2:$Z$50000,Estação!$A$2:$A$50000,$B120,Estação!$Z$2:$Z$50000,"&gt;-50"),""))</f>
        <v/>
      </c>
      <c r="I120" s="12" t="str">
        <f>IF($B120="§","",IFERROR(AVERAGEIFS(Estação!$E$2:$E$50000,Estação!$A$2:$A$50000,$B120,Estação!$E$2:$E$50000,"&gt;-50"),""))</f>
        <v/>
      </c>
      <c r="J120" s="12" t="str">
        <f>IF($B120="§","",IFERROR(AVERAGEIFS(Estação!$H$2:$H$50000,Estação!$A$2:$A$50000,$B120,Estação!$H$2:$H$50000,"&gt;-50"),""))</f>
        <v/>
      </c>
      <c r="K120" s="12" t="str">
        <f>IF($B120="§","",IFERROR(AVERAGEIFS(Estação!$L$2:$L$50000,Estação!$A$2:$A$50000,$B120,Estação!$L$2:$L$50000,"&gt;-50"),""))</f>
        <v/>
      </c>
      <c r="L120" s="12" t="str">
        <f>IF($B120="§","",IFERROR(AVERAGEIFS(Estação!$B$2:$B$50000,Estação!$A$2:$A$50000,$B120,Estação!$B$2:$B$50000,"&gt;-50"),""))</f>
        <v/>
      </c>
      <c r="M120" s="12" t="str">
        <f>IF($B120="§","",IFERROR(AVERAGEIFS(Estação!$M$2:$M$50000,Estação!$A$2:$A$50000,$B120,Estação!$M$2:$M$50000,"&gt;-50"),""))</f>
        <v/>
      </c>
      <c r="N120" s="12" t="str">
        <f>IF($B120="§","",N(N119)+SUMIFS(Estação!$O$2:$O$50000,Estação!$A$2:$A$50000,$B120))</f>
        <v/>
      </c>
      <c r="O120" s="12" t="str">
        <f>IF($B120="§","",N(O119)+SUMIFS(Estação!$P$2:$P$50000,Estação!$A$2:$A$50000,$B120))</f>
        <v/>
      </c>
      <c r="P120" s="12" t="str">
        <f>IF($B120="§","",N(P119)+SUMIFS(Estação!$Q$2:$Q$50000,Estação!$A$2:$A$50000,$B120))</f>
        <v/>
      </c>
      <c r="Q120" s="12" t="str">
        <f>IF($B120="§","",IFERROR(AVERAGEIFS(Estação!$AA$2:$AA$50000,Estação!$A$2:$A$50000,$B120,Estação!$AA$2:$AA$50000,"&gt;-50"),""))</f>
        <v/>
      </c>
      <c r="R120" s="12" t="str">
        <f>IF($B120="§","",IFERROR(AVERAGEIFS(Estação!$AB$2:$AB$50000,Estação!$A$2:$A$50000,$B120,Estação!$AB$2:$AB$50000,"&gt;-50"),""))</f>
        <v/>
      </c>
      <c r="S120" s="12" t="str">
        <f>IF($B120="§","",IFERROR(AVERAGEIFS(Estação!$Y$2:$Y$50000,Estação!$A$2:$A$50000,$B120,Estação!$Y$2:$Y$50000,"&gt;-50"),""))</f>
        <v/>
      </c>
      <c r="T120" s="12" t="str">
        <f>IF($B120="§","",IFERROR(AVERAGEIFS(Estação!$C$2:$C$50000,Estação!$A$2:$A$50000,$B120,Estação!$C$2:$C$50000,"&gt;-50"),""))</f>
        <v/>
      </c>
    </row>
    <row r="121" spans="1:20" x14ac:dyDescent="0.25">
      <c r="A121" s="12" t="str">
        <f t="shared" si="3"/>
        <v/>
      </c>
      <c r="B121" s="12" t="str">
        <f t="shared" si="4"/>
        <v>§</v>
      </c>
      <c r="C121" s="12">
        <f>EDATE(DATE(YEAR($C$1),MONTH($C$1),1),30)</f>
        <v>47119</v>
      </c>
      <c r="D121" s="12" t="str">
        <f>IF($B121="§","",IFERROR(AVERAGEIFS(Estação!$S$2:$S$50000,Estação!$A$2:$A$50000,$B121,Estação!$S$2:$S$50000,"&gt;-50"),""))</f>
        <v/>
      </c>
      <c r="E121" s="12" t="str">
        <f>IF($B121="§","",IFERROR(AVERAGEIFS(Estação!$T$2:$T$50000,Estação!$A$2:$A$50000,$B121,Estação!$T$2:$T$50000,"&gt;-50"),""))</f>
        <v/>
      </c>
      <c r="F121" s="12" t="str">
        <f>IF($B121="§","",IFERROR(AVERAGEIFS(Estação!$F$2:$F$50000,Estação!$A$2:$A$50000,$B121,Estação!$F$2:$F$50000,"&gt;-50"),""))</f>
        <v/>
      </c>
      <c r="G121" s="12" t="str">
        <f>IF($B121="§","",IFERROR(AVERAGEIFS(Estação!$G$2:$G$50000,Estação!$A$2:$A$50000,$B121,Estação!$G$2:$G$50000,"&gt;-50"),""))</f>
        <v/>
      </c>
      <c r="H121" s="12" t="str">
        <f>IF($B121="§","",IFERROR(AVERAGEIFS(Estação!$Z$2:$Z$50000,Estação!$A$2:$A$50000,$B121,Estação!$Z$2:$Z$50000,"&gt;-50"),""))</f>
        <v/>
      </c>
      <c r="I121" s="12" t="str">
        <f>IF($B121="§","",IFERROR(AVERAGEIFS(Estação!$E$2:$E$50000,Estação!$A$2:$A$50000,$B121,Estação!$E$2:$E$50000,"&gt;-50"),""))</f>
        <v/>
      </c>
      <c r="J121" s="12" t="str">
        <f>IF($B121="§","",IFERROR(AVERAGEIFS(Estação!$H$2:$H$50000,Estação!$A$2:$A$50000,$B121,Estação!$H$2:$H$50000,"&gt;-50"),""))</f>
        <v/>
      </c>
      <c r="K121" s="12" t="str">
        <f>IF($B121="§","",IFERROR(AVERAGEIFS(Estação!$L$2:$L$50000,Estação!$A$2:$A$50000,$B121,Estação!$L$2:$L$50000,"&gt;-50"),""))</f>
        <v/>
      </c>
      <c r="L121" s="12" t="str">
        <f>IF($B121="§","",IFERROR(AVERAGEIFS(Estação!$B$2:$B$50000,Estação!$A$2:$A$50000,$B121,Estação!$B$2:$B$50000,"&gt;-50"),""))</f>
        <v/>
      </c>
      <c r="M121" s="12" t="str">
        <f>IF($B121="§","",IFERROR(AVERAGEIFS(Estação!$M$2:$M$50000,Estação!$A$2:$A$50000,$B121,Estação!$M$2:$M$50000,"&gt;-50"),""))</f>
        <v/>
      </c>
      <c r="N121" s="12" t="str">
        <f>IF($B121="§","",N(N120)+SUMIFS(Estação!$O$2:$O$50000,Estação!$A$2:$A$50000,$B121))</f>
        <v/>
      </c>
      <c r="O121" s="12" t="str">
        <f>IF($B121="§","",N(O120)+SUMIFS(Estação!$P$2:$P$50000,Estação!$A$2:$A$50000,$B121))</f>
        <v/>
      </c>
      <c r="P121" s="12" t="str">
        <f>IF($B121="§","",N(P120)+SUMIFS(Estação!$Q$2:$Q$50000,Estação!$A$2:$A$50000,$B121))</f>
        <v/>
      </c>
      <c r="Q121" s="12" t="str">
        <f>IF($B121="§","",IFERROR(AVERAGEIFS(Estação!$AA$2:$AA$50000,Estação!$A$2:$A$50000,$B121,Estação!$AA$2:$AA$50000,"&gt;-50"),""))</f>
        <v/>
      </c>
      <c r="R121" s="12" t="str">
        <f>IF($B121="§","",IFERROR(AVERAGEIFS(Estação!$AB$2:$AB$50000,Estação!$A$2:$A$50000,$B121,Estação!$AB$2:$AB$50000,"&gt;-50"),""))</f>
        <v/>
      </c>
      <c r="S121" s="12" t="str">
        <f>IF($B121="§","",IFERROR(AVERAGEIFS(Estação!$Y$2:$Y$50000,Estação!$A$2:$A$50000,$B121,Estação!$Y$2:$Y$50000,"&gt;-50"),""))</f>
        <v/>
      </c>
      <c r="T121" s="12" t="str">
        <f>IF($B121="§","",IFERROR(AVERAGEIFS(Estação!$C$2:$C$50000,Estação!$A$2:$A$50000,$B121,Estação!$C$2:$C$50000,"&gt;-50"),""))</f>
        <v/>
      </c>
    </row>
    <row r="122" spans="1:20" x14ac:dyDescent="0.25">
      <c r="A122" s="12" t="str">
        <f t="shared" si="3"/>
        <v/>
      </c>
      <c r="B122" s="12" t="str">
        <f t="shared" si="4"/>
        <v>§</v>
      </c>
      <c r="C122" s="12">
        <f>EDATE(DATE(YEAR($C$1),MONTH($C$1),1),31)</f>
        <v>47150</v>
      </c>
      <c r="D122" s="12" t="str">
        <f>IF($B122="§","",IFERROR(AVERAGEIFS(Estação!$S$2:$S$50000,Estação!$A$2:$A$50000,$B122,Estação!$S$2:$S$50000,"&gt;-50"),""))</f>
        <v/>
      </c>
      <c r="E122" s="12" t="str">
        <f>IF($B122="§","",IFERROR(AVERAGEIFS(Estação!$T$2:$T$50000,Estação!$A$2:$A$50000,$B122,Estação!$T$2:$T$50000,"&gt;-50"),""))</f>
        <v/>
      </c>
      <c r="F122" s="12" t="str">
        <f>IF($B122="§","",IFERROR(AVERAGEIFS(Estação!$F$2:$F$50000,Estação!$A$2:$A$50000,$B122,Estação!$F$2:$F$50000,"&gt;-50"),""))</f>
        <v/>
      </c>
      <c r="G122" s="12" t="str">
        <f>IF($B122="§","",IFERROR(AVERAGEIFS(Estação!$G$2:$G$50000,Estação!$A$2:$A$50000,$B122,Estação!$G$2:$G$50000,"&gt;-50"),""))</f>
        <v/>
      </c>
      <c r="H122" s="12" t="str">
        <f>IF($B122="§","",IFERROR(AVERAGEIFS(Estação!$Z$2:$Z$50000,Estação!$A$2:$A$50000,$B122,Estação!$Z$2:$Z$50000,"&gt;-50"),""))</f>
        <v/>
      </c>
      <c r="I122" s="12" t="str">
        <f>IF($B122="§","",IFERROR(AVERAGEIFS(Estação!$E$2:$E$50000,Estação!$A$2:$A$50000,$B122,Estação!$E$2:$E$50000,"&gt;-50"),""))</f>
        <v/>
      </c>
      <c r="J122" s="12" t="str">
        <f>IF($B122="§","",IFERROR(AVERAGEIFS(Estação!$H$2:$H$50000,Estação!$A$2:$A$50000,$B122,Estação!$H$2:$H$50000,"&gt;-50"),""))</f>
        <v/>
      </c>
      <c r="K122" s="12" t="str">
        <f>IF($B122="§","",IFERROR(AVERAGEIFS(Estação!$L$2:$L$50000,Estação!$A$2:$A$50000,$B122,Estação!$L$2:$L$50000,"&gt;-50"),""))</f>
        <v/>
      </c>
      <c r="L122" s="12" t="str">
        <f>IF($B122="§","",IFERROR(AVERAGEIFS(Estação!$B$2:$B$50000,Estação!$A$2:$A$50000,$B122,Estação!$B$2:$B$50000,"&gt;-50"),""))</f>
        <v/>
      </c>
      <c r="M122" s="12" t="str">
        <f>IF($B122="§","",IFERROR(AVERAGEIFS(Estação!$M$2:$M$50000,Estação!$A$2:$A$50000,$B122,Estação!$M$2:$M$50000,"&gt;-50"),""))</f>
        <v/>
      </c>
      <c r="N122" s="12" t="str">
        <f>IF($B122="§","",N(N121)+SUMIFS(Estação!$O$2:$O$50000,Estação!$A$2:$A$50000,$B122))</f>
        <v/>
      </c>
      <c r="O122" s="12" t="str">
        <f>IF($B122="§","",N(O121)+SUMIFS(Estação!$P$2:$P$50000,Estação!$A$2:$A$50000,$B122))</f>
        <v/>
      </c>
      <c r="P122" s="12" t="str">
        <f>IF($B122="§","",N(P121)+SUMIFS(Estação!$Q$2:$Q$50000,Estação!$A$2:$A$50000,$B122))</f>
        <v/>
      </c>
      <c r="Q122" s="12" t="str">
        <f>IF($B122="§","",IFERROR(AVERAGEIFS(Estação!$AA$2:$AA$50000,Estação!$A$2:$A$50000,$B122,Estação!$AA$2:$AA$50000,"&gt;-50"),""))</f>
        <v/>
      </c>
      <c r="R122" s="12" t="str">
        <f>IF($B122="§","",IFERROR(AVERAGEIFS(Estação!$AB$2:$AB$50000,Estação!$A$2:$A$50000,$B122,Estação!$AB$2:$AB$50000,"&gt;-50"),""))</f>
        <v/>
      </c>
      <c r="S122" s="12" t="str">
        <f>IF($B122="§","",IFERROR(AVERAGEIFS(Estação!$Y$2:$Y$50000,Estação!$A$2:$A$50000,$B122,Estação!$Y$2:$Y$50000,"&gt;-50"),""))</f>
        <v/>
      </c>
      <c r="T122" s="12" t="str">
        <f>IF($B122="§","",IFERROR(AVERAGEIFS(Estação!$C$2:$C$50000,Estação!$A$2:$A$50000,$B122,Estação!$C$2:$C$50000,"&gt;-50"),""))</f>
        <v/>
      </c>
    </row>
    <row r="123" spans="1:20" x14ac:dyDescent="0.25">
      <c r="A123" s="12" t="str">
        <f t="shared" si="3"/>
        <v/>
      </c>
      <c r="B123" s="12" t="str">
        <f t="shared" si="4"/>
        <v>§</v>
      </c>
      <c r="C123" s="12">
        <f>EDATE(DATE(YEAR($C$1),MONTH($C$1),1),32)</f>
        <v>47178</v>
      </c>
      <c r="D123" s="12" t="str">
        <f>IF($B123="§","",IFERROR(AVERAGEIFS(Estação!$S$2:$S$50000,Estação!$A$2:$A$50000,$B123,Estação!$S$2:$S$50000,"&gt;-50"),""))</f>
        <v/>
      </c>
      <c r="E123" s="12" t="str">
        <f>IF($B123="§","",IFERROR(AVERAGEIFS(Estação!$T$2:$T$50000,Estação!$A$2:$A$50000,$B123,Estação!$T$2:$T$50000,"&gt;-50"),""))</f>
        <v/>
      </c>
      <c r="F123" s="12" t="str">
        <f>IF($B123="§","",IFERROR(AVERAGEIFS(Estação!$F$2:$F$50000,Estação!$A$2:$A$50000,$B123,Estação!$F$2:$F$50000,"&gt;-50"),""))</f>
        <v/>
      </c>
      <c r="G123" s="12" t="str">
        <f>IF($B123="§","",IFERROR(AVERAGEIFS(Estação!$G$2:$G$50000,Estação!$A$2:$A$50000,$B123,Estação!$G$2:$G$50000,"&gt;-50"),""))</f>
        <v/>
      </c>
      <c r="H123" s="12" t="str">
        <f>IF($B123="§","",IFERROR(AVERAGEIFS(Estação!$Z$2:$Z$50000,Estação!$A$2:$A$50000,$B123,Estação!$Z$2:$Z$50000,"&gt;-50"),""))</f>
        <v/>
      </c>
      <c r="I123" s="12" t="str">
        <f>IF($B123="§","",IFERROR(AVERAGEIFS(Estação!$E$2:$E$50000,Estação!$A$2:$A$50000,$B123,Estação!$E$2:$E$50000,"&gt;-50"),""))</f>
        <v/>
      </c>
      <c r="J123" s="12" t="str">
        <f>IF($B123="§","",IFERROR(AVERAGEIFS(Estação!$H$2:$H$50000,Estação!$A$2:$A$50000,$B123,Estação!$H$2:$H$50000,"&gt;-50"),""))</f>
        <v/>
      </c>
      <c r="K123" s="12" t="str">
        <f>IF($B123="§","",IFERROR(AVERAGEIFS(Estação!$L$2:$L$50000,Estação!$A$2:$A$50000,$B123,Estação!$L$2:$L$50000,"&gt;-50"),""))</f>
        <v/>
      </c>
      <c r="L123" s="12" t="str">
        <f>IF($B123="§","",IFERROR(AVERAGEIFS(Estação!$B$2:$B$50000,Estação!$A$2:$A$50000,$B123,Estação!$B$2:$B$50000,"&gt;-50"),""))</f>
        <v/>
      </c>
      <c r="M123" s="12" t="str">
        <f>IF($B123="§","",IFERROR(AVERAGEIFS(Estação!$M$2:$M$50000,Estação!$A$2:$A$50000,$B123,Estação!$M$2:$M$50000,"&gt;-50"),""))</f>
        <v/>
      </c>
      <c r="N123" s="12" t="str">
        <f>IF($B123="§","",N(N122)+SUMIFS(Estação!$O$2:$O$50000,Estação!$A$2:$A$50000,$B123))</f>
        <v/>
      </c>
      <c r="O123" s="12" t="str">
        <f>IF($B123="§","",N(O122)+SUMIFS(Estação!$P$2:$P$50000,Estação!$A$2:$A$50000,$B123))</f>
        <v/>
      </c>
      <c r="P123" s="12" t="str">
        <f>IF($B123="§","",N(P122)+SUMIFS(Estação!$Q$2:$Q$50000,Estação!$A$2:$A$50000,$B123))</f>
        <v/>
      </c>
      <c r="Q123" s="12" t="str">
        <f>IF($B123="§","",IFERROR(AVERAGEIFS(Estação!$AA$2:$AA$50000,Estação!$A$2:$A$50000,$B123,Estação!$AA$2:$AA$50000,"&gt;-50"),""))</f>
        <v/>
      </c>
      <c r="R123" s="12" t="str">
        <f>IF($B123="§","",IFERROR(AVERAGEIFS(Estação!$AB$2:$AB$50000,Estação!$A$2:$A$50000,$B123,Estação!$AB$2:$AB$50000,"&gt;-50"),""))</f>
        <v/>
      </c>
      <c r="S123" s="12" t="str">
        <f>IF($B123="§","",IFERROR(AVERAGEIFS(Estação!$Y$2:$Y$50000,Estação!$A$2:$A$50000,$B123,Estação!$Y$2:$Y$50000,"&gt;-50"),""))</f>
        <v/>
      </c>
      <c r="T123" s="12" t="str">
        <f>IF($B123="§","",IFERROR(AVERAGEIFS(Estação!$C$2:$C$50000,Estação!$A$2:$A$50000,$B123,Estação!$C$2:$C$50000,"&gt;-50"),""))</f>
        <v/>
      </c>
    </row>
    <row r="124" spans="1:20" x14ac:dyDescent="0.25">
      <c r="A124" s="12" t="str">
        <f t="shared" si="3"/>
        <v/>
      </c>
      <c r="B124" s="12" t="str">
        <f t="shared" si="4"/>
        <v>§</v>
      </c>
      <c r="C124" s="12">
        <f>EDATE(DATE(YEAR($C$1),MONTH($C$1),1),33)</f>
        <v>47209</v>
      </c>
      <c r="D124" s="12" t="str">
        <f>IF($B124="§","",IFERROR(AVERAGEIFS(Estação!$S$2:$S$50000,Estação!$A$2:$A$50000,$B124,Estação!$S$2:$S$50000,"&gt;-50"),""))</f>
        <v/>
      </c>
      <c r="E124" s="12" t="str">
        <f>IF($B124="§","",IFERROR(AVERAGEIFS(Estação!$T$2:$T$50000,Estação!$A$2:$A$50000,$B124,Estação!$T$2:$T$50000,"&gt;-50"),""))</f>
        <v/>
      </c>
      <c r="F124" s="12" t="str">
        <f>IF($B124="§","",IFERROR(AVERAGEIFS(Estação!$F$2:$F$50000,Estação!$A$2:$A$50000,$B124,Estação!$F$2:$F$50000,"&gt;-50"),""))</f>
        <v/>
      </c>
      <c r="G124" s="12" t="str">
        <f>IF($B124="§","",IFERROR(AVERAGEIFS(Estação!$G$2:$G$50000,Estação!$A$2:$A$50000,$B124,Estação!$G$2:$G$50000,"&gt;-50"),""))</f>
        <v/>
      </c>
      <c r="H124" s="12" t="str">
        <f>IF($B124="§","",IFERROR(AVERAGEIFS(Estação!$Z$2:$Z$50000,Estação!$A$2:$A$50000,$B124,Estação!$Z$2:$Z$50000,"&gt;-50"),""))</f>
        <v/>
      </c>
      <c r="I124" s="12" t="str">
        <f>IF($B124="§","",IFERROR(AVERAGEIFS(Estação!$E$2:$E$50000,Estação!$A$2:$A$50000,$B124,Estação!$E$2:$E$50000,"&gt;-50"),""))</f>
        <v/>
      </c>
      <c r="J124" s="12" t="str">
        <f>IF($B124="§","",IFERROR(AVERAGEIFS(Estação!$H$2:$H$50000,Estação!$A$2:$A$50000,$B124,Estação!$H$2:$H$50000,"&gt;-50"),""))</f>
        <v/>
      </c>
      <c r="K124" s="12" t="str">
        <f>IF($B124="§","",IFERROR(AVERAGEIFS(Estação!$L$2:$L$50000,Estação!$A$2:$A$50000,$B124,Estação!$L$2:$L$50000,"&gt;-50"),""))</f>
        <v/>
      </c>
      <c r="L124" s="12" t="str">
        <f>IF($B124="§","",IFERROR(AVERAGEIFS(Estação!$B$2:$B$50000,Estação!$A$2:$A$50000,$B124,Estação!$B$2:$B$50000,"&gt;-50"),""))</f>
        <v/>
      </c>
      <c r="M124" s="12" t="str">
        <f>IF($B124="§","",IFERROR(AVERAGEIFS(Estação!$M$2:$M$50000,Estação!$A$2:$A$50000,$B124,Estação!$M$2:$M$50000,"&gt;-50"),""))</f>
        <v/>
      </c>
      <c r="N124" s="12" t="str">
        <f>IF($B124="§","",N(N123)+SUMIFS(Estação!$O$2:$O$50000,Estação!$A$2:$A$50000,$B124))</f>
        <v/>
      </c>
      <c r="O124" s="12" t="str">
        <f>IF($B124="§","",N(O123)+SUMIFS(Estação!$P$2:$P$50000,Estação!$A$2:$A$50000,$B124))</f>
        <v/>
      </c>
      <c r="P124" s="12" t="str">
        <f>IF($B124="§","",N(P123)+SUMIFS(Estação!$Q$2:$Q$50000,Estação!$A$2:$A$50000,$B124))</f>
        <v/>
      </c>
      <c r="Q124" s="12" t="str">
        <f>IF($B124="§","",IFERROR(AVERAGEIFS(Estação!$AA$2:$AA$50000,Estação!$A$2:$A$50000,$B124,Estação!$AA$2:$AA$50000,"&gt;-50"),""))</f>
        <v/>
      </c>
      <c r="R124" s="12" t="str">
        <f>IF($B124="§","",IFERROR(AVERAGEIFS(Estação!$AB$2:$AB$50000,Estação!$A$2:$A$50000,$B124,Estação!$AB$2:$AB$50000,"&gt;-50"),""))</f>
        <v/>
      </c>
      <c r="S124" s="12" t="str">
        <f>IF($B124="§","",IFERROR(AVERAGEIFS(Estação!$Y$2:$Y$50000,Estação!$A$2:$A$50000,$B124,Estação!$Y$2:$Y$50000,"&gt;-50"),""))</f>
        <v/>
      </c>
      <c r="T124" s="12" t="str">
        <f>IF($B124="§","",IFERROR(AVERAGEIFS(Estação!$C$2:$C$50000,Estação!$A$2:$A$50000,$B124,Estação!$C$2:$C$50000,"&gt;-50"),""))</f>
        <v/>
      </c>
    </row>
    <row r="125" spans="1:20" x14ac:dyDescent="0.25">
      <c r="A125" s="12" t="str">
        <f t="shared" si="3"/>
        <v/>
      </c>
      <c r="B125" s="12" t="str">
        <f t="shared" si="4"/>
        <v>§</v>
      </c>
      <c r="C125" s="12">
        <f>EDATE(DATE(YEAR($C$1),MONTH($C$1),1),34)</f>
        <v>47239</v>
      </c>
      <c r="D125" s="12" t="str">
        <f>IF($B125="§","",IFERROR(AVERAGEIFS(Estação!$S$2:$S$50000,Estação!$A$2:$A$50000,$B125,Estação!$S$2:$S$50000,"&gt;-50"),""))</f>
        <v/>
      </c>
      <c r="E125" s="12" t="str">
        <f>IF($B125="§","",IFERROR(AVERAGEIFS(Estação!$T$2:$T$50000,Estação!$A$2:$A$50000,$B125,Estação!$T$2:$T$50000,"&gt;-50"),""))</f>
        <v/>
      </c>
      <c r="F125" s="12" t="str">
        <f>IF($B125="§","",IFERROR(AVERAGEIFS(Estação!$F$2:$F$50000,Estação!$A$2:$A$50000,$B125,Estação!$F$2:$F$50000,"&gt;-50"),""))</f>
        <v/>
      </c>
      <c r="G125" s="12" t="str">
        <f>IF($B125="§","",IFERROR(AVERAGEIFS(Estação!$G$2:$G$50000,Estação!$A$2:$A$50000,$B125,Estação!$G$2:$G$50000,"&gt;-50"),""))</f>
        <v/>
      </c>
      <c r="H125" s="12" t="str">
        <f>IF($B125="§","",IFERROR(AVERAGEIFS(Estação!$Z$2:$Z$50000,Estação!$A$2:$A$50000,$B125,Estação!$Z$2:$Z$50000,"&gt;-50"),""))</f>
        <v/>
      </c>
      <c r="I125" s="12" t="str">
        <f>IF($B125="§","",IFERROR(AVERAGEIFS(Estação!$E$2:$E$50000,Estação!$A$2:$A$50000,$B125,Estação!$E$2:$E$50000,"&gt;-50"),""))</f>
        <v/>
      </c>
      <c r="J125" s="12" t="str">
        <f>IF($B125="§","",IFERROR(AVERAGEIFS(Estação!$H$2:$H$50000,Estação!$A$2:$A$50000,$B125,Estação!$H$2:$H$50000,"&gt;-50"),""))</f>
        <v/>
      </c>
      <c r="K125" s="12" t="str">
        <f>IF($B125="§","",IFERROR(AVERAGEIFS(Estação!$L$2:$L$50000,Estação!$A$2:$A$50000,$B125,Estação!$L$2:$L$50000,"&gt;-50"),""))</f>
        <v/>
      </c>
      <c r="L125" s="12" t="str">
        <f>IF($B125="§","",IFERROR(AVERAGEIFS(Estação!$B$2:$B$50000,Estação!$A$2:$A$50000,$B125,Estação!$B$2:$B$50000,"&gt;-50"),""))</f>
        <v/>
      </c>
      <c r="M125" s="12" t="str">
        <f>IF($B125="§","",IFERROR(AVERAGEIFS(Estação!$M$2:$M$50000,Estação!$A$2:$A$50000,$B125,Estação!$M$2:$M$50000,"&gt;-50"),""))</f>
        <v/>
      </c>
      <c r="N125" s="12" t="str">
        <f>IF($B125="§","",N(N124)+SUMIFS(Estação!$O$2:$O$50000,Estação!$A$2:$A$50000,$B125))</f>
        <v/>
      </c>
      <c r="O125" s="12" t="str">
        <f>IF($B125="§","",N(O124)+SUMIFS(Estação!$P$2:$P$50000,Estação!$A$2:$A$50000,$B125))</f>
        <v/>
      </c>
      <c r="P125" s="12" t="str">
        <f>IF($B125="§","",N(P124)+SUMIFS(Estação!$Q$2:$Q$50000,Estação!$A$2:$A$50000,$B125))</f>
        <v/>
      </c>
      <c r="Q125" s="12" t="str">
        <f>IF($B125="§","",IFERROR(AVERAGEIFS(Estação!$AA$2:$AA$50000,Estação!$A$2:$A$50000,$B125,Estação!$AA$2:$AA$50000,"&gt;-50"),""))</f>
        <v/>
      </c>
      <c r="R125" s="12" t="str">
        <f>IF($B125="§","",IFERROR(AVERAGEIFS(Estação!$AB$2:$AB$50000,Estação!$A$2:$A$50000,$B125,Estação!$AB$2:$AB$50000,"&gt;-50"),""))</f>
        <v/>
      </c>
      <c r="S125" s="12" t="str">
        <f>IF($B125="§","",IFERROR(AVERAGEIFS(Estação!$Y$2:$Y$50000,Estação!$A$2:$A$50000,$B125,Estação!$Y$2:$Y$50000,"&gt;-50"),""))</f>
        <v/>
      </c>
      <c r="T125" s="12" t="str">
        <f>IF($B125="§","",IFERROR(AVERAGEIFS(Estação!$C$2:$C$50000,Estação!$A$2:$A$50000,$B125,Estação!$C$2:$C$50000,"&gt;-50"),""))</f>
        <v/>
      </c>
    </row>
    <row r="126" spans="1:20" x14ac:dyDescent="0.25">
      <c r="A126" s="12" t="str">
        <f t="shared" si="3"/>
        <v/>
      </c>
      <c r="B126" s="12" t="str">
        <f t="shared" si="4"/>
        <v>§</v>
      </c>
      <c r="C126" s="12">
        <f>EDATE(DATE(YEAR($C$1),MONTH($C$1),1),35)</f>
        <v>47270</v>
      </c>
      <c r="D126" s="12" t="str">
        <f>IF($B126="§","",IFERROR(AVERAGEIFS(Estação!$S$2:$S$50000,Estação!$A$2:$A$50000,$B126,Estação!$S$2:$S$50000,"&gt;-50"),""))</f>
        <v/>
      </c>
      <c r="E126" s="12" t="str">
        <f>IF($B126="§","",IFERROR(AVERAGEIFS(Estação!$T$2:$T$50000,Estação!$A$2:$A$50000,$B126,Estação!$T$2:$T$50000,"&gt;-50"),""))</f>
        <v/>
      </c>
      <c r="F126" s="12" t="str">
        <f>IF($B126="§","",IFERROR(AVERAGEIFS(Estação!$F$2:$F$50000,Estação!$A$2:$A$50000,$B126,Estação!$F$2:$F$50000,"&gt;-50"),""))</f>
        <v/>
      </c>
      <c r="G126" s="12" t="str">
        <f>IF($B126="§","",IFERROR(AVERAGEIFS(Estação!$G$2:$G$50000,Estação!$A$2:$A$50000,$B126,Estação!$G$2:$G$50000,"&gt;-50"),""))</f>
        <v/>
      </c>
      <c r="H126" s="12" t="str">
        <f>IF($B126="§","",IFERROR(AVERAGEIFS(Estação!$Z$2:$Z$50000,Estação!$A$2:$A$50000,$B126,Estação!$Z$2:$Z$50000,"&gt;-50"),""))</f>
        <v/>
      </c>
      <c r="I126" s="12" t="str">
        <f>IF($B126="§","",IFERROR(AVERAGEIFS(Estação!$E$2:$E$50000,Estação!$A$2:$A$50000,$B126,Estação!$E$2:$E$50000,"&gt;-50"),""))</f>
        <v/>
      </c>
      <c r="J126" s="12" t="str">
        <f>IF($B126="§","",IFERROR(AVERAGEIFS(Estação!$H$2:$H$50000,Estação!$A$2:$A$50000,$B126,Estação!$H$2:$H$50000,"&gt;-50"),""))</f>
        <v/>
      </c>
      <c r="K126" s="12" t="str">
        <f>IF($B126="§","",IFERROR(AVERAGEIFS(Estação!$L$2:$L$50000,Estação!$A$2:$A$50000,$B126,Estação!$L$2:$L$50000,"&gt;-50"),""))</f>
        <v/>
      </c>
      <c r="L126" s="12" t="str">
        <f>IF($B126="§","",IFERROR(AVERAGEIFS(Estação!$B$2:$B$50000,Estação!$A$2:$A$50000,$B126,Estação!$B$2:$B$50000,"&gt;-50"),""))</f>
        <v/>
      </c>
      <c r="M126" s="12" t="str">
        <f>IF($B126="§","",IFERROR(AVERAGEIFS(Estação!$M$2:$M$50000,Estação!$A$2:$A$50000,$B126,Estação!$M$2:$M$50000,"&gt;-50"),""))</f>
        <v/>
      </c>
      <c r="N126" s="12" t="str">
        <f>IF($B126="§","",N(N125)+SUMIFS(Estação!$O$2:$O$50000,Estação!$A$2:$A$50000,$B126))</f>
        <v/>
      </c>
      <c r="O126" s="12" t="str">
        <f>IF($B126="§","",N(O125)+SUMIFS(Estação!$P$2:$P$50000,Estação!$A$2:$A$50000,$B126))</f>
        <v/>
      </c>
      <c r="P126" s="12" t="str">
        <f>IF($B126="§","",N(P125)+SUMIFS(Estação!$Q$2:$Q$50000,Estação!$A$2:$A$50000,$B126))</f>
        <v/>
      </c>
      <c r="Q126" s="12" t="str">
        <f>IF($B126="§","",IFERROR(AVERAGEIFS(Estação!$AA$2:$AA$50000,Estação!$A$2:$A$50000,$B126,Estação!$AA$2:$AA$50000,"&gt;-50"),""))</f>
        <v/>
      </c>
      <c r="R126" s="12" t="str">
        <f>IF($B126="§","",IFERROR(AVERAGEIFS(Estação!$AB$2:$AB$50000,Estação!$A$2:$A$50000,$B126,Estação!$AB$2:$AB$50000,"&gt;-50"),""))</f>
        <v/>
      </c>
      <c r="S126" s="12" t="str">
        <f>IF($B126="§","",IFERROR(AVERAGEIFS(Estação!$Y$2:$Y$50000,Estação!$A$2:$A$50000,$B126,Estação!$Y$2:$Y$50000,"&gt;-50"),""))</f>
        <v/>
      </c>
      <c r="T126" s="12" t="str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Estação</vt:lpstr>
      <vt:lpstr>Valores Diários</vt:lpstr>
      <vt:lpstr>Valores Semanais</vt:lpstr>
      <vt:lpstr>Valores Mensais</vt:lpstr>
      <vt:lpstr>Valores Anuais</vt:lpstr>
      <vt:lpstr>Valores Totais</vt:lpstr>
      <vt:lpstr>Cálculos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Anibal Rosa Vargas</cp:lastModifiedBy>
  <cp:revision>1</cp:revision>
  <dcterms:created xsi:type="dcterms:W3CDTF">2026-07-11T21:29:08Z</dcterms:created>
  <dcterms:modified xsi:type="dcterms:W3CDTF">2026-07-11T23:59:33Z</dcterms:modified>
  <dc:language>en-US</dc:language>
</cp:coreProperties>
</file>