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V:\Nord Consult\Engenharia\Documentos técnicos\NR-10\05-Relatórios de inspeções e auditoria PIE\5-Relatório inspeção Painéis\"/>
    </mc:Choice>
  </mc:AlternateContent>
  <xr:revisionPtr revIDLastSave="0" documentId="13_ncr:1_{3C6C1B7E-5B33-4BE2-A36A-8271F56E63F2}" xr6:coauthVersionLast="41" xr6:coauthVersionMax="47" xr10:uidLastSave="{00000000-0000-0000-0000-000000000000}"/>
  <bookViews>
    <workbookView xWindow="-120" yWindow="-120" windowWidth="20730" windowHeight="11160" tabRatio="741" xr2:uid="{00000000-000D-0000-FFFF-FFFF00000000}"/>
  </bookViews>
  <sheets>
    <sheet name="Resultado da inspeção" sheetId="4" r:id="rId1"/>
    <sheet name="Ranking" sheetId="5" r:id="rId2"/>
  </sheets>
  <definedNames>
    <definedName name="_xlnm._FilterDatabase" localSheetId="0" hidden="1">'Resultado da inspeção'!$B$5:$U$348</definedName>
    <definedName name="_xlnm.Print_Area" localSheetId="0">'Resultado da inspeção'!$B$1:$Y$517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5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6" i="5"/>
  <c r="N348" i="5" l="1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L6" i="5" l="1"/>
  <c r="L7" i="5"/>
  <c r="L8" i="5" l="1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AG244" i="5"/>
  <c r="AH244" i="5"/>
  <c r="AI244" i="5"/>
  <c r="AJ244" i="5"/>
  <c r="AK244" i="5"/>
  <c r="AG245" i="5"/>
  <c r="AK245" i="5"/>
  <c r="AL245" i="5"/>
  <c r="AG246" i="5"/>
  <c r="AL246" i="5"/>
  <c r="AG247" i="5"/>
  <c r="AL247" i="5"/>
  <c r="AG248" i="5"/>
  <c r="AL248" i="5"/>
  <c r="AG249" i="5"/>
  <c r="AL249" i="5"/>
  <c r="AG250" i="5"/>
  <c r="AL250" i="5"/>
  <c r="AJ251" i="5"/>
  <c r="AK256" i="5"/>
  <c r="AL256" i="5"/>
  <c r="AK257" i="5"/>
  <c r="AL257" i="5"/>
  <c r="AH258" i="5"/>
  <c r="AI258" i="5"/>
  <c r="AJ260" i="5"/>
  <c r="AK260" i="5"/>
  <c r="AG263" i="5"/>
  <c r="AH263" i="5"/>
  <c r="AI263" i="5"/>
  <c r="AJ263" i="5"/>
  <c r="AK263" i="5"/>
  <c r="AL263" i="5"/>
  <c r="AG264" i="5"/>
  <c r="AJ264" i="5"/>
  <c r="AM264" i="5"/>
  <c r="AJ265" i="5"/>
  <c r="AM265" i="5"/>
  <c r="AN265" i="5"/>
  <c r="AO265" i="5"/>
  <c r="AM266" i="5"/>
  <c r="AM267" i="5"/>
  <c r="AG271" i="5"/>
  <c r="AH271" i="5"/>
  <c r="AI271" i="5"/>
  <c r="AJ271" i="5"/>
  <c r="AN271" i="5"/>
  <c r="AO271" i="5"/>
  <c r="AG272" i="5"/>
  <c r="AM272" i="5"/>
  <c r="AG273" i="5"/>
  <c r="AH273" i="5"/>
  <c r="AI273" i="5"/>
  <c r="AJ273" i="5"/>
  <c r="AK273" i="5"/>
  <c r="AN273" i="5"/>
  <c r="AO273" i="5"/>
  <c r="AG274" i="5"/>
  <c r="AH274" i="5"/>
  <c r="AI274" i="5"/>
  <c r="AJ274" i="5"/>
  <c r="AK274" i="5"/>
  <c r="AL274" i="5"/>
  <c r="AM274" i="5"/>
  <c r="AN274" i="5"/>
  <c r="AO274" i="5"/>
  <c r="AH275" i="5"/>
  <c r="AI275" i="5"/>
  <c r="AK275" i="5"/>
  <c r="AG276" i="5"/>
  <c r="AH276" i="5"/>
  <c r="AI276" i="5"/>
  <c r="AK276" i="5"/>
  <c r="AL276" i="5"/>
  <c r="AH277" i="5"/>
  <c r="AI277" i="5"/>
  <c r="AJ277" i="5"/>
  <c r="AL277" i="5"/>
  <c r="AH278" i="5"/>
  <c r="AI278" i="5"/>
  <c r="AJ278" i="5"/>
  <c r="AL278" i="5"/>
  <c r="AH279" i="5"/>
  <c r="AI279" i="5"/>
  <c r="AJ279" i="5"/>
  <c r="AL279" i="5"/>
  <c r="AM279" i="5"/>
  <c r="AN279" i="5"/>
  <c r="AO279" i="5"/>
  <c r="AH280" i="5"/>
  <c r="AI280" i="5"/>
  <c r="AJ280" i="5"/>
  <c r="AL280" i="5"/>
  <c r="AM280" i="5"/>
  <c r="AH281" i="5"/>
  <c r="AI281" i="5"/>
  <c r="AJ281" i="5"/>
  <c r="AL281" i="5"/>
  <c r="AG282" i="5"/>
  <c r="AH282" i="5"/>
  <c r="AI282" i="5"/>
  <c r="AJ282" i="5"/>
  <c r="AG283" i="5"/>
  <c r="AH283" i="5"/>
  <c r="AI283" i="5"/>
  <c r="AJ283" i="5"/>
  <c r="AK283" i="5"/>
  <c r="AL283" i="5"/>
  <c r="AN283" i="5"/>
  <c r="AO283" i="5"/>
  <c r="AG284" i="5"/>
  <c r="AH284" i="5"/>
  <c r="AI284" i="5"/>
  <c r="AJ284" i="5"/>
  <c r="AK284" i="5"/>
  <c r="AL284" i="5"/>
  <c r="AJ285" i="5"/>
  <c r="AM286" i="5"/>
  <c r="AJ287" i="5"/>
  <c r="AG291" i="5"/>
  <c r="AH291" i="5"/>
  <c r="AI291" i="5"/>
  <c r="AJ291" i="5"/>
  <c r="AL291" i="5"/>
  <c r="AM291" i="5"/>
  <c r="AG292" i="5"/>
  <c r="AH292" i="5"/>
  <c r="AI292" i="5"/>
  <c r="AJ292" i="5"/>
  <c r="AK292" i="5"/>
  <c r="AL292" i="5"/>
  <c r="AN292" i="5"/>
  <c r="AO292" i="5"/>
  <c r="AG293" i="5"/>
  <c r="AH293" i="5"/>
  <c r="AI293" i="5"/>
  <c r="AJ293" i="5"/>
  <c r="AK293" i="5"/>
  <c r="AL293" i="5"/>
  <c r="AH294" i="5"/>
  <c r="AI294" i="5"/>
  <c r="AJ294" i="5"/>
  <c r="AL294" i="5"/>
  <c r="AH295" i="5"/>
  <c r="AI295" i="5"/>
  <c r="AJ295" i="5"/>
  <c r="AL295" i="5"/>
  <c r="AG296" i="5"/>
  <c r="AH296" i="5"/>
  <c r="AI296" i="5"/>
  <c r="AJ296" i="5"/>
  <c r="AK296" i="5"/>
  <c r="AL296" i="5"/>
  <c r="AN296" i="5"/>
  <c r="AO296" i="5"/>
  <c r="AJ297" i="5"/>
  <c r="AL297" i="5"/>
  <c r="AJ298" i="5"/>
  <c r="AL298" i="5"/>
  <c r="AJ299" i="5"/>
  <c r="AL299" i="5"/>
  <c r="AH300" i="5"/>
  <c r="AI300" i="5"/>
  <c r="AJ300" i="5"/>
  <c r="AL300" i="5"/>
  <c r="AM300" i="5"/>
  <c r="AJ301" i="5"/>
  <c r="AL301" i="5"/>
  <c r="AM301" i="5"/>
  <c r="AJ302" i="5"/>
  <c r="AJ303" i="5"/>
  <c r="AJ304" i="5"/>
  <c r="AJ305" i="5"/>
  <c r="AJ306" i="5"/>
  <c r="AM306" i="5"/>
  <c r="AJ307" i="5"/>
  <c r="AJ308" i="5"/>
  <c r="AJ309" i="5"/>
  <c r="AJ310" i="5"/>
  <c r="AH311" i="5"/>
  <c r="AI311" i="5"/>
  <c r="AK311" i="5"/>
  <c r="AL311" i="5"/>
  <c r="AH312" i="5"/>
  <c r="AI312" i="5"/>
  <c r="AK312" i="5"/>
  <c r="AL312" i="5"/>
  <c r="AH313" i="5"/>
  <c r="AI313" i="5"/>
  <c r="AK313" i="5"/>
  <c r="AL313" i="5"/>
  <c r="AH314" i="5"/>
  <c r="AI314" i="5"/>
  <c r="AK314" i="5"/>
  <c r="AH315" i="5"/>
  <c r="AI315" i="5"/>
  <c r="AJ315" i="5"/>
  <c r="AK315" i="5"/>
  <c r="AL315" i="5"/>
  <c r="AH316" i="5"/>
  <c r="AI316" i="5"/>
  <c r="AJ316" i="5"/>
  <c r="AK316" i="5"/>
  <c r="AL316" i="5"/>
  <c r="AH317" i="5"/>
  <c r="AI317" i="5"/>
  <c r="AJ317" i="5"/>
  <c r="AK317" i="5"/>
  <c r="AL317" i="5"/>
  <c r="AM317" i="5"/>
  <c r="AH318" i="5"/>
  <c r="AI318" i="5"/>
  <c r="AJ318" i="5"/>
  <c r="AK318" i="5"/>
  <c r="AL318" i="5"/>
  <c r="AH319" i="5"/>
  <c r="AI319" i="5"/>
  <c r="AJ319" i="5"/>
  <c r="AK319" i="5"/>
  <c r="AL319" i="5"/>
  <c r="AH320" i="5"/>
  <c r="AI320" i="5"/>
  <c r="AJ320" i="5"/>
  <c r="AK320" i="5"/>
  <c r="AL320" i="5"/>
  <c r="AM320" i="5"/>
  <c r="AH321" i="5"/>
  <c r="AI321" i="5"/>
  <c r="AJ321" i="5"/>
  <c r="AK321" i="5"/>
  <c r="AL321" i="5"/>
  <c r="AJ322" i="5"/>
  <c r="AL322" i="5"/>
  <c r="AJ323" i="5"/>
  <c r="AL323" i="5"/>
  <c r="AH324" i="5"/>
  <c r="AI324" i="5"/>
  <c r="AJ324" i="5"/>
  <c r="AL324" i="5"/>
  <c r="AJ325" i="5"/>
  <c r="AL325" i="5"/>
  <c r="AJ326" i="5"/>
  <c r="AL326" i="5"/>
  <c r="AH327" i="5"/>
  <c r="AI327" i="5"/>
  <c r="AJ327" i="5"/>
  <c r="AL327" i="5"/>
  <c r="AJ328" i="5"/>
  <c r="AL328" i="5"/>
  <c r="AM328" i="5"/>
  <c r="AJ329" i="5"/>
  <c r="AL329" i="5"/>
  <c r="AJ330" i="5"/>
  <c r="AG331" i="5"/>
  <c r="AH331" i="5"/>
  <c r="AI331" i="5"/>
  <c r="AJ331" i="5"/>
  <c r="AK331" i="5"/>
  <c r="AL331" i="5"/>
  <c r="AM331" i="5"/>
  <c r="AN331" i="5"/>
  <c r="AO331" i="5"/>
  <c r="AG332" i="5"/>
  <c r="AH332" i="5"/>
  <c r="AI332" i="5"/>
  <c r="AJ332" i="5"/>
  <c r="AL332" i="5"/>
  <c r="AM332" i="5"/>
  <c r="AN332" i="5"/>
  <c r="AO332" i="5"/>
  <c r="AG333" i="5"/>
  <c r="AH333" i="5"/>
  <c r="AI333" i="5"/>
  <c r="AJ333" i="5"/>
  <c r="AL333" i="5"/>
  <c r="AM333" i="5"/>
  <c r="AH334" i="5"/>
  <c r="AI334" i="5"/>
  <c r="AJ334" i="5"/>
  <c r="AM334" i="5"/>
  <c r="AG335" i="5"/>
  <c r="AH335" i="5"/>
  <c r="AI335" i="5"/>
  <c r="AJ335" i="5"/>
  <c r="AL335" i="5"/>
  <c r="AN335" i="5"/>
  <c r="AO335" i="5"/>
  <c r="AH336" i="5"/>
  <c r="AI336" i="5"/>
  <c r="AJ336" i="5"/>
  <c r="AL336" i="5"/>
  <c r="AM336" i="5"/>
  <c r="AH337" i="5"/>
  <c r="AI337" i="5"/>
  <c r="AJ337" i="5"/>
  <c r="AM337" i="5"/>
  <c r="AJ338" i="5"/>
  <c r="AM338" i="5"/>
  <c r="AH339" i="5"/>
  <c r="AI339" i="5"/>
  <c r="AJ339" i="5"/>
  <c r="AK339" i="5"/>
  <c r="AM339" i="5"/>
  <c r="AN339" i="5"/>
  <c r="AO339" i="5"/>
  <c r="AG340" i="5"/>
  <c r="AH340" i="5"/>
  <c r="AI340" i="5"/>
  <c r="AJ340" i="5"/>
  <c r="AL340" i="5"/>
  <c r="AG341" i="5"/>
  <c r="AH341" i="5"/>
  <c r="AI341" i="5"/>
  <c r="AJ341" i="5"/>
  <c r="AL341" i="5"/>
  <c r="AG342" i="5"/>
  <c r="AH342" i="5"/>
  <c r="AI342" i="5"/>
  <c r="AJ342" i="5"/>
  <c r="AL342" i="5"/>
  <c r="AM342" i="5"/>
  <c r="AJ343" i="5"/>
  <c r="AH344" i="5"/>
  <c r="AI344" i="5"/>
  <c r="AJ344" i="5"/>
  <c r="AK344" i="5"/>
  <c r="AG345" i="5"/>
  <c r="AO345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B43" i="5"/>
  <c r="C43" i="5"/>
  <c r="D43" i="5"/>
  <c r="E43" i="5"/>
  <c r="F43" i="5"/>
  <c r="G43" i="5"/>
  <c r="H43" i="5"/>
  <c r="I43" i="5"/>
  <c r="J43" i="5"/>
  <c r="K43" i="5"/>
  <c r="B44" i="5"/>
  <c r="C44" i="5"/>
  <c r="D44" i="5"/>
  <c r="E44" i="5"/>
  <c r="F44" i="5"/>
  <c r="G44" i="5"/>
  <c r="H44" i="5"/>
  <c r="I44" i="5"/>
  <c r="J44" i="5"/>
  <c r="K44" i="5"/>
  <c r="B45" i="5"/>
  <c r="C45" i="5"/>
  <c r="D45" i="5"/>
  <c r="E45" i="5"/>
  <c r="F45" i="5"/>
  <c r="G45" i="5"/>
  <c r="H45" i="5"/>
  <c r="I45" i="5"/>
  <c r="J45" i="5"/>
  <c r="K45" i="5"/>
  <c r="B46" i="5"/>
  <c r="C46" i="5"/>
  <c r="D46" i="5"/>
  <c r="E46" i="5"/>
  <c r="F46" i="5"/>
  <c r="G46" i="5"/>
  <c r="H46" i="5"/>
  <c r="I46" i="5"/>
  <c r="J46" i="5"/>
  <c r="K46" i="5"/>
  <c r="B47" i="5"/>
  <c r="C47" i="5"/>
  <c r="D47" i="5"/>
  <c r="E47" i="5"/>
  <c r="F47" i="5"/>
  <c r="G47" i="5"/>
  <c r="H47" i="5"/>
  <c r="I47" i="5"/>
  <c r="J47" i="5"/>
  <c r="K47" i="5"/>
  <c r="B48" i="5"/>
  <c r="C48" i="5"/>
  <c r="D48" i="5"/>
  <c r="E48" i="5"/>
  <c r="F48" i="5"/>
  <c r="G48" i="5"/>
  <c r="H48" i="5"/>
  <c r="I48" i="5"/>
  <c r="J48" i="5"/>
  <c r="K48" i="5"/>
  <c r="B49" i="5"/>
  <c r="C49" i="5"/>
  <c r="D49" i="5"/>
  <c r="E49" i="5"/>
  <c r="F49" i="5"/>
  <c r="G49" i="5"/>
  <c r="H49" i="5"/>
  <c r="I49" i="5"/>
  <c r="J49" i="5"/>
  <c r="K49" i="5"/>
  <c r="B50" i="5"/>
  <c r="C50" i="5"/>
  <c r="D50" i="5"/>
  <c r="E50" i="5"/>
  <c r="F50" i="5"/>
  <c r="G50" i="5"/>
  <c r="H50" i="5"/>
  <c r="I50" i="5"/>
  <c r="J50" i="5"/>
  <c r="K50" i="5"/>
  <c r="B51" i="5"/>
  <c r="C51" i="5"/>
  <c r="D51" i="5"/>
  <c r="E51" i="5"/>
  <c r="F51" i="5"/>
  <c r="G51" i="5"/>
  <c r="H51" i="5"/>
  <c r="I51" i="5"/>
  <c r="J51" i="5"/>
  <c r="K51" i="5"/>
  <c r="B52" i="5"/>
  <c r="C52" i="5"/>
  <c r="D52" i="5"/>
  <c r="E52" i="5"/>
  <c r="F52" i="5"/>
  <c r="G52" i="5"/>
  <c r="H52" i="5"/>
  <c r="I52" i="5"/>
  <c r="J52" i="5"/>
  <c r="K52" i="5"/>
  <c r="B53" i="5"/>
  <c r="C53" i="5"/>
  <c r="D53" i="5"/>
  <c r="E53" i="5"/>
  <c r="F53" i="5"/>
  <c r="G53" i="5"/>
  <c r="H53" i="5"/>
  <c r="I53" i="5"/>
  <c r="J53" i="5"/>
  <c r="K53" i="5"/>
  <c r="B54" i="5"/>
  <c r="C54" i="5"/>
  <c r="D54" i="5"/>
  <c r="E54" i="5"/>
  <c r="F54" i="5"/>
  <c r="G54" i="5"/>
  <c r="H54" i="5"/>
  <c r="I54" i="5"/>
  <c r="J54" i="5"/>
  <c r="K54" i="5"/>
  <c r="B55" i="5"/>
  <c r="C55" i="5"/>
  <c r="D55" i="5"/>
  <c r="E55" i="5"/>
  <c r="F55" i="5"/>
  <c r="G55" i="5"/>
  <c r="H55" i="5"/>
  <c r="I55" i="5"/>
  <c r="J55" i="5"/>
  <c r="K55" i="5"/>
  <c r="B56" i="5"/>
  <c r="C56" i="5"/>
  <c r="D56" i="5"/>
  <c r="E56" i="5"/>
  <c r="F56" i="5"/>
  <c r="G56" i="5"/>
  <c r="H56" i="5"/>
  <c r="I56" i="5"/>
  <c r="J56" i="5"/>
  <c r="K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J59" i="5"/>
  <c r="K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B62" i="5"/>
  <c r="C62" i="5"/>
  <c r="D62" i="5"/>
  <c r="E62" i="5"/>
  <c r="F62" i="5"/>
  <c r="G62" i="5"/>
  <c r="H62" i="5"/>
  <c r="I62" i="5"/>
  <c r="J62" i="5"/>
  <c r="K62" i="5"/>
  <c r="B63" i="5"/>
  <c r="C63" i="5"/>
  <c r="D63" i="5"/>
  <c r="E63" i="5"/>
  <c r="F63" i="5"/>
  <c r="G63" i="5"/>
  <c r="H63" i="5"/>
  <c r="I63" i="5"/>
  <c r="J63" i="5"/>
  <c r="K63" i="5"/>
  <c r="B64" i="5"/>
  <c r="C64" i="5"/>
  <c r="D64" i="5"/>
  <c r="E64" i="5"/>
  <c r="F64" i="5"/>
  <c r="G64" i="5"/>
  <c r="H64" i="5"/>
  <c r="I64" i="5"/>
  <c r="J64" i="5"/>
  <c r="K64" i="5"/>
  <c r="B65" i="5"/>
  <c r="C65" i="5"/>
  <c r="D65" i="5"/>
  <c r="E65" i="5"/>
  <c r="F65" i="5"/>
  <c r="G65" i="5"/>
  <c r="H65" i="5"/>
  <c r="I65" i="5"/>
  <c r="J65" i="5"/>
  <c r="K65" i="5"/>
  <c r="B66" i="5"/>
  <c r="C66" i="5"/>
  <c r="D66" i="5"/>
  <c r="E66" i="5"/>
  <c r="F66" i="5"/>
  <c r="G66" i="5"/>
  <c r="H66" i="5"/>
  <c r="I66" i="5"/>
  <c r="J66" i="5"/>
  <c r="K66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B69" i="5"/>
  <c r="C69" i="5"/>
  <c r="D69" i="5"/>
  <c r="E69" i="5"/>
  <c r="F69" i="5"/>
  <c r="G69" i="5"/>
  <c r="H69" i="5"/>
  <c r="I69" i="5"/>
  <c r="J69" i="5"/>
  <c r="K69" i="5"/>
  <c r="B70" i="5"/>
  <c r="C70" i="5"/>
  <c r="D70" i="5"/>
  <c r="E70" i="5"/>
  <c r="F70" i="5"/>
  <c r="G70" i="5"/>
  <c r="H70" i="5"/>
  <c r="I70" i="5"/>
  <c r="J70" i="5"/>
  <c r="K70" i="5"/>
  <c r="B71" i="5"/>
  <c r="C71" i="5"/>
  <c r="D71" i="5"/>
  <c r="E71" i="5"/>
  <c r="F71" i="5"/>
  <c r="G71" i="5"/>
  <c r="H71" i="5"/>
  <c r="I71" i="5"/>
  <c r="J71" i="5"/>
  <c r="K71" i="5"/>
  <c r="B72" i="5"/>
  <c r="C72" i="5"/>
  <c r="D72" i="5"/>
  <c r="E72" i="5"/>
  <c r="F72" i="5"/>
  <c r="G72" i="5"/>
  <c r="H72" i="5"/>
  <c r="I72" i="5"/>
  <c r="J72" i="5"/>
  <c r="K72" i="5"/>
  <c r="B73" i="5"/>
  <c r="C73" i="5"/>
  <c r="D73" i="5"/>
  <c r="E73" i="5"/>
  <c r="F73" i="5"/>
  <c r="G73" i="5"/>
  <c r="H73" i="5"/>
  <c r="I73" i="5"/>
  <c r="J73" i="5"/>
  <c r="K73" i="5"/>
  <c r="B74" i="5"/>
  <c r="C74" i="5"/>
  <c r="D74" i="5"/>
  <c r="E74" i="5"/>
  <c r="F74" i="5"/>
  <c r="G74" i="5"/>
  <c r="H74" i="5"/>
  <c r="I74" i="5"/>
  <c r="J74" i="5"/>
  <c r="K74" i="5"/>
  <c r="B75" i="5"/>
  <c r="C75" i="5"/>
  <c r="D75" i="5"/>
  <c r="E75" i="5"/>
  <c r="F75" i="5"/>
  <c r="G75" i="5"/>
  <c r="H75" i="5"/>
  <c r="I75" i="5"/>
  <c r="J75" i="5"/>
  <c r="K75" i="5"/>
  <c r="B76" i="5"/>
  <c r="C76" i="5"/>
  <c r="D76" i="5"/>
  <c r="E76" i="5"/>
  <c r="F76" i="5"/>
  <c r="G76" i="5"/>
  <c r="H76" i="5"/>
  <c r="I76" i="5"/>
  <c r="J76" i="5"/>
  <c r="K76" i="5"/>
  <c r="B77" i="5"/>
  <c r="C77" i="5"/>
  <c r="D77" i="5"/>
  <c r="E77" i="5"/>
  <c r="F77" i="5"/>
  <c r="G77" i="5"/>
  <c r="H77" i="5"/>
  <c r="I77" i="5"/>
  <c r="J77" i="5"/>
  <c r="K77" i="5"/>
  <c r="B78" i="5"/>
  <c r="C78" i="5"/>
  <c r="D78" i="5"/>
  <c r="E78" i="5"/>
  <c r="F78" i="5"/>
  <c r="G78" i="5"/>
  <c r="H78" i="5"/>
  <c r="I78" i="5"/>
  <c r="J78" i="5"/>
  <c r="K78" i="5"/>
  <c r="B79" i="5"/>
  <c r="C79" i="5"/>
  <c r="D79" i="5"/>
  <c r="E79" i="5"/>
  <c r="F79" i="5"/>
  <c r="G79" i="5"/>
  <c r="H79" i="5"/>
  <c r="I79" i="5"/>
  <c r="J79" i="5"/>
  <c r="K79" i="5"/>
  <c r="B80" i="5"/>
  <c r="C80" i="5"/>
  <c r="D80" i="5"/>
  <c r="E80" i="5"/>
  <c r="F80" i="5"/>
  <c r="G80" i="5"/>
  <c r="H80" i="5"/>
  <c r="I80" i="5"/>
  <c r="J80" i="5"/>
  <c r="K80" i="5"/>
  <c r="B81" i="5"/>
  <c r="C81" i="5"/>
  <c r="D81" i="5"/>
  <c r="E81" i="5"/>
  <c r="F81" i="5"/>
  <c r="G81" i="5"/>
  <c r="H81" i="5"/>
  <c r="I81" i="5"/>
  <c r="J81" i="5"/>
  <c r="K81" i="5"/>
  <c r="B82" i="5"/>
  <c r="C82" i="5"/>
  <c r="D82" i="5"/>
  <c r="E82" i="5"/>
  <c r="F82" i="5"/>
  <c r="G82" i="5"/>
  <c r="H82" i="5"/>
  <c r="I82" i="5"/>
  <c r="J82" i="5"/>
  <c r="K82" i="5"/>
  <c r="B83" i="5"/>
  <c r="C83" i="5"/>
  <c r="D83" i="5"/>
  <c r="E83" i="5"/>
  <c r="F83" i="5"/>
  <c r="G83" i="5"/>
  <c r="H83" i="5"/>
  <c r="I83" i="5"/>
  <c r="J83" i="5"/>
  <c r="K83" i="5"/>
  <c r="B84" i="5"/>
  <c r="C84" i="5"/>
  <c r="D84" i="5"/>
  <c r="E84" i="5"/>
  <c r="F84" i="5"/>
  <c r="G84" i="5"/>
  <c r="H84" i="5"/>
  <c r="I84" i="5"/>
  <c r="J84" i="5"/>
  <c r="K84" i="5"/>
  <c r="B85" i="5"/>
  <c r="C85" i="5"/>
  <c r="D85" i="5"/>
  <c r="E85" i="5"/>
  <c r="F85" i="5"/>
  <c r="G85" i="5"/>
  <c r="H85" i="5"/>
  <c r="I85" i="5"/>
  <c r="J85" i="5"/>
  <c r="K85" i="5"/>
  <c r="B86" i="5"/>
  <c r="C86" i="5"/>
  <c r="D86" i="5"/>
  <c r="E86" i="5"/>
  <c r="F86" i="5"/>
  <c r="G86" i="5"/>
  <c r="H86" i="5"/>
  <c r="I86" i="5"/>
  <c r="J86" i="5"/>
  <c r="K86" i="5"/>
  <c r="B87" i="5"/>
  <c r="C87" i="5"/>
  <c r="D87" i="5"/>
  <c r="E87" i="5"/>
  <c r="F87" i="5"/>
  <c r="G87" i="5"/>
  <c r="H87" i="5"/>
  <c r="I87" i="5"/>
  <c r="J87" i="5"/>
  <c r="K87" i="5"/>
  <c r="B88" i="5"/>
  <c r="C88" i="5"/>
  <c r="D88" i="5"/>
  <c r="E88" i="5"/>
  <c r="F88" i="5"/>
  <c r="G88" i="5"/>
  <c r="H88" i="5"/>
  <c r="I88" i="5"/>
  <c r="J88" i="5"/>
  <c r="K88" i="5"/>
  <c r="B89" i="5"/>
  <c r="C89" i="5"/>
  <c r="D89" i="5"/>
  <c r="E89" i="5"/>
  <c r="F89" i="5"/>
  <c r="G89" i="5"/>
  <c r="H89" i="5"/>
  <c r="I89" i="5"/>
  <c r="J89" i="5"/>
  <c r="K89" i="5"/>
  <c r="B90" i="5"/>
  <c r="C90" i="5"/>
  <c r="D90" i="5"/>
  <c r="E90" i="5"/>
  <c r="F90" i="5"/>
  <c r="G90" i="5"/>
  <c r="H90" i="5"/>
  <c r="I90" i="5"/>
  <c r="J90" i="5"/>
  <c r="K90" i="5"/>
  <c r="B91" i="5"/>
  <c r="C91" i="5"/>
  <c r="D91" i="5"/>
  <c r="E91" i="5"/>
  <c r="F91" i="5"/>
  <c r="G91" i="5"/>
  <c r="H91" i="5"/>
  <c r="I91" i="5"/>
  <c r="J91" i="5"/>
  <c r="K91" i="5"/>
  <c r="B92" i="5"/>
  <c r="C92" i="5"/>
  <c r="D92" i="5"/>
  <c r="E92" i="5"/>
  <c r="F92" i="5"/>
  <c r="G92" i="5"/>
  <c r="H92" i="5"/>
  <c r="I92" i="5"/>
  <c r="J92" i="5"/>
  <c r="K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K94" i="5"/>
  <c r="B95" i="5"/>
  <c r="C95" i="5"/>
  <c r="D95" i="5"/>
  <c r="E95" i="5"/>
  <c r="F95" i="5"/>
  <c r="G95" i="5"/>
  <c r="H95" i="5"/>
  <c r="I95" i="5"/>
  <c r="J95" i="5"/>
  <c r="K95" i="5"/>
  <c r="B96" i="5"/>
  <c r="C96" i="5"/>
  <c r="D96" i="5"/>
  <c r="E96" i="5"/>
  <c r="F96" i="5"/>
  <c r="G96" i="5"/>
  <c r="H96" i="5"/>
  <c r="I96" i="5"/>
  <c r="J96" i="5"/>
  <c r="K96" i="5"/>
  <c r="B97" i="5"/>
  <c r="C97" i="5"/>
  <c r="D97" i="5"/>
  <c r="E97" i="5"/>
  <c r="F97" i="5"/>
  <c r="G97" i="5"/>
  <c r="H97" i="5"/>
  <c r="I97" i="5"/>
  <c r="J97" i="5"/>
  <c r="K97" i="5"/>
  <c r="B98" i="5"/>
  <c r="C98" i="5"/>
  <c r="D98" i="5"/>
  <c r="E98" i="5"/>
  <c r="F98" i="5"/>
  <c r="G98" i="5"/>
  <c r="H98" i="5"/>
  <c r="I98" i="5"/>
  <c r="J98" i="5"/>
  <c r="K98" i="5"/>
  <c r="B99" i="5"/>
  <c r="C99" i="5"/>
  <c r="D99" i="5"/>
  <c r="E99" i="5"/>
  <c r="F99" i="5"/>
  <c r="G99" i="5"/>
  <c r="H99" i="5"/>
  <c r="I99" i="5"/>
  <c r="J99" i="5"/>
  <c r="K99" i="5"/>
  <c r="B100" i="5"/>
  <c r="C100" i="5"/>
  <c r="D100" i="5"/>
  <c r="E100" i="5"/>
  <c r="F100" i="5"/>
  <c r="G100" i="5"/>
  <c r="H100" i="5"/>
  <c r="I100" i="5"/>
  <c r="J100" i="5"/>
  <c r="K100" i="5"/>
  <c r="B101" i="5"/>
  <c r="C101" i="5"/>
  <c r="D101" i="5"/>
  <c r="E101" i="5"/>
  <c r="F101" i="5"/>
  <c r="G101" i="5"/>
  <c r="H101" i="5"/>
  <c r="I101" i="5"/>
  <c r="J101" i="5"/>
  <c r="K101" i="5"/>
  <c r="B102" i="5"/>
  <c r="C102" i="5"/>
  <c r="D102" i="5"/>
  <c r="E102" i="5"/>
  <c r="F102" i="5"/>
  <c r="G102" i="5"/>
  <c r="H102" i="5"/>
  <c r="I102" i="5"/>
  <c r="J102" i="5"/>
  <c r="K102" i="5"/>
  <c r="B103" i="5"/>
  <c r="C103" i="5"/>
  <c r="D103" i="5"/>
  <c r="E103" i="5"/>
  <c r="F103" i="5"/>
  <c r="G103" i="5"/>
  <c r="H103" i="5"/>
  <c r="I103" i="5"/>
  <c r="J103" i="5"/>
  <c r="K103" i="5"/>
  <c r="B104" i="5"/>
  <c r="C104" i="5"/>
  <c r="D104" i="5"/>
  <c r="E104" i="5"/>
  <c r="F104" i="5"/>
  <c r="G104" i="5"/>
  <c r="H104" i="5"/>
  <c r="I104" i="5"/>
  <c r="J104" i="5"/>
  <c r="K104" i="5"/>
  <c r="B105" i="5"/>
  <c r="C105" i="5"/>
  <c r="D105" i="5"/>
  <c r="E105" i="5"/>
  <c r="F105" i="5"/>
  <c r="G105" i="5"/>
  <c r="H105" i="5"/>
  <c r="I105" i="5"/>
  <c r="J105" i="5"/>
  <c r="K105" i="5"/>
  <c r="B106" i="5"/>
  <c r="C106" i="5"/>
  <c r="D106" i="5"/>
  <c r="E106" i="5"/>
  <c r="F106" i="5"/>
  <c r="G106" i="5"/>
  <c r="H106" i="5"/>
  <c r="I106" i="5"/>
  <c r="J106" i="5"/>
  <c r="K106" i="5"/>
  <c r="B107" i="5"/>
  <c r="C107" i="5"/>
  <c r="D107" i="5"/>
  <c r="E107" i="5"/>
  <c r="F107" i="5"/>
  <c r="G107" i="5"/>
  <c r="H107" i="5"/>
  <c r="I107" i="5"/>
  <c r="J107" i="5"/>
  <c r="K107" i="5"/>
  <c r="B108" i="5"/>
  <c r="C108" i="5"/>
  <c r="D108" i="5"/>
  <c r="E108" i="5"/>
  <c r="F108" i="5"/>
  <c r="G108" i="5"/>
  <c r="H108" i="5"/>
  <c r="I108" i="5"/>
  <c r="J108" i="5"/>
  <c r="K108" i="5"/>
  <c r="B109" i="5"/>
  <c r="C109" i="5"/>
  <c r="D109" i="5"/>
  <c r="E109" i="5"/>
  <c r="F109" i="5"/>
  <c r="G109" i="5"/>
  <c r="H109" i="5"/>
  <c r="I109" i="5"/>
  <c r="J109" i="5"/>
  <c r="K109" i="5"/>
  <c r="B110" i="5"/>
  <c r="C110" i="5"/>
  <c r="D110" i="5"/>
  <c r="E110" i="5"/>
  <c r="F110" i="5"/>
  <c r="G110" i="5"/>
  <c r="H110" i="5"/>
  <c r="I110" i="5"/>
  <c r="J110" i="5"/>
  <c r="K110" i="5"/>
  <c r="B111" i="5"/>
  <c r="C111" i="5"/>
  <c r="D111" i="5"/>
  <c r="E111" i="5"/>
  <c r="F111" i="5"/>
  <c r="G111" i="5"/>
  <c r="H111" i="5"/>
  <c r="I111" i="5"/>
  <c r="J111" i="5"/>
  <c r="K111" i="5"/>
  <c r="B112" i="5"/>
  <c r="C112" i="5"/>
  <c r="D112" i="5"/>
  <c r="E112" i="5"/>
  <c r="F112" i="5"/>
  <c r="G112" i="5"/>
  <c r="H112" i="5"/>
  <c r="I112" i="5"/>
  <c r="J112" i="5"/>
  <c r="K112" i="5"/>
  <c r="B113" i="5"/>
  <c r="C113" i="5"/>
  <c r="D113" i="5"/>
  <c r="E113" i="5"/>
  <c r="F113" i="5"/>
  <c r="G113" i="5"/>
  <c r="H113" i="5"/>
  <c r="I113" i="5"/>
  <c r="J113" i="5"/>
  <c r="K113" i="5"/>
  <c r="B114" i="5"/>
  <c r="C114" i="5"/>
  <c r="D114" i="5"/>
  <c r="E114" i="5"/>
  <c r="F114" i="5"/>
  <c r="G114" i="5"/>
  <c r="H114" i="5"/>
  <c r="I114" i="5"/>
  <c r="J114" i="5"/>
  <c r="K114" i="5"/>
  <c r="B115" i="5"/>
  <c r="C115" i="5"/>
  <c r="D115" i="5"/>
  <c r="E115" i="5"/>
  <c r="F115" i="5"/>
  <c r="G115" i="5"/>
  <c r="H115" i="5"/>
  <c r="I115" i="5"/>
  <c r="J115" i="5"/>
  <c r="K115" i="5"/>
  <c r="B116" i="5"/>
  <c r="C116" i="5"/>
  <c r="D116" i="5"/>
  <c r="E116" i="5"/>
  <c r="F116" i="5"/>
  <c r="G116" i="5"/>
  <c r="H116" i="5"/>
  <c r="I116" i="5"/>
  <c r="J116" i="5"/>
  <c r="K116" i="5"/>
  <c r="B117" i="5"/>
  <c r="C117" i="5"/>
  <c r="D117" i="5"/>
  <c r="E117" i="5"/>
  <c r="F117" i="5"/>
  <c r="G117" i="5"/>
  <c r="H117" i="5"/>
  <c r="I117" i="5"/>
  <c r="J117" i="5"/>
  <c r="K117" i="5"/>
  <c r="B118" i="5"/>
  <c r="C118" i="5"/>
  <c r="D118" i="5"/>
  <c r="E118" i="5"/>
  <c r="F118" i="5"/>
  <c r="G118" i="5"/>
  <c r="H118" i="5"/>
  <c r="I118" i="5"/>
  <c r="J118" i="5"/>
  <c r="K118" i="5"/>
  <c r="B119" i="5"/>
  <c r="C119" i="5"/>
  <c r="D119" i="5"/>
  <c r="E119" i="5"/>
  <c r="F119" i="5"/>
  <c r="G119" i="5"/>
  <c r="H119" i="5"/>
  <c r="I119" i="5"/>
  <c r="J119" i="5"/>
  <c r="K119" i="5"/>
  <c r="B120" i="5"/>
  <c r="C120" i="5"/>
  <c r="D120" i="5"/>
  <c r="E120" i="5"/>
  <c r="F120" i="5"/>
  <c r="G120" i="5"/>
  <c r="H120" i="5"/>
  <c r="I120" i="5"/>
  <c r="J120" i="5"/>
  <c r="K120" i="5"/>
  <c r="B121" i="5"/>
  <c r="C121" i="5"/>
  <c r="D121" i="5"/>
  <c r="E121" i="5"/>
  <c r="F121" i="5"/>
  <c r="G121" i="5"/>
  <c r="H121" i="5"/>
  <c r="I121" i="5"/>
  <c r="J121" i="5"/>
  <c r="K121" i="5"/>
  <c r="B122" i="5"/>
  <c r="C122" i="5"/>
  <c r="D122" i="5"/>
  <c r="E122" i="5"/>
  <c r="F122" i="5"/>
  <c r="G122" i="5"/>
  <c r="H122" i="5"/>
  <c r="I122" i="5"/>
  <c r="J122" i="5"/>
  <c r="K122" i="5"/>
  <c r="B123" i="5"/>
  <c r="C123" i="5"/>
  <c r="D123" i="5"/>
  <c r="E123" i="5"/>
  <c r="F123" i="5"/>
  <c r="G123" i="5"/>
  <c r="H123" i="5"/>
  <c r="I123" i="5"/>
  <c r="J123" i="5"/>
  <c r="K123" i="5"/>
  <c r="B124" i="5"/>
  <c r="C124" i="5"/>
  <c r="D124" i="5"/>
  <c r="E124" i="5"/>
  <c r="F124" i="5"/>
  <c r="G124" i="5"/>
  <c r="H124" i="5"/>
  <c r="I124" i="5"/>
  <c r="J124" i="5"/>
  <c r="K124" i="5"/>
  <c r="B125" i="5"/>
  <c r="C125" i="5"/>
  <c r="D125" i="5"/>
  <c r="E125" i="5"/>
  <c r="F125" i="5"/>
  <c r="G125" i="5"/>
  <c r="H125" i="5"/>
  <c r="I125" i="5"/>
  <c r="J125" i="5"/>
  <c r="K125" i="5"/>
  <c r="B126" i="5"/>
  <c r="C126" i="5"/>
  <c r="D126" i="5"/>
  <c r="E126" i="5"/>
  <c r="F126" i="5"/>
  <c r="G126" i="5"/>
  <c r="H126" i="5"/>
  <c r="I126" i="5"/>
  <c r="J126" i="5"/>
  <c r="K126" i="5"/>
  <c r="B127" i="5"/>
  <c r="C127" i="5"/>
  <c r="D127" i="5"/>
  <c r="E127" i="5"/>
  <c r="F127" i="5"/>
  <c r="G127" i="5"/>
  <c r="H127" i="5"/>
  <c r="I127" i="5"/>
  <c r="J127" i="5"/>
  <c r="K127" i="5"/>
  <c r="B128" i="5"/>
  <c r="C128" i="5"/>
  <c r="D128" i="5"/>
  <c r="E128" i="5"/>
  <c r="F128" i="5"/>
  <c r="G128" i="5"/>
  <c r="H128" i="5"/>
  <c r="I128" i="5"/>
  <c r="J128" i="5"/>
  <c r="K128" i="5"/>
  <c r="B129" i="5"/>
  <c r="C129" i="5"/>
  <c r="D129" i="5"/>
  <c r="E129" i="5"/>
  <c r="F129" i="5"/>
  <c r="G129" i="5"/>
  <c r="H129" i="5"/>
  <c r="I129" i="5"/>
  <c r="J129" i="5"/>
  <c r="K129" i="5"/>
  <c r="B130" i="5"/>
  <c r="C130" i="5"/>
  <c r="D130" i="5"/>
  <c r="E130" i="5"/>
  <c r="F130" i="5"/>
  <c r="G130" i="5"/>
  <c r="H130" i="5"/>
  <c r="I130" i="5"/>
  <c r="J130" i="5"/>
  <c r="K130" i="5"/>
  <c r="B131" i="5"/>
  <c r="C131" i="5"/>
  <c r="D131" i="5"/>
  <c r="E131" i="5"/>
  <c r="F131" i="5"/>
  <c r="G131" i="5"/>
  <c r="H131" i="5"/>
  <c r="I131" i="5"/>
  <c r="J131" i="5"/>
  <c r="K131" i="5"/>
  <c r="B132" i="5"/>
  <c r="C132" i="5"/>
  <c r="D132" i="5"/>
  <c r="E132" i="5"/>
  <c r="F132" i="5"/>
  <c r="G132" i="5"/>
  <c r="H132" i="5"/>
  <c r="I132" i="5"/>
  <c r="J132" i="5"/>
  <c r="K132" i="5"/>
  <c r="B133" i="5"/>
  <c r="C133" i="5"/>
  <c r="D133" i="5"/>
  <c r="E133" i="5"/>
  <c r="F133" i="5"/>
  <c r="G133" i="5"/>
  <c r="H133" i="5"/>
  <c r="I133" i="5"/>
  <c r="J133" i="5"/>
  <c r="K133" i="5"/>
  <c r="B134" i="5"/>
  <c r="C134" i="5"/>
  <c r="D134" i="5"/>
  <c r="E134" i="5"/>
  <c r="F134" i="5"/>
  <c r="G134" i="5"/>
  <c r="H134" i="5"/>
  <c r="I134" i="5"/>
  <c r="J134" i="5"/>
  <c r="K134" i="5"/>
  <c r="B135" i="5"/>
  <c r="C135" i="5"/>
  <c r="D135" i="5"/>
  <c r="E135" i="5"/>
  <c r="F135" i="5"/>
  <c r="G135" i="5"/>
  <c r="H135" i="5"/>
  <c r="I135" i="5"/>
  <c r="J135" i="5"/>
  <c r="K135" i="5"/>
  <c r="B136" i="5"/>
  <c r="C136" i="5"/>
  <c r="D136" i="5"/>
  <c r="E136" i="5"/>
  <c r="F136" i="5"/>
  <c r="G136" i="5"/>
  <c r="H136" i="5"/>
  <c r="I136" i="5"/>
  <c r="J136" i="5"/>
  <c r="K136" i="5"/>
  <c r="B137" i="5"/>
  <c r="C137" i="5"/>
  <c r="D137" i="5"/>
  <c r="E137" i="5"/>
  <c r="F137" i="5"/>
  <c r="G137" i="5"/>
  <c r="H137" i="5"/>
  <c r="I137" i="5"/>
  <c r="J137" i="5"/>
  <c r="K137" i="5"/>
  <c r="B138" i="5"/>
  <c r="C138" i="5"/>
  <c r="D138" i="5"/>
  <c r="E138" i="5"/>
  <c r="F138" i="5"/>
  <c r="G138" i="5"/>
  <c r="H138" i="5"/>
  <c r="I138" i="5"/>
  <c r="J138" i="5"/>
  <c r="K138" i="5"/>
  <c r="B139" i="5"/>
  <c r="C139" i="5"/>
  <c r="D139" i="5"/>
  <c r="E139" i="5"/>
  <c r="F139" i="5"/>
  <c r="G139" i="5"/>
  <c r="H139" i="5"/>
  <c r="I139" i="5"/>
  <c r="J139" i="5"/>
  <c r="K139" i="5"/>
  <c r="B140" i="5"/>
  <c r="C140" i="5"/>
  <c r="D140" i="5"/>
  <c r="E140" i="5"/>
  <c r="F140" i="5"/>
  <c r="G140" i="5"/>
  <c r="H140" i="5"/>
  <c r="I140" i="5"/>
  <c r="J140" i="5"/>
  <c r="K140" i="5"/>
  <c r="B141" i="5"/>
  <c r="C141" i="5"/>
  <c r="D141" i="5"/>
  <c r="E141" i="5"/>
  <c r="F141" i="5"/>
  <c r="G141" i="5"/>
  <c r="H141" i="5"/>
  <c r="I141" i="5"/>
  <c r="J141" i="5"/>
  <c r="K141" i="5"/>
  <c r="B142" i="5"/>
  <c r="C142" i="5"/>
  <c r="D142" i="5"/>
  <c r="E142" i="5"/>
  <c r="F142" i="5"/>
  <c r="G142" i="5"/>
  <c r="H142" i="5"/>
  <c r="I142" i="5"/>
  <c r="J142" i="5"/>
  <c r="K142" i="5"/>
  <c r="B143" i="5"/>
  <c r="C143" i="5"/>
  <c r="D143" i="5"/>
  <c r="E143" i="5"/>
  <c r="F143" i="5"/>
  <c r="G143" i="5"/>
  <c r="H143" i="5"/>
  <c r="I143" i="5"/>
  <c r="J143" i="5"/>
  <c r="K143" i="5"/>
  <c r="B144" i="5"/>
  <c r="C144" i="5"/>
  <c r="D144" i="5"/>
  <c r="E144" i="5"/>
  <c r="F144" i="5"/>
  <c r="G144" i="5"/>
  <c r="H144" i="5"/>
  <c r="I144" i="5"/>
  <c r="J144" i="5"/>
  <c r="K144" i="5"/>
  <c r="B145" i="5"/>
  <c r="C145" i="5"/>
  <c r="D145" i="5"/>
  <c r="E145" i="5"/>
  <c r="F145" i="5"/>
  <c r="G145" i="5"/>
  <c r="H145" i="5"/>
  <c r="I145" i="5"/>
  <c r="J145" i="5"/>
  <c r="K145" i="5"/>
  <c r="B146" i="5"/>
  <c r="C146" i="5"/>
  <c r="D146" i="5"/>
  <c r="E146" i="5"/>
  <c r="F146" i="5"/>
  <c r="G146" i="5"/>
  <c r="H146" i="5"/>
  <c r="I146" i="5"/>
  <c r="J146" i="5"/>
  <c r="K146" i="5"/>
  <c r="B147" i="5"/>
  <c r="C147" i="5"/>
  <c r="D147" i="5"/>
  <c r="E147" i="5"/>
  <c r="F147" i="5"/>
  <c r="G147" i="5"/>
  <c r="H147" i="5"/>
  <c r="I147" i="5"/>
  <c r="J147" i="5"/>
  <c r="K147" i="5"/>
  <c r="B148" i="5"/>
  <c r="C148" i="5"/>
  <c r="D148" i="5"/>
  <c r="E148" i="5"/>
  <c r="F148" i="5"/>
  <c r="G148" i="5"/>
  <c r="H148" i="5"/>
  <c r="I148" i="5"/>
  <c r="J148" i="5"/>
  <c r="K148" i="5"/>
  <c r="B149" i="5"/>
  <c r="C149" i="5"/>
  <c r="D149" i="5"/>
  <c r="E149" i="5"/>
  <c r="F149" i="5"/>
  <c r="G149" i="5"/>
  <c r="H149" i="5"/>
  <c r="I149" i="5"/>
  <c r="J149" i="5"/>
  <c r="K149" i="5"/>
  <c r="B150" i="5"/>
  <c r="C150" i="5"/>
  <c r="D150" i="5"/>
  <c r="E150" i="5"/>
  <c r="F150" i="5"/>
  <c r="G150" i="5"/>
  <c r="H150" i="5"/>
  <c r="I150" i="5"/>
  <c r="J150" i="5"/>
  <c r="K150" i="5"/>
  <c r="B151" i="5"/>
  <c r="C151" i="5"/>
  <c r="D151" i="5"/>
  <c r="E151" i="5"/>
  <c r="F151" i="5"/>
  <c r="G151" i="5"/>
  <c r="H151" i="5"/>
  <c r="I151" i="5"/>
  <c r="J151" i="5"/>
  <c r="K151" i="5"/>
  <c r="B152" i="5"/>
  <c r="C152" i="5"/>
  <c r="D152" i="5"/>
  <c r="E152" i="5"/>
  <c r="F152" i="5"/>
  <c r="G152" i="5"/>
  <c r="H152" i="5"/>
  <c r="I152" i="5"/>
  <c r="J152" i="5"/>
  <c r="K152" i="5"/>
  <c r="B153" i="5"/>
  <c r="C153" i="5"/>
  <c r="D153" i="5"/>
  <c r="E153" i="5"/>
  <c r="F153" i="5"/>
  <c r="G153" i="5"/>
  <c r="H153" i="5"/>
  <c r="I153" i="5"/>
  <c r="J153" i="5"/>
  <c r="K153" i="5"/>
  <c r="B154" i="5"/>
  <c r="C154" i="5"/>
  <c r="D154" i="5"/>
  <c r="E154" i="5"/>
  <c r="F154" i="5"/>
  <c r="G154" i="5"/>
  <c r="H154" i="5"/>
  <c r="I154" i="5"/>
  <c r="J154" i="5"/>
  <c r="K154" i="5"/>
  <c r="B155" i="5"/>
  <c r="C155" i="5"/>
  <c r="D155" i="5"/>
  <c r="E155" i="5"/>
  <c r="F155" i="5"/>
  <c r="G155" i="5"/>
  <c r="H155" i="5"/>
  <c r="I155" i="5"/>
  <c r="J155" i="5"/>
  <c r="K155" i="5"/>
  <c r="B156" i="5"/>
  <c r="C156" i="5"/>
  <c r="D156" i="5"/>
  <c r="E156" i="5"/>
  <c r="F156" i="5"/>
  <c r="G156" i="5"/>
  <c r="H156" i="5"/>
  <c r="I156" i="5"/>
  <c r="J156" i="5"/>
  <c r="K156" i="5"/>
  <c r="B157" i="5"/>
  <c r="C157" i="5"/>
  <c r="D157" i="5"/>
  <c r="E157" i="5"/>
  <c r="F157" i="5"/>
  <c r="G157" i="5"/>
  <c r="H157" i="5"/>
  <c r="I157" i="5"/>
  <c r="J157" i="5"/>
  <c r="K157" i="5"/>
  <c r="B158" i="5"/>
  <c r="C158" i="5"/>
  <c r="D158" i="5"/>
  <c r="E158" i="5"/>
  <c r="F158" i="5"/>
  <c r="G158" i="5"/>
  <c r="H158" i="5"/>
  <c r="I158" i="5"/>
  <c r="J158" i="5"/>
  <c r="K158" i="5"/>
  <c r="B159" i="5"/>
  <c r="C159" i="5"/>
  <c r="D159" i="5"/>
  <c r="E159" i="5"/>
  <c r="F159" i="5"/>
  <c r="G159" i="5"/>
  <c r="H159" i="5"/>
  <c r="I159" i="5"/>
  <c r="J159" i="5"/>
  <c r="K159" i="5"/>
  <c r="B160" i="5"/>
  <c r="C160" i="5"/>
  <c r="D160" i="5"/>
  <c r="E160" i="5"/>
  <c r="F160" i="5"/>
  <c r="G160" i="5"/>
  <c r="H160" i="5"/>
  <c r="I160" i="5"/>
  <c r="J160" i="5"/>
  <c r="K160" i="5"/>
  <c r="B161" i="5"/>
  <c r="C161" i="5"/>
  <c r="D161" i="5"/>
  <c r="E161" i="5"/>
  <c r="F161" i="5"/>
  <c r="G161" i="5"/>
  <c r="H161" i="5"/>
  <c r="I161" i="5"/>
  <c r="J161" i="5"/>
  <c r="K161" i="5"/>
  <c r="B162" i="5"/>
  <c r="C162" i="5"/>
  <c r="D162" i="5"/>
  <c r="E162" i="5"/>
  <c r="F162" i="5"/>
  <c r="G162" i="5"/>
  <c r="H162" i="5"/>
  <c r="I162" i="5"/>
  <c r="J162" i="5"/>
  <c r="K162" i="5"/>
  <c r="B163" i="5"/>
  <c r="C163" i="5"/>
  <c r="D163" i="5"/>
  <c r="E163" i="5"/>
  <c r="F163" i="5"/>
  <c r="G163" i="5"/>
  <c r="H163" i="5"/>
  <c r="I163" i="5"/>
  <c r="J163" i="5"/>
  <c r="K163" i="5"/>
  <c r="B164" i="5"/>
  <c r="C164" i="5"/>
  <c r="D164" i="5"/>
  <c r="E164" i="5"/>
  <c r="F164" i="5"/>
  <c r="G164" i="5"/>
  <c r="H164" i="5"/>
  <c r="I164" i="5"/>
  <c r="J164" i="5"/>
  <c r="K164" i="5"/>
  <c r="B165" i="5"/>
  <c r="C165" i="5"/>
  <c r="D165" i="5"/>
  <c r="E165" i="5"/>
  <c r="F165" i="5"/>
  <c r="G165" i="5"/>
  <c r="H165" i="5"/>
  <c r="I165" i="5"/>
  <c r="J165" i="5"/>
  <c r="K165" i="5"/>
  <c r="B166" i="5"/>
  <c r="C166" i="5"/>
  <c r="D166" i="5"/>
  <c r="E166" i="5"/>
  <c r="F166" i="5"/>
  <c r="G166" i="5"/>
  <c r="H166" i="5"/>
  <c r="I166" i="5"/>
  <c r="J166" i="5"/>
  <c r="K166" i="5"/>
  <c r="B167" i="5"/>
  <c r="C167" i="5"/>
  <c r="D167" i="5"/>
  <c r="E167" i="5"/>
  <c r="F167" i="5"/>
  <c r="G167" i="5"/>
  <c r="H167" i="5"/>
  <c r="I167" i="5"/>
  <c r="J167" i="5"/>
  <c r="K167" i="5"/>
  <c r="B168" i="5"/>
  <c r="C168" i="5"/>
  <c r="D168" i="5"/>
  <c r="E168" i="5"/>
  <c r="F168" i="5"/>
  <c r="G168" i="5"/>
  <c r="H168" i="5"/>
  <c r="I168" i="5"/>
  <c r="J168" i="5"/>
  <c r="K168" i="5"/>
  <c r="B169" i="5"/>
  <c r="C169" i="5"/>
  <c r="D169" i="5"/>
  <c r="E169" i="5"/>
  <c r="F169" i="5"/>
  <c r="G169" i="5"/>
  <c r="H169" i="5"/>
  <c r="I169" i="5"/>
  <c r="J169" i="5"/>
  <c r="K169" i="5"/>
  <c r="B170" i="5"/>
  <c r="C170" i="5"/>
  <c r="D170" i="5"/>
  <c r="E170" i="5"/>
  <c r="F170" i="5"/>
  <c r="G170" i="5"/>
  <c r="H170" i="5"/>
  <c r="I170" i="5"/>
  <c r="J170" i="5"/>
  <c r="K170" i="5"/>
  <c r="B171" i="5"/>
  <c r="C171" i="5"/>
  <c r="D171" i="5"/>
  <c r="E171" i="5"/>
  <c r="F171" i="5"/>
  <c r="G171" i="5"/>
  <c r="H171" i="5"/>
  <c r="I171" i="5"/>
  <c r="J171" i="5"/>
  <c r="K171" i="5"/>
  <c r="B172" i="5"/>
  <c r="C172" i="5"/>
  <c r="D172" i="5"/>
  <c r="E172" i="5"/>
  <c r="F172" i="5"/>
  <c r="G172" i="5"/>
  <c r="H172" i="5"/>
  <c r="I172" i="5"/>
  <c r="J172" i="5"/>
  <c r="K172" i="5"/>
  <c r="B173" i="5"/>
  <c r="C173" i="5"/>
  <c r="D173" i="5"/>
  <c r="E173" i="5"/>
  <c r="F173" i="5"/>
  <c r="G173" i="5"/>
  <c r="H173" i="5"/>
  <c r="I173" i="5"/>
  <c r="J173" i="5"/>
  <c r="K173" i="5"/>
  <c r="B174" i="5"/>
  <c r="C174" i="5"/>
  <c r="D174" i="5"/>
  <c r="E174" i="5"/>
  <c r="F174" i="5"/>
  <c r="G174" i="5"/>
  <c r="H174" i="5"/>
  <c r="I174" i="5"/>
  <c r="J174" i="5"/>
  <c r="K174" i="5"/>
  <c r="B175" i="5"/>
  <c r="C175" i="5"/>
  <c r="D175" i="5"/>
  <c r="E175" i="5"/>
  <c r="F175" i="5"/>
  <c r="G175" i="5"/>
  <c r="H175" i="5"/>
  <c r="I175" i="5"/>
  <c r="J175" i="5"/>
  <c r="K175" i="5"/>
  <c r="B176" i="5"/>
  <c r="C176" i="5"/>
  <c r="D176" i="5"/>
  <c r="E176" i="5"/>
  <c r="F176" i="5"/>
  <c r="G176" i="5"/>
  <c r="H176" i="5"/>
  <c r="I176" i="5"/>
  <c r="J176" i="5"/>
  <c r="K176" i="5"/>
  <c r="B177" i="5"/>
  <c r="C177" i="5"/>
  <c r="D177" i="5"/>
  <c r="E177" i="5"/>
  <c r="F177" i="5"/>
  <c r="G177" i="5"/>
  <c r="H177" i="5"/>
  <c r="I177" i="5"/>
  <c r="J177" i="5"/>
  <c r="K177" i="5"/>
  <c r="B178" i="5"/>
  <c r="C178" i="5"/>
  <c r="D178" i="5"/>
  <c r="E178" i="5"/>
  <c r="F178" i="5"/>
  <c r="G178" i="5"/>
  <c r="H178" i="5"/>
  <c r="I178" i="5"/>
  <c r="J178" i="5"/>
  <c r="K178" i="5"/>
  <c r="B179" i="5"/>
  <c r="C179" i="5"/>
  <c r="D179" i="5"/>
  <c r="E179" i="5"/>
  <c r="F179" i="5"/>
  <c r="G179" i="5"/>
  <c r="H179" i="5"/>
  <c r="I179" i="5"/>
  <c r="J179" i="5"/>
  <c r="K179" i="5"/>
  <c r="B180" i="5"/>
  <c r="C180" i="5"/>
  <c r="D180" i="5"/>
  <c r="E180" i="5"/>
  <c r="F180" i="5"/>
  <c r="G180" i="5"/>
  <c r="H180" i="5"/>
  <c r="I180" i="5"/>
  <c r="J180" i="5"/>
  <c r="K180" i="5"/>
  <c r="B181" i="5"/>
  <c r="C181" i="5"/>
  <c r="D181" i="5"/>
  <c r="E181" i="5"/>
  <c r="F181" i="5"/>
  <c r="G181" i="5"/>
  <c r="H181" i="5"/>
  <c r="I181" i="5"/>
  <c r="J181" i="5"/>
  <c r="K181" i="5"/>
  <c r="B182" i="5"/>
  <c r="C182" i="5"/>
  <c r="D182" i="5"/>
  <c r="E182" i="5"/>
  <c r="F182" i="5"/>
  <c r="G182" i="5"/>
  <c r="H182" i="5"/>
  <c r="I182" i="5"/>
  <c r="J182" i="5"/>
  <c r="K182" i="5"/>
  <c r="B183" i="5"/>
  <c r="C183" i="5"/>
  <c r="D183" i="5"/>
  <c r="E183" i="5"/>
  <c r="F183" i="5"/>
  <c r="G183" i="5"/>
  <c r="H183" i="5"/>
  <c r="I183" i="5"/>
  <c r="J183" i="5"/>
  <c r="K183" i="5"/>
  <c r="B184" i="5"/>
  <c r="C184" i="5"/>
  <c r="D184" i="5"/>
  <c r="E184" i="5"/>
  <c r="F184" i="5"/>
  <c r="G184" i="5"/>
  <c r="H184" i="5"/>
  <c r="I184" i="5"/>
  <c r="J184" i="5"/>
  <c r="K184" i="5"/>
  <c r="B185" i="5"/>
  <c r="C185" i="5"/>
  <c r="D185" i="5"/>
  <c r="E185" i="5"/>
  <c r="F185" i="5"/>
  <c r="G185" i="5"/>
  <c r="H185" i="5"/>
  <c r="I185" i="5"/>
  <c r="J185" i="5"/>
  <c r="K185" i="5"/>
  <c r="B186" i="5"/>
  <c r="C186" i="5"/>
  <c r="D186" i="5"/>
  <c r="E186" i="5"/>
  <c r="F186" i="5"/>
  <c r="G186" i="5"/>
  <c r="H186" i="5"/>
  <c r="I186" i="5"/>
  <c r="J186" i="5"/>
  <c r="K186" i="5"/>
  <c r="B187" i="5"/>
  <c r="C187" i="5"/>
  <c r="D187" i="5"/>
  <c r="E187" i="5"/>
  <c r="F187" i="5"/>
  <c r="G187" i="5"/>
  <c r="H187" i="5"/>
  <c r="I187" i="5"/>
  <c r="J187" i="5"/>
  <c r="K187" i="5"/>
  <c r="B188" i="5"/>
  <c r="C188" i="5"/>
  <c r="D188" i="5"/>
  <c r="E188" i="5"/>
  <c r="F188" i="5"/>
  <c r="G188" i="5"/>
  <c r="H188" i="5"/>
  <c r="I188" i="5"/>
  <c r="J188" i="5"/>
  <c r="K188" i="5"/>
  <c r="B189" i="5"/>
  <c r="C189" i="5"/>
  <c r="D189" i="5"/>
  <c r="E189" i="5"/>
  <c r="F189" i="5"/>
  <c r="G189" i="5"/>
  <c r="H189" i="5"/>
  <c r="I189" i="5"/>
  <c r="J189" i="5"/>
  <c r="K189" i="5"/>
  <c r="B190" i="5"/>
  <c r="C190" i="5"/>
  <c r="D190" i="5"/>
  <c r="E190" i="5"/>
  <c r="F190" i="5"/>
  <c r="G190" i="5"/>
  <c r="H190" i="5"/>
  <c r="I190" i="5"/>
  <c r="J190" i="5"/>
  <c r="K190" i="5"/>
  <c r="B191" i="5"/>
  <c r="C191" i="5"/>
  <c r="D191" i="5"/>
  <c r="E191" i="5"/>
  <c r="F191" i="5"/>
  <c r="G191" i="5"/>
  <c r="H191" i="5"/>
  <c r="I191" i="5"/>
  <c r="J191" i="5"/>
  <c r="K191" i="5"/>
  <c r="B192" i="5"/>
  <c r="C192" i="5"/>
  <c r="D192" i="5"/>
  <c r="E192" i="5"/>
  <c r="F192" i="5"/>
  <c r="G192" i="5"/>
  <c r="H192" i="5"/>
  <c r="I192" i="5"/>
  <c r="J192" i="5"/>
  <c r="K192" i="5"/>
  <c r="B193" i="5"/>
  <c r="C193" i="5"/>
  <c r="D193" i="5"/>
  <c r="E193" i="5"/>
  <c r="F193" i="5"/>
  <c r="G193" i="5"/>
  <c r="H193" i="5"/>
  <c r="I193" i="5"/>
  <c r="J193" i="5"/>
  <c r="K193" i="5"/>
  <c r="B194" i="5"/>
  <c r="C194" i="5"/>
  <c r="D194" i="5"/>
  <c r="E194" i="5"/>
  <c r="F194" i="5"/>
  <c r="G194" i="5"/>
  <c r="H194" i="5"/>
  <c r="I194" i="5"/>
  <c r="J194" i="5"/>
  <c r="K194" i="5"/>
  <c r="B195" i="5"/>
  <c r="C195" i="5"/>
  <c r="D195" i="5"/>
  <c r="E195" i="5"/>
  <c r="F195" i="5"/>
  <c r="G195" i="5"/>
  <c r="H195" i="5"/>
  <c r="I195" i="5"/>
  <c r="J195" i="5"/>
  <c r="K195" i="5"/>
  <c r="B196" i="5"/>
  <c r="C196" i="5"/>
  <c r="D196" i="5"/>
  <c r="E196" i="5"/>
  <c r="F196" i="5"/>
  <c r="G196" i="5"/>
  <c r="H196" i="5"/>
  <c r="I196" i="5"/>
  <c r="J196" i="5"/>
  <c r="K196" i="5"/>
  <c r="B197" i="5"/>
  <c r="C197" i="5"/>
  <c r="D197" i="5"/>
  <c r="E197" i="5"/>
  <c r="F197" i="5"/>
  <c r="G197" i="5"/>
  <c r="H197" i="5"/>
  <c r="I197" i="5"/>
  <c r="J197" i="5"/>
  <c r="K197" i="5"/>
  <c r="B198" i="5"/>
  <c r="C198" i="5"/>
  <c r="D198" i="5"/>
  <c r="E198" i="5"/>
  <c r="F198" i="5"/>
  <c r="G198" i="5"/>
  <c r="H198" i="5"/>
  <c r="I198" i="5"/>
  <c r="J198" i="5"/>
  <c r="K198" i="5"/>
  <c r="B199" i="5"/>
  <c r="C199" i="5"/>
  <c r="D199" i="5"/>
  <c r="E199" i="5"/>
  <c r="F199" i="5"/>
  <c r="G199" i="5"/>
  <c r="H199" i="5"/>
  <c r="I199" i="5"/>
  <c r="J199" i="5"/>
  <c r="K199" i="5"/>
  <c r="B200" i="5"/>
  <c r="C200" i="5"/>
  <c r="D200" i="5"/>
  <c r="E200" i="5"/>
  <c r="F200" i="5"/>
  <c r="G200" i="5"/>
  <c r="H200" i="5"/>
  <c r="I200" i="5"/>
  <c r="J200" i="5"/>
  <c r="K200" i="5"/>
  <c r="B201" i="5"/>
  <c r="C201" i="5"/>
  <c r="D201" i="5"/>
  <c r="E201" i="5"/>
  <c r="F201" i="5"/>
  <c r="G201" i="5"/>
  <c r="H201" i="5"/>
  <c r="I201" i="5"/>
  <c r="J201" i="5"/>
  <c r="K201" i="5"/>
  <c r="B202" i="5"/>
  <c r="C202" i="5"/>
  <c r="D202" i="5"/>
  <c r="E202" i="5"/>
  <c r="F202" i="5"/>
  <c r="G202" i="5"/>
  <c r="H202" i="5"/>
  <c r="I202" i="5"/>
  <c r="J202" i="5"/>
  <c r="K202" i="5"/>
  <c r="B203" i="5"/>
  <c r="C203" i="5"/>
  <c r="D203" i="5"/>
  <c r="E203" i="5"/>
  <c r="F203" i="5"/>
  <c r="G203" i="5"/>
  <c r="H203" i="5"/>
  <c r="I203" i="5"/>
  <c r="J203" i="5"/>
  <c r="K203" i="5"/>
  <c r="B204" i="5"/>
  <c r="C204" i="5"/>
  <c r="D204" i="5"/>
  <c r="E204" i="5"/>
  <c r="F204" i="5"/>
  <c r="G204" i="5"/>
  <c r="H204" i="5"/>
  <c r="I204" i="5"/>
  <c r="J204" i="5"/>
  <c r="K204" i="5"/>
  <c r="B205" i="5"/>
  <c r="C205" i="5"/>
  <c r="D205" i="5"/>
  <c r="E205" i="5"/>
  <c r="F205" i="5"/>
  <c r="G205" i="5"/>
  <c r="H205" i="5"/>
  <c r="I205" i="5"/>
  <c r="J205" i="5"/>
  <c r="K205" i="5"/>
  <c r="B206" i="5"/>
  <c r="C206" i="5"/>
  <c r="D206" i="5"/>
  <c r="E206" i="5"/>
  <c r="F206" i="5"/>
  <c r="G206" i="5"/>
  <c r="H206" i="5"/>
  <c r="I206" i="5"/>
  <c r="J206" i="5"/>
  <c r="K206" i="5"/>
  <c r="B207" i="5"/>
  <c r="C207" i="5"/>
  <c r="D207" i="5"/>
  <c r="E207" i="5"/>
  <c r="F207" i="5"/>
  <c r="G207" i="5"/>
  <c r="H207" i="5"/>
  <c r="I207" i="5"/>
  <c r="J207" i="5"/>
  <c r="K207" i="5"/>
  <c r="B208" i="5"/>
  <c r="C208" i="5"/>
  <c r="D208" i="5"/>
  <c r="E208" i="5"/>
  <c r="F208" i="5"/>
  <c r="G208" i="5"/>
  <c r="H208" i="5"/>
  <c r="I208" i="5"/>
  <c r="J208" i="5"/>
  <c r="K208" i="5"/>
  <c r="B209" i="5"/>
  <c r="C209" i="5"/>
  <c r="D209" i="5"/>
  <c r="E209" i="5"/>
  <c r="F209" i="5"/>
  <c r="G209" i="5"/>
  <c r="H209" i="5"/>
  <c r="I209" i="5"/>
  <c r="J209" i="5"/>
  <c r="K209" i="5"/>
  <c r="B210" i="5"/>
  <c r="C210" i="5"/>
  <c r="D210" i="5"/>
  <c r="E210" i="5"/>
  <c r="F210" i="5"/>
  <c r="G210" i="5"/>
  <c r="H210" i="5"/>
  <c r="I210" i="5"/>
  <c r="J210" i="5"/>
  <c r="K210" i="5"/>
  <c r="B211" i="5"/>
  <c r="C211" i="5"/>
  <c r="D211" i="5"/>
  <c r="E211" i="5"/>
  <c r="F211" i="5"/>
  <c r="G211" i="5"/>
  <c r="H211" i="5"/>
  <c r="I211" i="5"/>
  <c r="J211" i="5"/>
  <c r="K211" i="5"/>
  <c r="B212" i="5"/>
  <c r="C212" i="5"/>
  <c r="D212" i="5"/>
  <c r="E212" i="5"/>
  <c r="F212" i="5"/>
  <c r="G212" i="5"/>
  <c r="H212" i="5"/>
  <c r="I212" i="5"/>
  <c r="J212" i="5"/>
  <c r="K212" i="5"/>
  <c r="B213" i="5"/>
  <c r="C213" i="5"/>
  <c r="D213" i="5"/>
  <c r="E213" i="5"/>
  <c r="F213" i="5"/>
  <c r="G213" i="5"/>
  <c r="H213" i="5"/>
  <c r="I213" i="5"/>
  <c r="J213" i="5"/>
  <c r="K213" i="5"/>
  <c r="B214" i="5"/>
  <c r="C214" i="5"/>
  <c r="D214" i="5"/>
  <c r="E214" i="5"/>
  <c r="F214" i="5"/>
  <c r="G214" i="5"/>
  <c r="H214" i="5"/>
  <c r="I214" i="5"/>
  <c r="J214" i="5"/>
  <c r="K214" i="5"/>
  <c r="B215" i="5"/>
  <c r="C215" i="5"/>
  <c r="D215" i="5"/>
  <c r="E215" i="5"/>
  <c r="F215" i="5"/>
  <c r="G215" i="5"/>
  <c r="H215" i="5"/>
  <c r="I215" i="5"/>
  <c r="J215" i="5"/>
  <c r="K215" i="5"/>
  <c r="B216" i="5"/>
  <c r="C216" i="5"/>
  <c r="D216" i="5"/>
  <c r="E216" i="5"/>
  <c r="F216" i="5"/>
  <c r="G216" i="5"/>
  <c r="H216" i="5"/>
  <c r="I216" i="5"/>
  <c r="J216" i="5"/>
  <c r="K216" i="5"/>
  <c r="B217" i="5"/>
  <c r="C217" i="5"/>
  <c r="D217" i="5"/>
  <c r="E217" i="5"/>
  <c r="F217" i="5"/>
  <c r="G217" i="5"/>
  <c r="H217" i="5"/>
  <c r="I217" i="5"/>
  <c r="J217" i="5"/>
  <c r="K217" i="5"/>
  <c r="B218" i="5"/>
  <c r="C218" i="5"/>
  <c r="D218" i="5"/>
  <c r="E218" i="5"/>
  <c r="F218" i="5"/>
  <c r="G218" i="5"/>
  <c r="H218" i="5"/>
  <c r="I218" i="5"/>
  <c r="J218" i="5"/>
  <c r="K218" i="5"/>
  <c r="B219" i="5"/>
  <c r="C219" i="5"/>
  <c r="D219" i="5"/>
  <c r="E219" i="5"/>
  <c r="F219" i="5"/>
  <c r="G219" i="5"/>
  <c r="H219" i="5"/>
  <c r="I219" i="5"/>
  <c r="J219" i="5"/>
  <c r="K219" i="5"/>
  <c r="B220" i="5"/>
  <c r="C220" i="5"/>
  <c r="D220" i="5"/>
  <c r="E220" i="5"/>
  <c r="F220" i="5"/>
  <c r="G220" i="5"/>
  <c r="H220" i="5"/>
  <c r="I220" i="5"/>
  <c r="J220" i="5"/>
  <c r="K220" i="5"/>
  <c r="B221" i="5"/>
  <c r="C221" i="5"/>
  <c r="D221" i="5"/>
  <c r="E221" i="5"/>
  <c r="F221" i="5"/>
  <c r="G221" i="5"/>
  <c r="H221" i="5"/>
  <c r="I221" i="5"/>
  <c r="J221" i="5"/>
  <c r="K221" i="5"/>
  <c r="B222" i="5"/>
  <c r="C222" i="5"/>
  <c r="D222" i="5"/>
  <c r="E222" i="5"/>
  <c r="F222" i="5"/>
  <c r="G222" i="5"/>
  <c r="H222" i="5"/>
  <c r="I222" i="5"/>
  <c r="J222" i="5"/>
  <c r="K222" i="5"/>
  <c r="B223" i="5"/>
  <c r="C223" i="5"/>
  <c r="D223" i="5"/>
  <c r="E223" i="5"/>
  <c r="F223" i="5"/>
  <c r="G223" i="5"/>
  <c r="H223" i="5"/>
  <c r="I223" i="5"/>
  <c r="J223" i="5"/>
  <c r="K223" i="5"/>
  <c r="B224" i="5"/>
  <c r="C224" i="5"/>
  <c r="D224" i="5"/>
  <c r="E224" i="5"/>
  <c r="F224" i="5"/>
  <c r="G224" i="5"/>
  <c r="H224" i="5"/>
  <c r="I224" i="5"/>
  <c r="J224" i="5"/>
  <c r="K224" i="5"/>
  <c r="B225" i="5"/>
  <c r="C225" i="5"/>
  <c r="D225" i="5"/>
  <c r="E225" i="5"/>
  <c r="F225" i="5"/>
  <c r="G225" i="5"/>
  <c r="H225" i="5"/>
  <c r="I225" i="5"/>
  <c r="J225" i="5"/>
  <c r="K225" i="5"/>
  <c r="B226" i="5"/>
  <c r="C226" i="5"/>
  <c r="D226" i="5"/>
  <c r="E226" i="5"/>
  <c r="F226" i="5"/>
  <c r="G226" i="5"/>
  <c r="H226" i="5"/>
  <c r="I226" i="5"/>
  <c r="J226" i="5"/>
  <c r="K226" i="5"/>
  <c r="B227" i="5"/>
  <c r="C227" i="5"/>
  <c r="D227" i="5"/>
  <c r="E227" i="5"/>
  <c r="F227" i="5"/>
  <c r="G227" i="5"/>
  <c r="H227" i="5"/>
  <c r="I227" i="5"/>
  <c r="J227" i="5"/>
  <c r="K227" i="5"/>
  <c r="B228" i="5"/>
  <c r="C228" i="5"/>
  <c r="D228" i="5"/>
  <c r="E228" i="5"/>
  <c r="F228" i="5"/>
  <c r="G228" i="5"/>
  <c r="H228" i="5"/>
  <c r="I228" i="5"/>
  <c r="J228" i="5"/>
  <c r="K228" i="5"/>
  <c r="B229" i="5"/>
  <c r="C229" i="5"/>
  <c r="D229" i="5"/>
  <c r="E229" i="5"/>
  <c r="F229" i="5"/>
  <c r="G229" i="5"/>
  <c r="H229" i="5"/>
  <c r="I229" i="5"/>
  <c r="J229" i="5"/>
  <c r="K229" i="5"/>
  <c r="B230" i="5"/>
  <c r="C230" i="5"/>
  <c r="D230" i="5"/>
  <c r="E230" i="5"/>
  <c r="F230" i="5"/>
  <c r="G230" i="5"/>
  <c r="H230" i="5"/>
  <c r="I230" i="5"/>
  <c r="J230" i="5"/>
  <c r="K230" i="5"/>
  <c r="B231" i="5"/>
  <c r="C231" i="5"/>
  <c r="D231" i="5"/>
  <c r="E231" i="5"/>
  <c r="F231" i="5"/>
  <c r="G231" i="5"/>
  <c r="H231" i="5"/>
  <c r="I231" i="5"/>
  <c r="J231" i="5"/>
  <c r="K231" i="5"/>
  <c r="B232" i="5"/>
  <c r="C232" i="5"/>
  <c r="D232" i="5"/>
  <c r="E232" i="5"/>
  <c r="F232" i="5"/>
  <c r="G232" i="5"/>
  <c r="H232" i="5"/>
  <c r="I232" i="5"/>
  <c r="J232" i="5"/>
  <c r="K232" i="5"/>
  <c r="B233" i="5"/>
  <c r="C233" i="5"/>
  <c r="D233" i="5"/>
  <c r="E233" i="5"/>
  <c r="F233" i="5"/>
  <c r="G233" i="5"/>
  <c r="H233" i="5"/>
  <c r="I233" i="5"/>
  <c r="J233" i="5"/>
  <c r="K233" i="5"/>
  <c r="B234" i="5"/>
  <c r="C234" i="5"/>
  <c r="D234" i="5"/>
  <c r="E234" i="5"/>
  <c r="F234" i="5"/>
  <c r="G234" i="5"/>
  <c r="H234" i="5"/>
  <c r="I234" i="5"/>
  <c r="J234" i="5"/>
  <c r="K234" i="5"/>
  <c r="B235" i="5"/>
  <c r="C235" i="5"/>
  <c r="D235" i="5"/>
  <c r="E235" i="5"/>
  <c r="F235" i="5"/>
  <c r="G235" i="5"/>
  <c r="H235" i="5"/>
  <c r="I235" i="5"/>
  <c r="J235" i="5"/>
  <c r="K235" i="5"/>
  <c r="B236" i="5"/>
  <c r="C236" i="5"/>
  <c r="D236" i="5"/>
  <c r="E236" i="5"/>
  <c r="F236" i="5"/>
  <c r="G236" i="5"/>
  <c r="H236" i="5"/>
  <c r="I236" i="5"/>
  <c r="J236" i="5"/>
  <c r="K236" i="5"/>
  <c r="B237" i="5"/>
  <c r="C237" i="5"/>
  <c r="D237" i="5"/>
  <c r="E237" i="5"/>
  <c r="F237" i="5"/>
  <c r="G237" i="5"/>
  <c r="H237" i="5"/>
  <c r="I237" i="5"/>
  <c r="J237" i="5"/>
  <c r="K237" i="5"/>
  <c r="B238" i="5"/>
  <c r="C238" i="5"/>
  <c r="D238" i="5"/>
  <c r="E238" i="5"/>
  <c r="F238" i="5"/>
  <c r="G238" i="5"/>
  <c r="H238" i="5"/>
  <c r="I238" i="5"/>
  <c r="J238" i="5"/>
  <c r="K238" i="5"/>
  <c r="B239" i="5"/>
  <c r="C239" i="5"/>
  <c r="D239" i="5"/>
  <c r="E239" i="5"/>
  <c r="F239" i="5"/>
  <c r="G239" i="5"/>
  <c r="H239" i="5"/>
  <c r="I239" i="5"/>
  <c r="J239" i="5"/>
  <c r="K239" i="5"/>
  <c r="B240" i="5"/>
  <c r="C240" i="5"/>
  <c r="D240" i="5"/>
  <c r="E240" i="5"/>
  <c r="F240" i="5"/>
  <c r="G240" i="5"/>
  <c r="H240" i="5"/>
  <c r="I240" i="5"/>
  <c r="J240" i="5"/>
  <c r="K240" i="5"/>
  <c r="B241" i="5"/>
  <c r="C241" i="5"/>
  <c r="D241" i="5"/>
  <c r="E241" i="5"/>
  <c r="F241" i="5"/>
  <c r="G241" i="5"/>
  <c r="H241" i="5"/>
  <c r="I241" i="5"/>
  <c r="J241" i="5"/>
  <c r="K241" i="5"/>
  <c r="B242" i="5"/>
  <c r="C242" i="5"/>
  <c r="D242" i="5"/>
  <c r="E242" i="5"/>
  <c r="F242" i="5"/>
  <c r="G242" i="5"/>
  <c r="H242" i="5"/>
  <c r="I242" i="5"/>
  <c r="J242" i="5"/>
  <c r="K242" i="5"/>
  <c r="B243" i="5"/>
  <c r="C243" i="5"/>
  <c r="D243" i="5"/>
  <c r="E243" i="5"/>
  <c r="F243" i="5"/>
  <c r="G243" i="5"/>
  <c r="H243" i="5"/>
  <c r="I243" i="5"/>
  <c r="J243" i="5"/>
  <c r="K243" i="5"/>
  <c r="B244" i="5"/>
  <c r="C244" i="5"/>
  <c r="D244" i="5"/>
  <c r="E244" i="5"/>
  <c r="F244" i="5"/>
  <c r="G244" i="5"/>
  <c r="H244" i="5"/>
  <c r="I244" i="5"/>
  <c r="J244" i="5"/>
  <c r="K244" i="5"/>
  <c r="B245" i="5"/>
  <c r="C245" i="5"/>
  <c r="D245" i="5"/>
  <c r="E245" i="5"/>
  <c r="F245" i="5"/>
  <c r="G245" i="5"/>
  <c r="H245" i="5"/>
  <c r="I245" i="5"/>
  <c r="J245" i="5"/>
  <c r="K245" i="5"/>
  <c r="B246" i="5"/>
  <c r="C246" i="5"/>
  <c r="D246" i="5"/>
  <c r="E246" i="5"/>
  <c r="F246" i="5"/>
  <c r="G246" i="5"/>
  <c r="H246" i="5"/>
  <c r="I246" i="5"/>
  <c r="J246" i="5"/>
  <c r="K246" i="5"/>
  <c r="B247" i="5"/>
  <c r="C247" i="5"/>
  <c r="D247" i="5"/>
  <c r="E247" i="5"/>
  <c r="F247" i="5"/>
  <c r="G247" i="5"/>
  <c r="H247" i="5"/>
  <c r="I247" i="5"/>
  <c r="J247" i="5"/>
  <c r="K247" i="5"/>
  <c r="B248" i="5"/>
  <c r="C248" i="5"/>
  <c r="D248" i="5"/>
  <c r="E248" i="5"/>
  <c r="F248" i="5"/>
  <c r="G248" i="5"/>
  <c r="H248" i="5"/>
  <c r="I248" i="5"/>
  <c r="J248" i="5"/>
  <c r="K248" i="5"/>
  <c r="B249" i="5"/>
  <c r="C249" i="5"/>
  <c r="D249" i="5"/>
  <c r="E249" i="5"/>
  <c r="F249" i="5"/>
  <c r="G249" i="5"/>
  <c r="H249" i="5"/>
  <c r="I249" i="5"/>
  <c r="J249" i="5"/>
  <c r="K249" i="5"/>
  <c r="B250" i="5"/>
  <c r="C250" i="5"/>
  <c r="D250" i="5"/>
  <c r="E250" i="5"/>
  <c r="F250" i="5"/>
  <c r="G250" i="5"/>
  <c r="H250" i="5"/>
  <c r="I250" i="5"/>
  <c r="J250" i="5"/>
  <c r="K250" i="5"/>
  <c r="B251" i="5"/>
  <c r="C251" i="5"/>
  <c r="D251" i="5"/>
  <c r="E251" i="5"/>
  <c r="F251" i="5"/>
  <c r="G251" i="5"/>
  <c r="H251" i="5"/>
  <c r="I251" i="5"/>
  <c r="J251" i="5"/>
  <c r="K251" i="5"/>
  <c r="B252" i="5"/>
  <c r="C252" i="5"/>
  <c r="D252" i="5"/>
  <c r="E252" i="5"/>
  <c r="F252" i="5"/>
  <c r="G252" i="5"/>
  <c r="H252" i="5"/>
  <c r="I252" i="5"/>
  <c r="J252" i="5"/>
  <c r="K252" i="5"/>
  <c r="B253" i="5"/>
  <c r="C253" i="5"/>
  <c r="D253" i="5"/>
  <c r="E253" i="5"/>
  <c r="F253" i="5"/>
  <c r="G253" i="5"/>
  <c r="H253" i="5"/>
  <c r="I253" i="5"/>
  <c r="J253" i="5"/>
  <c r="K253" i="5"/>
  <c r="B254" i="5"/>
  <c r="C254" i="5"/>
  <c r="D254" i="5"/>
  <c r="E254" i="5"/>
  <c r="F254" i="5"/>
  <c r="G254" i="5"/>
  <c r="H254" i="5"/>
  <c r="I254" i="5"/>
  <c r="J254" i="5"/>
  <c r="K254" i="5"/>
  <c r="B255" i="5"/>
  <c r="C255" i="5"/>
  <c r="D255" i="5"/>
  <c r="E255" i="5"/>
  <c r="F255" i="5"/>
  <c r="G255" i="5"/>
  <c r="H255" i="5"/>
  <c r="I255" i="5"/>
  <c r="J255" i="5"/>
  <c r="K255" i="5"/>
  <c r="B256" i="5"/>
  <c r="C256" i="5"/>
  <c r="D256" i="5"/>
  <c r="E256" i="5"/>
  <c r="F256" i="5"/>
  <c r="G256" i="5"/>
  <c r="H256" i="5"/>
  <c r="I256" i="5"/>
  <c r="J256" i="5"/>
  <c r="K256" i="5"/>
  <c r="B257" i="5"/>
  <c r="C257" i="5"/>
  <c r="D257" i="5"/>
  <c r="E257" i="5"/>
  <c r="F257" i="5"/>
  <c r="G257" i="5"/>
  <c r="H257" i="5"/>
  <c r="I257" i="5"/>
  <c r="J257" i="5"/>
  <c r="K257" i="5"/>
  <c r="B258" i="5"/>
  <c r="C258" i="5"/>
  <c r="D258" i="5"/>
  <c r="E258" i="5"/>
  <c r="F258" i="5"/>
  <c r="G258" i="5"/>
  <c r="H258" i="5"/>
  <c r="I258" i="5"/>
  <c r="J258" i="5"/>
  <c r="K258" i="5"/>
  <c r="B259" i="5"/>
  <c r="C259" i="5"/>
  <c r="D259" i="5"/>
  <c r="E259" i="5"/>
  <c r="F259" i="5"/>
  <c r="G259" i="5"/>
  <c r="H259" i="5"/>
  <c r="I259" i="5"/>
  <c r="J259" i="5"/>
  <c r="K259" i="5"/>
  <c r="B260" i="5"/>
  <c r="C260" i="5"/>
  <c r="D260" i="5"/>
  <c r="E260" i="5"/>
  <c r="F260" i="5"/>
  <c r="G260" i="5"/>
  <c r="H260" i="5"/>
  <c r="I260" i="5"/>
  <c r="J260" i="5"/>
  <c r="K260" i="5"/>
  <c r="B261" i="5"/>
  <c r="C261" i="5"/>
  <c r="D261" i="5"/>
  <c r="E261" i="5"/>
  <c r="F261" i="5"/>
  <c r="G261" i="5"/>
  <c r="H261" i="5"/>
  <c r="I261" i="5"/>
  <c r="J261" i="5"/>
  <c r="K261" i="5"/>
  <c r="B262" i="5"/>
  <c r="C262" i="5"/>
  <c r="D262" i="5"/>
  <c r="E262" i="5"/>
  <c r="F262" i="5"/>
  <c r="G262" i="5"/>
  <c r="H262" i="5"/>
  <c r="I262" i="5"/>
  <c r="J262" i="5"/>
  <c r="K262" i="5"/>
  <c r="B263" i="5"/>
  <c r="C263" i="5"/>
  <c r="D263" i="5"/>
  <c r="E263" i="5"/>
  <c r="F263" i="5"/>
  <c r="G263" i="5"/>
  <c r="H263" i="5"/>
  <c r="I263" i="5"/>
  <c r="J263" i="5"/>
  <c r="K263" i="5"/>
  <c r="B264" i="5"/>
  <c r="C264" i="5"/>
  <c r="D264" i="5"/>
  <c r="E264" i="5"/>
  <c r="F264" i="5"/>
  <c r="G264" i="5"/>
  <c r="H264" i="5"/>
  <c r="I264" i="5"/>
  <c r="J264" i="5"/>
  <c r="K264" i="5"/>
  <c r="B265" i="5"/>
  <c r="C265" i="5"/>
  <c r="D265" i="5"/>
  <c r="E265" i="5"/>
  <c r="F265" i="5"/>
  <c r="G265" i="5"/>
  <c r="H265" i="5"/>
  <c r="I265" i="5"/>
  <c r="J265" i="5"/>
  <c r="K265" i="5"/>
  <c r="B266" i="5"/>
  <c r="C266" i="5"/>
  <c r="D266" i="5"/>
  <c r="E266" i="5"/>
  <c r="F266" i="5"/>
  <c r="G266" i="5"/>
  <c r="H266" i="5"/>
  <c r="I266" i="5"/>
  <c r="J266" i="5"/>
  <c r="K266" i="5"/>
  <c r="B267" i="5"/>
  <c r="C267" i="5"/>
  <c r="D267" i="5"/>
  <c r="E267" i="5"/>
  <c r="F267" i="5"/>
  <c r="G267" i="5"/>
  <c r="H267" i="5"/>
  <c r="I267" i="5"/>
  <c r="J267" i="5"/>
  <c r="K267" i="5"/>
  <c r="B268" i="5"/>
  <c r="C268" i="5"/>
  <c r="D268" i="5"/>
  <c r="E268" i="5"/>
  <c r="F268" i="5"/>
  <c r="G268" i="5"/>
  <c r="H268" i="5"/>
  <c r="I268" i="5"/>
  <c r="J268" i="5"/>
  <c r="K268" i="5"/>
  <c r="B269" i="5"/>
  <c r="C269" i="5"/>
  <c r="D269" i="5"/>
  <c r="E269" i="5"/>
  <c r="F269" i="5"/>
  <c r="G269" i="5"/>
  <c r="H269" i="5"/>
  <c r="I269" i="5"/>
  <c r="J269" i="5"/>
  <c r="K269" i="5"/>
  <c r="B270" i="5"/>
  <c r="C270" i="5"/>
  <c r="D270" i="5"/>
  <c r="E270" i="5"/>
  <c r="F270" i="5"/>
  <c r="G270" i="5"/>
  <c r="H270" i="5"/>
  <c r="I270" i="5"/>
  <c r="J270" i="5"/>
  <c r="K270" i="5"/>
  <c r="B271" i="5"/>
  <c r="C271" i="5"/>
  <c r="D271" i="5"/>
  <c r="E271" i="5"/>
  <c r="F271" i="5"/>
  <c r="G271" i="5"/>
  <c r="H271" i="5"/>
  <c r="I271" i="5"/>
  <c r="J271" i="5"/>
  <c r="K271" i="5"/>
  <c r="B272" i="5"/>
  <c r="C272" i="5"/>
  <c r="D272" i="5"/>
  <c r="E272" i="5"/>
  <c r="F272" i="5"/>
  <c r="G272" i="5"/>
  <c r="H272" i="5"/>
  <c r="I272" i="5"/>
  <c r="J272" i="5"/>
  <c r="K272" i="5"/>
  <c r="B273" i="5"/>
  <c r="C273" i="5"/>
  <c r="D273" i="5"/>
  <c r="E273" i="5"/>
  <c r="F273" i="5"/>
  <c r="G273" i="5"/>
  <c r="H273" i="5"/>
  <c r="I273" i="5"/>
  <c r="J273" i="5"/>
  <c r="K273" i="5"/>
  <c r="B274" i="5"/>
  <c r="C274" i="5"/>
  <c r="D274" i="5"/>
  <c r="E274" i="5"/>
  <c r="F274" i="5"/>
  <c r="G274" i="5"/>
  <c r="H274" i="5"/>
  <c r="I274" i="5"/>
  <c r="J274" i="5"/>
  <c r="K274" i="5"/>
  <c r="B275" i="5"/>
  <c r="C275" i="5"/>
  <c r="D275" i="5"/>
  <c r="E275" i="5"/>
  <c r="F275" i="5"/>
  <c r="G275" i="5"/>
  <c r="H275" i="5"/>
  <c r="I275" i="5"/>
  <c r="J275" i="5"/>
  <c r="K275" i="5"/>
  <c r="B276" i="5"/>
  <c r="C276" i="5"/>
  <c r="D276" i="5"/>
  <c r="E276" i="5"/>
  <c r="F276" i="5"/>
  <c r="G276" i="5"/>
  <c r="H276" i="5"/>
  <c r="I276" i="5"/>
  <c r="J276" i="5"/>
  <c r="K276" i="5"/>
  <c r="B277" i="5"/>
  <c r="C277" i="5"/>
  <c r="D277" i="5"/>
  <c r="E277" i="5"/>
  <c r="F277" i="5"/>
  <c r="G277" i="5"/>
  <c r="H277" i="5"/>
  <c r="I277" i="5"/>
  <c r="J277" i="5"/>
  <c r="K277" i="5"/>
  <c r="B278" i="5"/>
  <c r="C278" i="5"/>
  <c r="D278" i="5"/>
  <c r="E278" i="5"/>
  <c r="F278" i="5"/>
  <c r="G278" i="5"/>
  <c r="H278" i="5"/>
  <c r="I278" i="5"/>
  <c r="J278" i="5"/>
  <c r="K278" i="5"/>
  <c r="B279" i="5"/>
  <c r="C279" i="5"/>
  <c r="D279" i="5"/>
  <c r="E279" i="5"/>
  <c r="F279" i="5"/>
  <c r="G279" i="5"/>
  <c r="H279" i="5"/>
  <c r="I279" i="5"/>
  <c r="J279" i="5"/>
  <c r="K279" i="5"/>
  <c r="B280" i="5"/>
  <c r="C280" i="5"/>
  <c r="D280" i="5"/>
  <c r="E280" i="5"/>
  <c r="F280" i="5"/>
  <c r="G280" i="5"/>
  <c r="H280" i="5"/>
  <c r="I280" i="5"/>
  <c r="J280" i="5"/>
  <c r="K280" i="5"/>
  <c r="B281" i="5"/>
  <c r="C281" i="5"/>
  <c r="D281" i="5"/>
  <c r="E281" i="5"/>
  <c r="F281" i="5"/>
  <c r="G281" i="5"/>
  <c r="H281" i="5"/>
  <c r="I281" i="5"/>
  <c r="J281" i="5"/>
  <c r="K281" i="5"/>
  <c r="B282" i="5"/>
  <c r="C282" i="5"/>
  <c r="D282" i="5"/>
  <c r="E282" i="5"/>
  <c r="F282" i="5"/>
  <c r="G282" i="5"/>
  <c r="H282" i="5"/>
  <c r="I282" i="5"/>
  <c r="J282" i="5"/>
  <c r="K282" i="5"/>
  <c r="B283" i="5"/>
  <c r="C283" i="5"/>
  <c r="D283" i="5"/>
  <c r="E283" i="5"/>
  <c r="F283" i="5"/>
  <c r="G283" i="5"/>
  <c r="H283" i="5"/>
  <c r="I283" i="5"/>
  <c r="J283" i="5"/>
  <c r="K283" i="5"/>
  <c r="B284" i="5"/>
  <c r="C284" i="5"/>
  <c r="D284" i="5"/>
  <c r="E284" i="5"/>
  <c r="F284" i="5"/>
  <c r="G284" i="5"/>
  <c r="H284" i="5"/>
  <c r="I284" i="5"/>
  <c r="J284" i="5"/>
  <c r="K284" i="5"/>
  <c r="B285" i="5"/>
  <c r="C285" i="5"/>
  <c r="D285" i="5"/>
  <c r="E285" i="5"/>
  <c r="F285" i="5"/>
  <c r="G285" i="5"/>
  <c r="H285" i="5"/>
  <c r="I285" i="5"/>
  <c r="J285" i="5"/>
  <c r="K285" i="5"/>
  <c r="B286" i="5"/>
  <c r="C286" i="5"/>
  <c r="D286" i="5"/>
  <c r="E286" i="5"/>
  <c r="F286" i="5"/>
  <c r="G286" i="5"/>
  <c r="H286" i="5"/>
  <c r="I286" i="5"/>
  <c r="J286" i="5"/>
  <c r="K286" i="5"/>
  <c r="B287" i="5"/>
  <c r="C287" i="5"/>
  <c r="D287" i="5"/>
  <c r="E287" i="5"/>
  <c r="F287" i="5"/>
  <c r="G287" i="5"/>
  <c r="H287" i="5"/>
  <c r="I287" i="5"/>
  <c r="J287" i="5"/>
  <c r="K287" i="5"/>
  <c r="B288" i="5"/>
  <c r="C288" i="5"/>
  <c r="D288" i="5"/>
  <c r="E288" i="5"/>
  <c r="F288" i="5"/>
  <c r="G288" i="5"/>
  <c r="H288" i="5"/>
  <c r="I288" i="5"/>
  <c r="J288" i="5"/>
  <c r="K288" i="5"/>
  <c r="B289" i="5"/>
  <c r="C289" i="5"/>
  <c r="D289" i="5"/>
  <c r="E289" i="5"/>
  <c r="F289" i="5"/>
  <c r="G289" i="5"/>
  <c r="H289" i="5"/>
  <c r="I289" i="5"/>
  <c r="J289" i="5"/>
  <c r="K289" i="5"/>
  <c r="B290" i="5"/>
  <c r="C290" i="5"/>
  <c r="D290" i="5"/>
  <c r="E290" i="5"/>
  <c r="F290" i="5"/>
  <c r="G290" i="5"/>
  <c r="H290" i="5"/>
  <c r="I290" i="5"/>
  <c r="J290" i="5"/>
  <c r="K290" i="5"/>
  <c r="B291" i="5"/>
  <c r="C291" i="5"/>
  <c r="D291" i="5"/>
  <c r="E291" i="5"/>
  <c r="F291" i="5"/>
  <c r="G291" i="5"/>
  <c r="H291" i="5"/>
  <c r="I291" i="5"/>
  <c r="J291" i="5"/>
  <c r="K291" i="5"/>
  <c r="B292" i="5"/>
  <c r="C292" i="5"/>
  <c r="D292" i="5"/>
  <c r="E292" i="5"/>
  <c r="F292" i="5"/>
  <c r="G292" i="5"/>
  <c r="H292" i="5"/>
  <c r="I292" i="5"/>
  <c r="J292" i="5"/>
  <c r="K292" i="5"/>
  <c r="B293" i="5"/>
  <c r="C293" i="5"/>
  <c r="D293" i="5"/>
  <c r="E293" i="5"/>
  <c r="F293" i="5"/>
  <c r="G293" i="5"/>
  <c r="H293" i="5"/>
  <c r="I293" i="5"/>
  <c r="J293" i="5"/>
  <c r="K293" i="5"/>
  <c r="B294" i="5"/>
  <c r="C294" i="5"/>
  <c r="D294" i="5"/>
  <c r="E294" i="5"/>
  <c r="F294" i="5"/>
  <c r="G294" i="5"/>
  <c r="H294" i="5"/>
  <c r="I294" i="5"/>
  <c r="J294" i="5"/>
  <c r="K294" i="5"/>
  <c r="B295" i="5"/>
  <c r="C295" i="5"/>
  <c r="D295" i="5"/>
  <c r="E295" i="5"/>
  <c r="F295" i="5"/>
  <c r="G295" i="5"/>
  <c r="H295" i="5"/>
  <c r="I295" i="5"/>
  <c r="J295" i="5"/>
  <c r="K295" i="5"/>
  <c r="B296" i="5"/>
  <c r="C296" i="5"/>
  <c r="D296" i="5"/>
  <c r="E296" i="5"/>
  <c r="F296" i="5"/>
  <c r="G296" i="5"/>
  <c r="H296" i="5"/>
  <c r="I296" i="5"/>
  <c r="J296" i="5"/>
  <c r="K296" i="5"/>
  <c r="B297" i="5"/>
  <c r="C297" i="5"/>
  <c r="D297" i="5"/>
  <c r="E297" i="5"/>
  <c r="F297" i="5"/>
  <c r="G297" i="5"/>
  <c r="H297" i="5"/>
  <c r="I297" i="5"/>
  <c r="J297" i="5"/>
  <c r="K297" i="5"/>
  <c r="B298" i="5"/>
  <c r="C298" i="5"/>
  <c r="D298" i="5"/>
  <c r="E298" i="5"/>
  <c r="F298" i="5"/>
  <c r="G298" i="5"/>
  <c r="H298" i="5"/>
  <c r="I298" i="5"/>
  <c r="J298" i="5"/>
  <c r="K298" i="5"/>
  <c r="B299" i="5"/>
  <c r="C299" i="5"/>
  <c r="D299" i="5"/>
  <c r="E299" i="5"/>
  <c r="F299" i="5"/>
  <c r="G299" i="5"/>
  <c r="H299" i="5"/>
  <c r="I299" i="5"/>
  <c r="J299" i="5"/>
  <c r="K299" i="5"/>
  <c r="B300" i="5"/>
  <c r="C300" i="5"/>
  <c r="D300" i="5"/>
  <c r="E300" i="5"/>
  <c r="F300" i="5"/>
  <c r="G300" i="5"/>
  <c r="H300" i="5"/>
  <c r="I300" i="5"/>
  <c r="J300" i="5"/>
  <c r="K300" i="5"/>
  <c r="B301" i="5"/>
  <c r="C301" i="5"/>
  <c r="D301" i="5"/>
  <c r="E301" i="5"/>
  <c r="F301" i="5"/>
  <c r="G301" i="5"/>
  <c r="H301" i="5"/>
  <c r="I301" i="5"/>
  <c r="J301" i="5"/>
  <c r="K301" i="5"/>
  <c r="B302" i="5"/>
  <c r="C302" i="5"/>
  <c r="D302" i="5"/>
  <c r="E302" i="5"/>
  <c r="F302" i="5"/>
  <c r="G302" i="5"/>
  <c r="H302" i="5"/>
  <c r="I302" i="5"/>
  <c r="J302" i="5"/>
  <c r="K302" i="5"/>
  <c r="B303" i="5"/>
  <c r="C303" i="5"/>
  <c r="D303" i="5"/>
  <c r="E303" i="5"/>
  <c r="F303" i="5"/>
  <c r="G303" i="5"/>
  <c r="H303" i="5"/>
  <c r="I303" i="5"/>
  <c r="J303" i="5"/>
  <c r="K303" i="5"/>
  <c r="B304" i="5"/>
  <c r="C304" i="5"/>
  <c r="D304" i="5"/>
  <c r="E304" i="5"/>
  <c r="F304" i="5"/>
  <c r="G304" i="5"/>
  <c r="H304" i="5"/>
  <c r="I304" i="5"/>
  <c r="J304" i="5"/>
  <c r="K304" i="5"/>
  <c r="B305" i="5"/>
  <c r="C305" i="5"/>
  <c r="D305" i="5"/>
  <c r="E305" i="5"/>
  <c r="F305" i="5"/>
  <c r="G305" i="5"/>
  <c r="H305" i="5"/>
  <c r="I305" i="5"/>
  <c r="J305" i="5"/>
  <c r="K305" i="5"/>
  <c r="B306" i="5"/>
  <c r="C306" i="5"/>
  <c r="D306" i="5"/>
  <c r="E306" i="5"/>
  <c r="F306" i="5"/>
  <c r="G306" i="5"/>
  <c r="H306" i="5"/>
  <c r="I306" i="5"/>
  <c r="J306" i="5"/>
  <c r="K306" i="5"/>
  <c r="B307" i="5"/>
  <c r="C307" i="5"/>
  <c r="D307" i="5"/>
  <c r="E307" i="5"/>
  <c r="F307" i="5"/>
  <c r="G307" i="5"/>
  <c r="H307" i="5"/>
  <c r="I307" i="5"/>
  <c r="J307" i="5"/>
  <c r="K307" i="5"/>
  <c r="B308" i="5"/>
  <c r="C308" i="5"/>
  <c r="D308" i="5"/>
  <c r="E308" i="5"/>
  <c r="F308" i="5"/>
  <c r="G308" i="5"/>
  <c r="H308" i="5"/>
  <c r="I308" i="5"/>
  <c r="J308" i="5"/>
  <c r="K308" i="5"/>
  <c r="B309" i="5"/>
  <c r="C309" i="5"/>
  <c r="D309" i="5"/>
  <c r="E309" i="5"/>
  <c r="F309" i="5"/>
  <c r="G309" i="5"/>
  <c r="H309" i="5"/>
  <c r="I309" i="5"/>
  <c r="J309" i="5"/>
  <c r="K309" i="5"/>
  <c r="B310" i="5"/>
  <c r="C310" i="5"/>
  <c r="D310" i="5"/>
  <c r="E310" i="5"/>
  <c r="F310" i="5"/>
  <c r="G310" i="5"/>
  <c r="H310" i="5"/>
  <c r="I310" i="5"/>
  <c r="J310" i="5"/>
  <c r="K310" i="5"/>
  <c r="B311" i="5"/>
  <c r="C311" i="5"/>
  <c r="D311" i="5"/>
  <c r="E311" i="5"/>
  <c r="F311" i="5"/>
  <c r="G311" i="5"/>
  <c r="H311" i="5"/>
  <c r="I311" i="5"/>
  <c r="J311" i="5"/>
  <c r="K311" i="5"/>
  <c r="B312" i="5"/>
  <c r="C312" i="5"/>
  <c r="D312" i="5"/>
  <c r="E312" i="5"/>
  <c r="F312" i="5"/>
  <c r="G312" i="5"/>
  <c r="H312" i="5"/>
  <c r="I312" i="5"/>
  <c r="J312" i="5"/>
  <c r="K312" i="5"/>
  <c r="B313" i="5"/>
  <c r="C313" i="5"/>
  <c r="D313" i="5"/>
  <c r="E313" i="5"/>
  <c r="F313" i="5"/>
  <c r="G313" i="5"/>
  <c r="H313" i="5"/>
  <c r="I313" i="5"/>
  <c r="J313" i="5"/>
  <c r="K313" i="5"/>
  <c r="B314" i="5"/>
  <c r="C314" i="5"/>
  <c r="D314" i="5"/>
  <c r="E314" i="5"/>
  <c r="F314" i="5"/>
  <c r="G314" i="5"/>
  <c r="H314" i="5"/>
  <c r="I314" i="5"/>
  <c r="J314" i="5"/>
  <c r="K314" i="5"/>
  <c r="B315" i="5"/>
  <c r="C315" i="5"/>
  <c r="D315" i="5"/>
  <c r="E315" i="5"/>
  <c r="F315" i="5"/>
  <c r="G315" i="5"/>
  <c r="H315" i="5"/>
  <c r="I315" i="5"/>
  <c r="J315" i="5"/>
  <c r="K315" i="5"/>
  <c r="B316" i="5"/>
  <c r="C316" i="5"/>
  <c r="D316" i="5"/>
  <c r="E316" i="5"/>
  <c r="F316" i="5"/>
  <c r="G316" i="5"/>
  <c r="H316" i="5"/>
  <c r="I316" i="5"/>
  <c r="J316" i="5"/>
  <c r="K316" i="5"/>
  <c r="B317" i="5"/>
  <c r="C317" i="5"/>
  <c r="D317" i="5"/>
  <c r="E317" i="5"/>
  <c r="F317" i="5"/>
  <c r="G317" i="5"/>
  <c r="H317" i="5"/>
  <c r="I317" i="5"/>
  <c r="J317" i="5"/>
  <c r="K317" i="5"/>
  <c r="B318" i="5"/>
  <c r="C318" i="5"/>
  <c r="D318" i="5"/>
  <c r="E318" i="5"/>
  <c r="F318" i="5"/>
  <c r="G318" i="5"/>
  <c r="H318" i="5"/>
  <c r="I318" i="5"/>
  <c r="J318" i="5"/>
  <c r="K318" i="5"/>
  <c r="B319" i="5"/>
  <c r="C319" i="5"/>
  <c r="D319" i="5"/>
  <c r="E319" i="5"/>
  <c r="F319" i="5"/>
  <c r="G319" i="5"/>
  <c r="H319" i="5"/>
  <c r="I319" i="5"/>
  <c r="J319" i="5"/>
  <c r="K319" i="5"/>
  <c r="B320" i="5"/>
  <c r="C320" i="5"/>
  <c r="D320" i="5"/>
  <c r="E320" i="5"/>
  <c r="F320" i="5"/>
  <c r="G320" i="5"/>
  <c r="H320" i="5"/>
  <c r="I320" i="5"/>
  <c r="J320" i="5"/>
  <c r="K320" i="5"/>
  <c r="B321" i="5"/>
  <c r="C321" i="5"/>
  <c r="D321" i="5"/>
  <c r="E321" i="5"/>
  <c r="F321" i="5"/>
  <c r="G321" i="5"/>
  <c r="H321" i="5"/>
  <c r="I321" i="5"/>
  <c r="J321" i="5"/>
  <c r="K321" i="5"/>
  <c r="B322" i="5"/>
  <c r="C322" i="5"/>
  <c r="D322" i="5"/>
  <c r="E322" i="5"/>
  <c r="F322" i="5"/>
  <c r="G322" i="5"/>
  <c r="H322" i="5"/>
  <c r="I322" i="5"/>
  <c r="J322" i="5"/>
  <c r="K322" i="5"/>
  <c r="B323" i="5"/>
  <c r="C323" i="5"/>
  <c r="D323" i="5"/>
  <c r="E323" i="5"/>
  <c r="F323" i="5"/>
  <c r="G323" i="5"/>
  <c r="H323" i="5"/>
  <c r="I323" i="5"/>
  <c r="J323" i="5"/>
  <c r="K323" i="5"/>
  <c r="B324" i="5"/>
  <c r="C324" i="5"/>
  <c r="D324" i="5"/>
  <c r="E324" i="5"/>
  <c r="F324" i="5"/>
  <c r="G324" i="5"/>
  <c r="H324" i="5"/>
  <c r="I324" i="5"/>
  <c r="J324" i="5"/>
  <c r="K324" i="5"/>
  <c r="B325" i="5"/>
  <c r="C325" i="5"/>
  <c r="D325" i="5"/>
  <c r="E325" i="5"/>
  <c r="F325" i="5"/>
  <c r="G325" i="5"/>
  <c r="H325" i="5"/>
  <c r="I325" i="5"/>
  <c r="J325" i="5"/>
  <c r="K325" i="5"/>
  <c r="B326" i="5"/>
  <c r="C326" i="5"/>
  <c r="D326" i="5"/>
  <c r="E326" i="5"/>
  <c r="F326" i="5"/>
  <c r="G326" i="5"/>
  <c r="H326" i="5"/>
  <c r="I326" i="5"/>
  <c r="J326" i="5"/>
  <c r="K326" i="5"/>
  <c r="B327" i="5"/>
  <c r="C327" i="5"/>
  <c r="D327" i="5"/>
  <c r="E327" i="5"/>
  <c r="F327" i="5"/>
  <c r="G327" i="5"/>
  <c r="H327" i="5"/>
  <c r="I327" i="5"/>
  <c r="J327" i="5"/>
  <c r="K327" i="5"/>
  <c r="B328" i="5"/>
  <c r="C328" i="5"/>
  <c r="D328" i="5"/>
  <c r="E328" i="5"/>
  <c r="F328" i="5"/>
  <c r="G328" i="5"/>
  <c r="H328" i="5"/>
  <c r="I328" i="5"/>
  <c r="J328" i="5"/>
  <c r="K328" i="5"/>
  <c r="B329" i="5"/>
  <c r="C329" i="5"/>
  <c r="D329" i="5"/>
  <c r="E329" i="5"/>
  <c r="F329" i="5"/>
  <c r="G329" i="5"/>
  <c r="H329" i="5"/>
  <c r="I329" i="5"/>
  <c r="J329" i="5"/>
  <c r="K329" i="5"/>
  <c r="B330" i="5"/>
  <c r="C330" i="5"/>
  <c r="D330" i="5"/>
  <c r="E330" i="5"/>
  <c r="F330" i="5"/>
  <c r="G330" i="5"/>
  <c r="H330" i="5"/>
  <c r="I330" i="5"/>
  <c r="J330" i="5"/>
  <c r="K330" i="5"/>
  <c r="B331" i="5"/>
  <c r="C331" i="5"/>
  <c r="D331" i="5"/>
  <c r="E331" i="5"/>
  <c r="F331" i="5"/>
  <c r="G331" i="5"/>
  <c r="H331" i="5"/>
  <c r="I331" i="5"/>
  <c r="J331" i="5"/>
  <c r="K331" i="5"/>
  <c r="B332" i="5"/>
  <c r="C332" i="5"/>
  <c r="D332" i="5"/>
  <c r="E332" i="5"/>
  <c r="F332" i="5"/>
  <c r="G332" i="5"/>
  <c r="H332" i="5"/>
  <c r="I332" i="5"/>
  <c r="J332" i="5"/>
  <c r="K332" i="5"/>
  <c r="B333" i="5"/>
  <c r="C333" i="5"/>
  <c r="D333" i="5"/>
  <c r="E333" i="5"/>
  <c r="F333" i="5"/>
  <c r="G333" i="5"/>
  <c r="H333" i="5"/>
  <c r="I333" i="5"/>
  <c r="J333" i="5"/>
  <c r="K333" i="5"/>
  <c r="B334" i="5"/>
  <c r="C334" i="5"/>
  <c r="D334" i="5"/>
  <c r="E334" i="5"/>
  <c r="F334" i="5"/>
  <c r="G334" i="5"/>
  <c r="H334" i="5"/>
  <c r="I334" i="5"/>
  <c r="J334" i="5"/>
  <c r="K334" i="5"/>
  <c r="B335" i="5"/>
  <c r="C335" i="5"/>
  <c r="D335" i="5"/>
  <c r="E335" i="5"/>
  <c r="F335" i="5"/>
  <c r="G335" i="5"/>
  <c r="H335" i="5"/>
  <c r="I335" i="5"/>
  <c r="J335" i="5"/>
  <c r="K335" i="5"/>
  <c r="B336" i="5"/>
  <c r="C336" i="5"/>
  <c r="D336" i="5"/>
  <c r="E336" i="5"/>
  <c r="F336" i="5"/>
  <c r="G336" i="5"/>
  <c r="H336" i="5"/>
  <c r="I336" i="5"/>
  <c r="J336" i="5"/>
  <c r="K336" i="5"/>
  <c r="B337" i="5"/>
  <c r="C337" i="5"/>
  <c r="D337" i="5"/>
  <c r="E337" i="5"/>
  <c r="F337" i="5"/>
  <c r="G337" i="5"/>
  <c r="H337" i="5"/>
  <c r="I337" i="5"/>
  <c r="J337" i="5"/>
  <c r="K337" i="5"/>
  <c r="B338" i="5"/>
  <c r="C338" i="5"/>
  <c r="D338" i="5"/>
  <c r="E338" i="5"/>
  <c r="F338" i="5"/>
  <c r="G338" i="5"/>
  <c r="H338" i="5"/>
  <c r="I338" i="5"/>
  <c r="J338" i="5"/>
  <c r="K338" i="5"/>
  <c r="B339" i="5"/>
  <c r="C339" i="5"/>
  <c r="D339" i="5"/>
  <c r="E339" i="5"/>
  <c r="F339" i="5"/>
  <c r="G339" i="5"/>
  <c r="H339" i="5"/>
  <c r="I339" i="5"/>
  <c r="J339" i="5"/>
  <c r="K339" i="5"/>
  <c r="B340" i="5"/>
  <c r="C340" i="5"/>
  <c r="D340" i="5"/>
  <c r="E340" i="5"/>
  <c r="F340" i="5"/>
  <c r="G340" i="5"/>
  <c r="H340" i="5"/>
  <c r="I340" i="5"/>
  <c r="J340" i="5"/>
  <c r="K340" i="5"/>
  <c r="B341" i="5"/>
  <c r="C341" i="5"/>
  <c r="D341" i="5"/>
  <c r="E341" i="5"/>
  <c r="F341" i="5"/>
  <c r="G341" i="5"/>
  <c r="H341" i="5"/>
  <c r="I341" i="5"/>
  <c r="J341" i="5"/>
  <c r="K341" i="5"/>
  <c r="B342" i="5"/>
  <c r="C342" i="5"/>
  <c r="D342" i="5"/>
  <c r="E342" i="5"/>
  <c r="F342" i="5"/>
  <c r="G342" i="5"/>
  <c r="H342" i="5"/>
  <c r="I342" i="5"/>
  <c r="J342" i="5"/>
  <c r="K342" i="5"/>
  <c r="B343" i="5"/>
  <c r="C343" i="5"/>
  <c r="D343" i="5"/>
  <c r="E343" i="5"/>
  <c r="F343" i="5"/>
  <c r="G343" i="5"/>
  <c r="H343" i="5"/>
  <c r="I343" i="5"/>
  <c r="J343" i="5"/>
  <c r="K343" i="5"/>
  <c r="B344" i="5"/>
  <c r="C344" i="5"/>
  <c r="D344" i="5"/>
  <c r="E344" i="5"/>
  <c r="F344" i="5"/>
  <c r="G344" i="5"/>
  <c r="H344" i="5"/>
  <c r="I344" i="5"/>
  <c r="J344" i="5"/>
  <c r="K344" i="5"/>
  <c r="B345" i="5"/>
  <c r="C345" i="5"/>
  <c r="D345" i="5"/>
  <c r="E345" i="5"/>
  <c r="F345" i="5"/>
  <c r="G345" i="5"/>
  <c r="H345" i="5"/>
  <c r="I345" i="5"/>
  <c r="J345" i="5"/>
  <c r="K345" i="5"/>
  <c r="B346" i="5"/>
  <c r="C346" i="5"/>
  <c r="D346" i="5"/>
  <c r="E346" i="5"/>
  <c r="F346" i="5"/>
  <c r="G346" i="5"/>
  <c r="H346" i="5"/>
  <c r="I346" i="5"/>
  <c r="J346" i="5"/>
  <c r="K346" i="5"/>
  <c r="B347" i="5"/>
  <c r="C347" i="5"/>
  <c r="D347" i="5"/>
  <c r="E347" i="5"/>
  <c r="F347" i="5"/>
  <c r="G347" i="5"/>
  <c r="H347" i="5"/>
  <c r="I347" i="5"/>
  <c r="J347" i="5"/>
  <c r="K347" i="5"/>
  <c r="B348" i="5"/>
  <c r="C348" i="5"/>
  <c r="D348" i="5"/>
  <c r="E348" i="5"/>
  <c r="F348" i="5"/>
  <c r="G348" i="5"/>
  <c r="H348" i="5"/>
  <c r="I348" i="5"/>
  <c r="J348" i="5"/>
  <c r="K348" i="5"/>
  <c r="P27" i="5" l="1"/>
  <c r="AC27" i="5" s="1"/>
  <c r="AR27" i="5" s="1"/>
  <c r="P237" i="5"/>
  <c r="AC237" i="5" s="1"/>
  <c r="AR237" i="5" s="1"/>
  <c r="P43" i="5"/>
  <c r="AC43" i="5" s="1"/>
  <c r="AR43" i="5" s="1"/>
  <c r="P255" i="5"/>
  <c r="AC255" i="5" s="1"/>
  <c r="AR255" i="5" s="1"/>
  <c r="P119" i="5"/>
  <c r="P87" i="5"/>
  <c r="AC87" i="5" s="1"/>
  <c r="AR87" i="5" s="1"/>
  <c r="P321" i="5"/>
  <c r="P289" i="5"/>
  <c r="AC289" i="5" s="1"/>
  <c r="AR289" i="5" s="1"/>
  <c r="P193" i="5"/>
  <c r="AC193" i="5" s="1"/>
  <c r="AR193" i="5" s="1"/>
  <c r="P150" i="5"/>
  <c r="AC150" i="5" s="1"/>
  <c r="AR150" i="5" s="1"/>
  <c r="P131" i="5"/>
  <c r="P55" i="5"/>
  <c r="P263" i="5"/>
  <c r="AC263" i="5" s="1"/>
  <c r="AR263" i="5" s="1"/>
  <c r="P209" i="5"/>
  <c r="AC209" i="5" s="1"/>
  <c r="AR209" i="5" s="1"/>
  <c r="P75" i="5"/>
  <c r="AC75" i="5" s="1"/>
  <c r="AR75" i="5" s="1"/>
  <c r="P337" i="5"/>
  <c r="AC337" i="5" s="1"/>
  <c r="AR337" i="5" s="1"/>
  <c r="P345" i="5"/>
  <c r="P217" i="5"/>
  <c r="AC217" i="5" s="1"/>
  <c r="AR217" i="5" s="1"/>
  <c r="P107" i="5"/>
  <c r="P11" i="5"/>
  <c r="P7" i="5"/>
  <c r="P317" i="5"/>
  <c r="AC317" i="5" s="1"/>
  <c r="AR317" i="5" s="1"/>
  <c r="P205" i="5"/>
  <c r="AC205" i="5" s="1"/>
  <c r="AR205" i="5" s="1"/>
  <c r="P167" i="5"/>
  <c r="P91" i="5"/>
  <c r="P71" i="5"/>
  <c r="P225" i="5"/>
  <c r="P189" i="5"/>
  <c r="P185" i="5"/>
  <c r="AC185" i="5" s="1"/>
  <c r="AR185" i="5" s="1"/>
  <c r="P123" i="5"/>
  <c r="AC123" i="5" s="1"/>
  <c r="AR123" i="5" s="1"/>
  <c r="P103" i="5"/>
  <c r="P59" i="5"/>
  <c r="AC59" i="5" s="1"/>
  <c r="AR59" i="5" s="1"/>
  <c r="P39" i="5"/>
  <c r="AC39" i="5" s="1"/>
  <c r="AR39" i="5" s="1"/>
  <c r="P328" i="5"/>
  <c r="AC328" i="5" s="1"/>
  <c r="AR328" i="5" s="1"/>
  <c r="P190" i="5"/>
  <c r="P146" i="5"/>
  <c r="AC146" i="5" s="1"/>
  <c r="AR146" i="5" s="1"/>
  <c r="P318" i="5"/>
  <c r="AC318" i="5" s="1"/>
  <c r="AR318" i="5" s="1"/>
  <c r="P214" i="5"/>
  <c r="P324" i="5"/>
  <c r="P315" i="5"/>
  <c r="AC315" i="5" s="1"/>
  <c r="AR315" i="5" s="1"/>
  <c r="P297" i="5"/>
  <c r="P68" i="5"/>
  <c r="AC68" i="5" s="1"/>
  <c r="AR68" i="5" s="1"/>
  <c r="P36" i="5"/>
  <c r="P15" i="5"/>
  <c r="AC15" i="5" s="1"/>
  <c r="AR15" i="5" s="1"/>
  <c r="P343" i="5"/>
  <c r="AC343" i="5" s="1"/>
  <c r="AR343" i="5" s="1"/>
  <c r="P342" i="5"/>
  <c r="AC342" i="5" s="1"/>
  <c r="AR342" i="5" s="1"/>
  <c r="P319" i="5"/>
  <c r="P312" i="5"/>
  <c r="P308" i="5"/>
  <c r="P301" i="5"/>
  <c r="AC301" i="5" s="1"/>
  <c r="AR301" i="5" s="1"/>
  <c r="P299" i="5"/>
  <c r="P298" i="5"/>
  <c r="P293" i="5"/>
  <c r="AC293" i="5" s="1"/>
  <c r="AR293" i="5" s="1"/>
  <c r="P288" i="5"/>
  <c r="P252" i="5"/>
  <c r="P229" i="5"/>
  <c r="AC229" i="5" s="1"/>
  <c r="AR229" i="5" s="1"/>
  <c r="P132" i="5"/>
  <c r="P99" i="5"/>
  <c r="AC99" i="5" s="1"/>
  <c r="AR99" i="5" s="1"/>
  <c r="P35" i="5"/>
  <c r="P348" i="5"/>
  <c r="AC348" i="5" s="1"/>
  <c r="AR348" i="5" s="1"/>
  <c r="P295" i="5"/>
  <c r="P260" i="5"/>
  <c r="P257" i="5"/>
  <c r="AC257" i="5" s="1"/>
  <c r="AR257" i="5" s="1"/>
  <c r="P256" i="5"/>
  <c r="AC256" i="5" s="1"/>
  <c r="AR256" i="5" s="1"/>
  <c r="P253" i="5"/>
  <c r="AC253" i="5" s="1"/>
  <c r="AR253" i="5" s="1"/>
  <c r="P245" i="5"/>
  <c r="AC245" i="5" s="1"/>
  <c r="AR245" i="5" s="1"/>
  <c r="P206" i="5"/>
  <c r="AC206" i="5" s="1"/>
  <c r="AR206" i="5" s="1"/>
  <c r="P157" i="5"/>
  <c r="AC157" i="5" s="1"/>
  <c r="AR157" i="5" s="1"/>
  <c r="P151" i="5"/>
  <c r="P344" i="5"/>
  <c r="P333" i="5"/>
  <c r="P331" i="5"/>
  <c r="P325" i="5"/>
  <c r="AC325" i="5" s="1"/>
  <c r="AR325" i="5" s="1"/>
  <c r="P320" i="5"/>
  <c r="AC320" i="5" s="1"/>
  <c r="AR320" i="5" s="1"/>
  <c r="P313" i="5"/>
  <c r="AC313" i="5" s="1"/>
  <c r="AR313" i="5" s="1"/>
  <c r="P311" i="5"/>
  <c r="P310" i="5"/>
  <c r="P287" i="5"/>
  <c r="P286" i="5"/>
  <c r="P279" i="5"/>
  <c r="AC279" i="5" s="1"/>
  <c r="AR279" i="5" s="1"/>
  <c r="P276" i="5"/>
  <c r="AC276" i="5" s="1"/>
  <c r="AR276" i="5" s="1"/>
  <c r="P273" i="5"/>
  <c r="P272" i="5"/>
  <c r="P269" i="5"/>
  <c r="AC269" i="5" s="1"/>
  <c r="AR269" i="5" s="1"/>
  <c r="P267" i="5"/>
  <c r="AC267" i="5" s="1"/>
  <c r="AR267" i="5" s="1"/>
  <c r="P261" i="5"/>
  <c r="AC261" i="5" s="1"/>
  <c r="AR261" i="5" s="1"/>
  <c r="P249" i="5"/>
  <c r="AC249" i="5" s="1"/>
  <c r="AR249" i="5" s="1"/>
  <c r="P246" i="5"/>
  <c r="AC246" i="5" s="1"/>
  <c r="AR246" i="5" s="1"/>
  <c r="P222" i="5"/>
  <c r="AC222" i="5" s="1"/>
  <c r="AR222" i="5" s="1"/>
  <c r="P197" i="5"/>
  <c r="AC197" i="5" s="1"/>
  <c r="AR197" i="5" s="1"/>
  <c r="P182" i="5"/>
  <c r="AC182" i="5" s="1"/>
  <c r="AR182" i="5" s="1"/>
  <c r="P173" i="5"/>
  <c r="AC173" i="5" s="1"/>
  <c r="AR173" i="5" s="1"/>
  <c r="P162" i="5"/>
  <c r="AC162" i="5" s="1"/>
  <c r="AR162" i="5" s="1"/>
  <c r="P155" i="5"/>
  <c r="P154" i="5"/>
  <c r="P149" i="5"/>
  <c r="AC149" i="5" s="1"/>
  <c r="AR149" i="5" s="1"/>
  <c r="P142" i="5"/>
  <c r="P115" i="5"/>
  <c r="P83" i="5"/>
  <c r="P51" i="5"/>
  <c r="AC51" i="5" s="1"/>
  <c r="AR51" i="5" s="1"/>
  <c r="P19" i="5"/>
  <c r="P175" i="5"/>
  <c r="AC175" i="5" s="1"/>
  <c r="AR175" i="5" s="1"/>
  <c r="P139" i="5"/>
  <c r="P135" i="5"/>
  <c r="AC135" i="5" s="1"/>
  <c r="AR135" i="5" s="1"/>
  <c r="P127" i="5"/>
  <c r="P67" i="5"/>
  <c r="P335" i="5"/>
  <c r="P334" i="5"/>
  <c r="AC334" i="5" s="1"/>
  <c r="AR334" i="5" s="1"/>
  <c r="P314" i="5"/>
  <c r="AC314" i="5" s="1"/>
  <c r="AR314" i="5" s="1"/>
  <c r="P309" i="5"/>
  <c r="P304" i="5"/>
  <c r="AC304" i="5" s="1"/>
  <c r="AR304" i="5" s="1"/>
  <c r="P294" i="5"/>
  <c r="AC294" i="5" s="1"/>
  <c r="AR294" i="5" s="1"/>
  <c r="P233" i="5"/>
  <c r="AC233" i="5" s="1"/>
  <c r="AR233" i="5" s="1"/>
  <c r="P230" i="5"/>
  <c r="AC230" i="5" s="1"/>
  <c r="AR230" i="5" s="1"/>
  <c r="P181" i="5"/>
  <c r="AC181" i="5" s="1"/>
  <c r="AR181" i="5" s="1"/>
  <c r="P138" i="5"/>
  <c r="AC138" i="5" s="1"/>
  <c r="AR138" i="5" s="1"/>
  <c r="P100" i="5"/>
  <c r="AC100" i="5" s="1"/>
  <c r="AR100" i="5" s="1"/>
  <c r="P340" i="5"/>
  <c r="AC340" i="5" s="1"/>
  <c r="AR340" i="5" s="1"/>
  <c r="P330" i="5"/>
  <c r="AC330" i="5" s="1"/>
  <c r="AR330" i="5" s="1"/>
  <c r="P347" i="5"/>
  <c r="P346" i="5"/>
  <c r="P341" i="5"/>
  <c r="AC341" i="5" s="1"/>
  <c r="AR341" i="5" s="1"/>
  <c r="P336" i="5"/>
  <c r="P329" i="5"/>
  <c r="AC329" i="5" s="1"/>
  <c r="AR329" i="5" s="1"/>
  <c r="P327" i="5"/>
  <c r="AC327" i="5" s="1"/>
  <c r="AR327" i="5" s="1"/>
  <c r="P326" i="5"/>
  <c r="AC326" i="5" s="1"/>
  <c r="AR326" i="5" s="1"/>
  <c r="P305" i="5"/>
  <c r="AC305" i="5" s="1"/>
  <c r="AR305" i="5" s="1"/>
  <c r="P303" i="5"/>
  <c r="AC303" i="5" s="1"/>
  <c r="AR303" i="5" s="1"/>
  <c r="P302" i="5"/>
  <c r="AC302" i="5" s="1"/>
  <c r="AR302" i="5" s="1"/>
  <c r="P296" i="5"/>
  <c r="AC296" i="5" s="1"/>
  <c r="AR296" i="5" s="1"/>
  <c r="P292" i="5"/>
  <c r="AC292" i="5" s="1"/>
  <c r="AR292" i="5" s="1"/>
  <c r="P285" i="5"/>
  <c r="AC285" i="5" s="1"/>
  <c r="AR285" i="5" s="1"/>
  <c r="P283" i="5"/>
  <c r="P277" i="5"/>
  <c r="AC277" i="5" s="1"/>
  <c r="AR277" i="5" s="1"/>
  <c r="P271" i="5"/>
  <c r="P241" i="5"/>
  <c r="AC241" i="5" s="1"/>
  <c r="AR241" i="5" s="1"/>
  <c r="P238" i="5"/>
  <c r="P221" i="5"/>
  <c r="AC221" i="5" s="1"/>
  <c r="AR221" i="5" s="1"/>
  <c r="P213" i="5"/>
  <c r="P201" i="5"/>
  <c r="P198" i="5"/>
  <c r="AC198" i="5" s="1"/>
  <c r="AR198" i="5" s="1"/>
  <c r="P179" i="5"/>
  <c r="P177" i="5"/>
  <c r="P174" i="5"/>
  <c r="AC174" i="5" s="1"/>
  <c r="AR174" i="5" s="1"/>
  <c r="P170" i="5"/>
  <c r="AC170" i="5" s="1"/>
  <c r="AR170" i="5" s="1"/>
  <c r="P165" i="5"/>
  <c r="P158" i="5"/>
  <c r="AC158" i="5" s="1"/>
  <c r="AR158" i="5" s="1"/>
  <c r="P136" i="5"/>
  <c r="AC136" i="5" s="1"/>
  <c r="AR136" i="5" s="1"/>
  <c r="P134" i="5"/>
  <c r="AC134" i="5" s="1"/>
  <c r="AR134" i="5" s="1"/>
  <c r="P116" i="5"/>
  <c r="AC116" i="5" s="1"/>
  <c r="AR116" i="5" s="1"/>
  <c r="P84" i="5"/>
  <c r="P52" i="5"/>
  <c r="AC52" i="5" s="1"/>
  <c r="AR52" i="5" s="1"/>
  <c r="P23" i="5"/>
  <c r="P20" i="5"/>
  <c r="AC20" i="5" s="1"/>
  <c r="AR20" i="5" s="1"/>
  <c r="S27" i="5"/>
  <c r="AH27" i="5" s="1"/>
  <c r="P339" i="5"/>
  <c r="AC339" i="5" s="1"/>
  <c r="AR339" i="5" s="1"/>
  <c r="P338" i="5"/>
  <c r="AC338" i="5" s="1"/>
  <c r="AR338" i="5" s="1"/>
  <c r="P332" i="5"/>
  <c r="AC332" i="5" s="1"/>
  <c r="AR332" i="5" s="1"/>
  <c r="P323" i="5"/>
  <c r="AC323" i="5" s="1"/>
  <c r="AR323" i="5" s="1"/>
  <c r="P322" i="5"/>
  <c r="P316" i="5"/>
  <c r="AC316" i="5" s="1"/>
  <c r="AR316" i="5" s="1"/>
  <c r="P307" i="5"/>
  <c r="P306" i="5"/>
  <c r="AC306" i="5" s="1"/>
  <c r="AR306" i="5" s="1"/>
  <c r="P300" i="5"/>
  <c r="AC300" i="5" s="1"/>
  <c r="AR300" i="5" s="1"/>
  <c r="P291" i="5"/>
  <c r="AC291" i="5" s="1"/>
  <c r="AR291" i="5" s="1"/>
  <c r="P290" i="5"/>
  <c r="AC290" i="5" s="1"/>
  <c r="AR290" i="5" s="1"/>
  <c r="P284" i="5"/>
  <c r="AC284" i="5" s="1"/>
  <c r="AR284" i="5" s="1"/>
  <c r="P281" i="5"/>
  <c r="AC281" i="5" s="1"/>
  <c r="AR281" i="5" s="1"/>
  <c r="P280" i="5"/>
  <c r="AC280" i="5" s="1"/>
  <c r="AR280" i="5" s="1"/>
  <c r="P275" i="5"/>
  <c r="P268" i="5"/>
  <c r="AC268" i="5" s="1"/>
  <c r="AR268" i="5" s="1"/>
  <c r="P265" i="5"/>
  <c r="AC265" i="5" s="1"/>
  <c r="AR265" i="5" s="1"/>
  <c r="P264" i="5"/>
  <c r="AC264" i="5" s="1"/>
  <c r="AR264" i="5" s="1"/>
  <c r="P259" i="5"/>
  <c r="P166" i="5"/>
  <c r="AC166" i="5" s="1"/>
  <c r="AR166" i="5" s="1"/>
  <c r="P163" i="5"/>
  <c r="P159" i="5"/>
  <c r="AC159" i="5" s="1"/>
  <c r="AR159" i="5" s="1"/>
  <c r="P147" i="5"/>
  <c r="AC147" i="5" s="1"/>
  <c r="AR147" i="5" s="1"/>
  <c r="P143" i="5"/>
  <c r="AC143" i="5" s="1"/>
  <c r="AR143" i="5" s="1"/>
  <c r="P140" i="5"/>
  <c r="P124" i="5"/>
  <c r="AC124" i="5" s="1"/>
  <c r="AR124" i="5" s="1"/>
  <c r="P111" i="5"/>
  <c r="AC111" i="5" s="1"/>
  <c r="AR111" i="5" s="1"/>
  <c r="P108" i="5"/>
  <c r="AC108" i="5" s="1"/>
  <c r="AR108" i="5" s="1"/>
  <c r="P95" i="5"/>
  <c r="P92" i="5"/>
  <c r="AC92" i="5" s="1"/>
  <c r="AR92" i="5" s="1"/>
  <c r="P79" i="5"/>
  <c r="P76" i="5"/>
  <c r="AC76" i="5" s="1"/>
  <c r="AR76" i="5" s="1"/>
  <c r="P63" i="5"/>
  <c r="AC63" i="5" s="1"/>
  <c r="AR63" i="5" s="1"/>
  <c r="P60" i="5"/>
  <c r="P47" i="5"/>
  <c r="P44" i="5"/>
  <c r="P31" i="5"/>
  <c r="P28" i="5"/>
  <c r="AC28" i="5" s="1"/>
  <c r="AR28" i="5" s="1"/>
  <c r="P282" i="5"/>
  <c r="AC282" i="5" s="1"/>
  <c r="AR282" i="5" s="1"/>
  <c r="P274" i="5"/>
  <c r="P266" i="5"/>
  <c r="AC266" i="5" s="1"/>
  <c r="AR266" i="5" s="1"/>
  <c r="P258" i="5"/>
  <c r="AC258" i="5" s="1"/>
  <c r="AR258" i="5" s="1"/>
  <c r="P247" i="5"/>
  <c r="AC247" i="5" s="1"/>
  <c r="AR247" i="5" s="1"/>
  <c r="P239" i="5"/>
  <c r="P231" i="5"/>
  <c r="AC231" i="5" s="1"/>
  <c r="AR231" i="5" s="1"/>
  <c r="P223" i="5"/>
  <c r="AC223" i="5" s="1"/>
  <c r="AR223" i="5" s="1"/>
  <c r="P215" i="5"/>
  <c r="P207" i="5"/>
  <c r="AC207" i="5" s="1"/>
  <c r="AR207" i="5" s="1"/>
  <c r="P199" i="5"/>
  <c r="AC199" i="5" s="1"/>
  <c r="AR199" i="5" s="1"/>
  <c r="P191" i="5"/>
  <c r="AC191" i="5" s="1"/>
  <c r="AR191" i="5" s="1"/>
  <c r="P183" i="5"/>
  <c r="AC183" i="5" s="1"/>
  <c r="AR183" i="5" s="1"/>
  <c r="P171" i="5"/>
  <c r="AC171" i="5" s="1"/>
  <c r="AR171" i="5" s="1"/>
  <c r="P168" i="5"/>
  <c r="P161" i="5"/>
  <c r="AC161" i="5" s="1"/>
  <c r="AR161" i="5" s="1"/>
  <c r="P133" i="5"/>
  <c r="AC133" i="5" s="1"/>
  <c r="AR133" i="5" s="1"/>
  <c r="P117" i="5"/>
  <c r="P101" i="5"/>
  <c r="AC101" i="5" s="1"/>
  <c r="AR101" i="5" s="1"/>
  <c r="P85" i="5"/>
  <c r="AC85" i="5" s="1"/>
  <c r="AR85" i="5" s="1"/>
  <c r="P69" i="5"/>
  <c r="P53" i="5"/>
  <c r="AC53" i="5" s="1"/>
  <c r="AR53" i="5" s="1"/>
  <c r="P37" i="5"/>
  <c r="AC37" i="5" s="1"/>
  <c r="AR37" i="5" s="1"/>
  <c r="P21" i="5"/>
  <c r="P254" i="5"/>
  <c r="AC254" i="5" s="1"/>
  <c r="AR254" i="5" s="1"/>
  <c r="P250" i="5"/>
  <c r="P248" i="5"/>
  <c r="P242" i="5"/>
  <c r="AC242" i="5" s="1"/>
  <c r="AR242" i="5" s="1"/>
  <c r="P240" i="5"/>
  <c r="AC240" i="5" s="1"/>
  <c r="AR240" i="5" s="1"/>
  <c r="P234" i="5"/>
  <c r="AC234" i="5" s="1"/>
  <c r="AR234" i="5" s="1"/>
  <c r="P232" i="5"/>
  <c r="AC232" i="5" s="1"/>
  <c r="AR232" i="5" s="1"/>
  <c r="P226" i="5"/>
  <c r="AC226" i="5" s="1"/>
  <c r="AR226" i="5" s="1"/>
  <c r="P224" i="5"/>
  <c r="P218" i="5"/>
  <c r="AC218" i="5" s="1"/>
  <c r="AR218" i="5" s="1"/>
  <c r="P216" i="5"/>
  <c r="P210" i="5"/>
  <c r="AC210" i="5" s="1"/>
  <c r="AR210" i="5" s="1"/>
  <c r="P208" i="5"/>
  <c r="AC208" i="5" s="1"/>
  <c r="AR208" i="5" s="1"/>
  <c r="P202" i="5"/>
  <c r="P200" i="5"/>
  <c r="AC200" i="5" s="1"/>
  <c r="AR200" i="5" s="1"/>
  <c r="P194" i="5"/>
  <c r="AC194" i="5" s="1"/>
  <c r="AR194" i="5" s="1"/>
  <c r="P192" i="5"/>
  <c r="P186" i="5"/>
  <c r="AC186" i="5" s="1"/>
  <c r="AR186" i="5" s="1"/>
  <c r="P184" i="5"/>
  <c r="AC184" i="5" s="1"/>
  <c r="AR184" i="5" s="1"/>
  <c r="P178" i="5"/>
  <c r="AC178" i="5" s="1"/>
  <c r="AR178" i="5" s="1"/>
  <c r="P176" i="5"/>
  <c r="P169" i="5"/>
  <c r="AC169" i="5" s="1"/>
  <c r="AR169" i="5" s="1"/>
  <c r="P144" i="5"/>
  <c r="AC144" i="5" s="1"/>
  <c r="AR144" i="5" s="1"/>
  <c r="P122" i="5"/>
  <c r="AC122" i="5" s="1"/>
  <c r="AR122" i="5" s="1"/>
  <c r="P106" i="5"/>
  <c r="P90" i="5"/>
  <c r="AC90" i="5" s="1"/>
  <c r="AR90" i="5" s="1"/>
  <c r="P74" i="5"/>
  <c r="AC74" i="5" s="1"/>
  <c r="AR74" i="5" s="1"/>
  <c r="P58" i="5"/>
  <c r="AC58" i="5" s="1"/>
  <c r="AR58" i="5" s="1"/>
  <c r="P42" i="5"/>
  <c r="AC42" i="5" s="1"/>
  <c r="AR42" i="5" s="1"/>
  <c r="P26" i="5"/>
  <c r="AC26" i="5" s="1"/>
  <c r="AR26" i="5" s="1"/>
  <c r="P278" i="5"/>
  <c r="AC278" i="5" s="1"/>
  <c r="AR278" i="5" s="1"/>
  <c r="P270" i="5"/>
  <c r="AC270" i="5" s="1"/>
  <c r="AR270" i="5" s="1"/>
  <c r="P262" i="5"/>
  <c r="P251" i="5"/>
  <c r="P243" i="5"/>
  <c r="AC243" i="5" s="1"/>
  <c r="AR243" i="5" s="1"/>
  <c r="P235" i="5"/>
  <c r="AC235" i="5" s="1"/>
  <c r="AR235" i="5" s="1"/>
  <c r="P227" i="5"/>
  <c r="P219" i="5"/>
  <c r="AC219" i="5" s="1"/>
  <c r="AR219" i="5" s="1"/>
  <c r="P211" i="5"/>
  <c r="AC211" i="5" s="1"/>
  <c r="AR211" i="5" s="1"/>
  <c r="P203" i="5"/>
  <c r="AC203" i="5" s="1"/>
  <c r="AR203" i="5" s="1"/>
  <c r="P195" i="5"/>
  <c r="AC195" i="5" s="1"/>
  <c r="AR195" i="5" s="1"/>
  <c r="P187" i="5"/>
  <c r="AC187" i="5" s="1"/>
  <c r="AR187" i="5" s="1"/>
  <c r="P152" i="5"/>
  <c r="P145" i="5"/>
  <c r="AC145" i="5" s="1"/>
  <c r="AR145" i="5" s="1"/>
  <c r="P125" i="5"/>
  <c r="AC125" i="5" s="1"/>
  <c r="AR125" i="5" s="1"/>
  <c r="P109" i="5"/>
  <c r="AC109" i="5" s="1"/>
  <c r="AR109" i="5" s="1"/>
  <c r="P93" i="5"/>
  <c r="AC93" i="5" s="1"/>
  <c r="AR93" i="5" s="1"/>
  <c r="P77" i="5"/>
  <c r="AC77" i="5" s="1"/>
  <c r="AR77" i="5" s="1"/>
  <c r="P61" i="5"/>
  <c r="AC61" i="5" s="1"/>
  <c r="AR61" i="5" s="1"/>
  <c r="P45" i="5"/>
  <c r="P29" i="5"/>
  <c r="AC29" i="5" s="1"/>
  <c r="AR29" i="5" s="1"/>
  <c r="P244" i="5"/>
  <c r="AC244" i="5" s="1"/>
  <c r="AR244" i="5" s="1"/>
  <c r="P236" i="5"/>
  <c r="AC236" i="5" s="1"/>
  <c r="AR236" i="5" s="1"/>
  <c r="P228" i="5"/>
  <c r="P220" i="5"/>
  <c r="AC220" i="5" s="1"/>
  <c r="AR220" i="5" s="1"/>
  <c r="P212" i="5"/>
  <c r="AC212" i="5" s="1"/>
  <c r="AR212" i="5" s="1"/>
  <c r="P204" i="5"/>
  <c r="AC204" i="5" s="1"/>
  <c r="AR204" i="5" s="1"/>
  <c r="P196" i="5"/>
  <c r="AC196" i="5" s="1"/>
  <c r="AR196" i="5" s="1"/>
  <c r="P188" i="5"/>
  <c r="AC188" i="5" s="1"/>
  <c r="AR188" i="5" s="1"/>
  <c r="P180" i="5"/>
  <c r="AC180" i="5" s="1"/>
  <c r="AR180" i="5" s="1"/>
  <c r="P160" i="5"/>
  <c r="AC160" i="5" s="1"/>
  <c r="AR160" i="5" s="1"/>
  <c r="P153" i="5"/>
  <c r="P130" i="5"/>
  <c r="P114" i="5"/>
  <c r="AC114" i="5" s="1"/>
  <c r="AR114" i="5" s="1"/>
  <c r="P98" i="5"/>
  <c r="AC98" i="5" s="1"/>
  <c r="AR98" i="5" s="1"/>
  <c r="P82" i="5"/>
  <c r="AC82" i="5" s="1"/>
  <c r="AR82" i="5" s="1"/>
  <c r="P66" i="5"/>
  <c r="AC66" i="5" s="1"/>
  <c r="AR66" i="5" s="1"/>
  <c r="P50" i="5"/>
  <c r="AC50" i="5" s="1"/>
  <c r="AR50" i="5" s="1"/>
  <c r="P34" i="5"/>
  <c r="P18" i="5"/>
  <c r="AC18" i="5" s="1"/>
  <c r="AR18" i="5" s="1"/>
  <c r="P13" i="5"/>
  <c r="AC13" i="5" s="1"/>
  <c r="AR13" i="5" s="1"/>
  <c r="P10" i="5"/>
  <c r="AC10" i="5" s="1"/>
  <c r="AR10" i="5" s="1"/>
  <c r="P8" i="5"/>
  <c r="P141" i="5"/>
  <c r="P137" i="5"/>
  <c r="AC137" i="5" s="1"/>
  <c r="AR137" i="5" s="1"/>
  <c r="P172" i="5"/>
  <c r="AC172" i="5" s="1"/>
  <c r="AR172" i="5" s="1"/>
  <c r="P164" i="5"/>
  <c r="P156" i="5"/>
  <c r="P148" i="5"/>
  <c r="AC148" i="5" s="1"/>
  <c r="AR148" i="5" s="1"/>
  <c r="P129" i="5"/>
  <c r="P128" i="5"/>
  <c r="P126" i="5"/>
  <c r="AC126" i="5" s="1"/>
  <c r="AR126" i="5" s="1"/>
  <c r="P121" i="5"/>
  <c r="AC121" i="5" s="1"/>
  <c r="AR121" i="5" s="1"/>
  <c r="P120" i="5"/>
  <c r="AC120" i="5" s="1"/>
  <c r="AR120" i="5" s="1"/>
  <c r="P118" i="5"/>
  <c r="P113" i="5"/>
  <c r="AC113" i="5" s="1"/>
  <c r="AR113" i="5" s="1"/>
  <c r="P112" i="5"/>
  <c r="AC112" i="5" s="1"/>
  <c r="AR112" i="5" s="1"/>
  <c r="P110" i="5"/>
  <c r="AC110" i="5" s="1"/>
  <c r="AR110" i="5" s="1"/>
  <c r="P105" i="5"/>
  <c r="P104" i="5"/>
  <c r="P102" i="5"/>
  <c r="AC102" i="5" s="1"/>
  <c r="AR102" i="5" s="1"/>
  <c r="P97" i="5"/>
  <c r="AC97" i="5" s="1"/>
  <c r="AR97" i="5" s="1"/>
  <c r="P96" i="5"/>
  <c r="P94" i="5"/>
  <c r="P89" i="5"/>
  <c r="AC89" i="5" s="1"/>
  <c r="AR89" i="5" s="1"/>
  <c r="P88" i="5"/>
  <c r="AC88" i="5" s="1"/>
  <c r="AR88" i="5" s="1"/>
  <c r="P86" i="5"/>
  <c r="AC86" i="5" s="1"/>
  <c r="AR86" i="5" s="1"/>
  <c r="P81" i="5"/>
  <c r="P80" i="5"/>
  <c r="AC80" i="5" s="1"/>
  <c r="AR80" i="5" s="1"/>
  <c r="P78" i="5"/>
  <c r="AC78" i="5" s="1"/>
  <c r="AR78" i="5" s="1"/>
  <c r="P73" i="5"/>
  <c r="AC73" i="5" s="1"/>
  <c r="AR73" i="5" s="1"/>
  <c r="P72" i="5"/>
  <c r="P70" i="5"/>
  <c r="P65" i="5"/>
  <c r="AC65" i="5" s="1"/>
  <c r="AR65" i="5" s="1"/>
  <c r="P64" i="5"/>
  <c r="AC64" i="5" s="1"/>
  <c r="AR64" i="5" s="1"/>
  <c r="P62" i="5"/>
  <c r="AC62" i="5" s="1"/>
  <c r="AR62" i="5" s="1"/>
  <c r="P57" i="5"/>
  <c r="P56" i="5"/>
  <c r="AC56" i="5" s="1"/>
  <c r="AR56" i="5" s="1"/>
  <c r="P54" i="5"/>
  <c r="AC54" i="5" s="1"/>
  <c r="AR54" i="5" s="1"/>
  <c r="P49" i="5"/>
  <c r="AC49" i="5" s="1"/>
  <c r="AR49" i="5" s="1"/>
  <c r="P48" i="5"/>
  <c r="P46" i="5"/>
  <c r="P41" i="5"/>
  <c r="AC41" i="5" s="1"/>
  <c r="AR41" i="5" s="1"/>
  <c r="P40" i="5"/>
  <c r="AC40" i="5" s="1"/>
  <c r="AR40" i="5" s="1"/>
  <c r="P38" i="5"/>
  <c r="AC38" i="5" s="1"/>
  <c r="AR38" i="5" s="1"/>
  <c r="P33" i="5"/>
  <c r="AC33" i="5" s="1"/>
  <c r="AR33" i="5" s="1"/>
  <c r="P32" i="5"/>
  <c r="AC32" i="5" s="1"/>
  <c r="AR32" i="5" s="1"/>
  <c r="P30" i="5"/>
  <c r="AC30" i="5" s="1"/>
  <c r="AR30" i="5" s="1"/>
  <c r="P25" i="5"/>
  <c r="AC25" i="5" s="1"/>
  <c r="AR25" i="5" s="1"/>
  <c r="P24" i="5"/>
  <c r="AC24" i="5" s="1"/>
  <c r="AR24" i="5" s="1"/>
  <c r="P22" i="5"/>
  <c r="P17" i="5"/>
  <c r="AC17" i="5" s="1"/>
  <c r="AR17" i="5" s="1"/>
  <c r="P16" i="5"/>
  <c r="AC16" i="5" s="1"/>
  <c r="AR16" i="5" s="1"/>
  <c r="P14" i="5"/>
  <c r="AC14" i="5" s="1"/>
  <c r="AR14" i="5" s="1"/>
  <c r="P12" i="5"/>
  <c r="P9" i="5"/>
  <c r="C6" i="5"/>
  <c r="D6" i="5"/>
  <c r="E6" i="5"/>
  <c r="F6" i="5"/>
  <c r="G6" i="5"/>
  <c r="H6" i="5"/>
  <c r="I6" i="5"/>
  <c r="J6" i="5"/>
  <c r="K6" i="5"/>
  <c r="B6" i="5"/>
  <c r="P5" i="5"/>
  <c r="AD48" i="5" l="1"/>
  <c r="AS48" i="5" s="1"/>
  <c r="AC48" i="5"/>
  <c r="AR48" i="5" s="1"/>
  <c r="AD70" i="5"/>
  <c r="AS70" i="5" s="1"/>
  <c r="AC70" i="5"/>
  <c r="AR70" i="5" s="1"/>
  <c r="AD168" i="5"/>
  <c r="AS168" i="5" s="1"/>
  <c r="AC168" i="5"/>
  <c r="AR168" i="5" s="1"/>
  <c r="AD31" i="5"/>
  <c r="AS31" i="5" s="1"/>
  <c r="AC31" i="5"/>
  <c r="AR31" i="5" s="1"/>
  <c r="AD95" i="5"/>
  <c r="AS95" i="5" s="1"/>
  <c r="AC95" i="5"/>
  <c r="AR95" i="5" s="1"/>
  <c r="AD140" i="5"/>
  <c r="AS140" i="5" s="1"/>
  <c r="AC140" i="5"/>
  <c r="AR140" i="5" s="1"/>
  <c r="AD163" i="5"/>
  <c r="AS163" i="5" s="1"/>
  <c r="AC163" i="5"/>
  <c r="AR163" i="5" s="1"/>
  <c r="AD322" i="5"/>
  <c r="AS322" i="5" s="1"/>
  <c r="AC322" i="5"/>
  <c r="AR322" i="5" s="1"/>
  <c r="AD201" i="5"/>
  <c r="AS201" i="5" s="1"/>
  <c r="AC201" i="5"/>
  <c r="AR201" i="5" s="1"/>
  <c r="AD347" i="5"/>
  <c r="AS347" i="5" s="1"/>
  <c r="AC347" i="5"/>
  <c r="AR347" i="5" s="1"/>
  <c r="AD311" i="5"/>
  <c r="AS311" i="5" s="1"/>
  <c r="AC311" i="5"/>
  <c r="AR311" i="5" s="1"/>
  <c r="AD331" i="5"/>
  <c r="AS331" i="5" s="1"/>
  <c r="AC331" i="5"/>
  <c r="AR331" i="5" s="1"/>
  <c r="AD298" i="5"/>
  <c r="AS298" i="5" s="1"/>
  <c r="AC298" i="5"/>
  <c r="AR298" i="5" s="1"/>
  <c r="AD312" i="5"/>
  <c r="AS312" i="5" s="1"/>
  <c r="AC312" i="5"/>
  <c r="AR312" i="5" s="1"/>
  <c r="AD189" i="5"/>
  <c r="AS189" i="5" s="1"/>
  <c r="AC189" i="5"/>
  <c r="AR189" i="5" s="1"/>
  <c r="AD167" i="5"/>
  <c r="AS167" i="5" s="1"/>
  <c r="AC167" i="5"/>
  <c r="AR167" i="5" s="1"/>
  <c r="AD11" i="5"/>
  <c r="AS11" i="5" s="1"/>
  <c r="AC11" i="5"/>
  <c r="AR11" i="5" s="1"/>
  <c r="AD55" i="5"/>
  <c r="AS55" i="5" s="1"/>
  <c r="AC55" i="5"/>
  <c r="AR55" i="5" s="1"/>
  <c r="AD46" i="5"/>
  <c r="AS46" i="5" s="1"/>
  <c r="AC46" i="5"/>
  <c r="AR46" i="5" s="1"/>
  <c r="AD57" i="5"/>
  <c r="AS57" i="5" s="1"/>
  <c r="AC57" i="5"/>
  <c r="AR57" i="5" s="1"/>
  <c r="AD130" i="5"/>
  <c r="AS130" i="5" s="1"/>
  <c r="AC130" i="5"/>
  <c r="AR130" i="5" s="1"/>
  <c r="AD152" i="5"/>
  <c r="AS152" i="5" s="1"/>
  <c r="AC152" i="5"/>
  <c r="AR152" i="5" s="1"/>
  <c r="AD9" i="5"/>
  <c r="AS9" i="5" s="1"/>
  <c r="AC9" i="5"/>
  <c r="AR9" i="5" s="1"/>
  <c r="AD72" i="5"/>
  <c r="AS72" i="5" s="1"/>
  <c r="AC72" i="5"/>
  <c r="AR72" i="5" s="1"/>
  <c r="AD81" i="5"/>
  <c r="AS81" i="5" s="1"/>
  <c r="AC81" i="5"/>
  <c r="AR81" i="5" s="1"/>
  <c r="AD94" i="5"/>
  <c r="AS94" i="5" s="1"/>
  <c r="AC94" i="5"/>
  <c r="AR94" i="5" s="1"/>
  <c r="AD104" i="5"/>
  <c r="AS104" i="5" s="1"/>
  <c r="AC104" i="5"/>
  <c r="AR104" i="5" s="1"/>
  <c r="AD156" i="5"/>
  <c r="AS156" i="5" s="1"/>
  <c r="AC156" i="5"/>
  <c r="AR156" i="5" s="1"/>
  <c r="AD141" i="5"/>
  <c r="AS141" i="5" s="1"/>
  <c r="AC141" i="5"/>
  <c r="AR141" i="5" s="1"/>
  <c r="AD153" i="5"/>
  <c r="AS153" i="5" s="1"/>
  <c r="AC153" i="5"/>
  <c r="AR153" i="5" s="1"/>
  <c r="AD228" i="5"/>
  <c r="AS228" i="5" s="1"/>
  <c r="AC228" i="5"/>
  <c r="AR228" i="5" s="1"/>
  <c r="AD45" i="5"/>
  <c r="AS45" i="5" s="1"/>
  <c r="AC45" i="5"/>
  <c r="AR45" i="5" s="1"/>
  <c r="AD251" i="5"/>
  <c r="AS251" i="5" s="1"/>
  <c r="AC251" i="5"/>
  <c r="AR251" i="5" s="1"/>
  <c r="AD202" i="5"/>
  <c r="AS202" i="5" s="1"/>
  <c r="AC202" i="5"/>
  <c r="AR202" i="5" s="1"/>
  <c r="AD250" i="5"/>
  <c r="AS250" i="5" s="1"/>
  <c r="AC250" i="5"/>
  <c r="AR250" i="5" s="1"/>
  <c r="AD117" i="5"/>
  <c r="AS117" i="5" s="1"/>
  <c r="AC117" i="5"/>
  <c r="AR117" i="5" s="1"/>
  <c r="AD239" i="5"/>
  <c r="AS239" i="5" s="1"/>
  <c r="AC239" i="5"/>
  <c r="AR239" i="5" s="1"/>
  <c r="AD274" i="5"/>
  <c r="AS274" i="5" s="1"/>
  <c r="AC274" i="5"/>
  <c r="AR274" i="5" s="1"/>
  <c r="AD44" i="5"/>
  <c r="AS44" i="5" s="1"/>
  <c r="AC44" i="5"/>
  <c r="AR44" i="5" s="1"/>
  <c r="AD84" i="5"/>
  <c r="AS84" i="5" s="1"/>
  <c r="AC84" i="5"/>
  <c r="AR84" i="5" s="1"/>
  <c r="AD177" i="5"/>
  <c r="AS177" i="5" s="1"/>
  <c r="AC177" i="5"/>
  <c r="AR177" i="5" s="1"/>
  <c r="AD213" i="5"/>
  <c r="AS213" i="5" s="1"/>
  <c r="AC213" i="5"/>
  <c r="AR213" i="5" s="1"/>
  <c r="AD271" i="5"/>
  <c r="AS271" i="5" s="1"/>
  <c r="AC271" i="5"/>
  <c r="AR271" i="5" s="1"/>
  <c r="AD336" i="5"/>
  <c r="AS336" i="5" s="1"/>
  <c r="AC336" i="5"/>
  <c r="AR336" i="5" s="1"/>
  <c r="AD335" i="5"/>
  <c r="AS335" i="5" s="1"/>
  <c r="AC335" i="5"/>
  <c r="AR335" i="5" s="1"/>
  <c r="AD139" i="5"/>
  <c r="AS139" i="5" s="1"/>
  <c r="AC139" i="5"/>
  <c r="AR139" i="5" s="1"/>
  <c r="AD83" i="5"/>
  <c r="AS83" i="5" s="1"/>
  <c r="AC83" i="5"/>
  <c r="AR83" i="5" s="1"/>
  <c r="AD154" i="5"/>
  <c r="AS154" i="5" s="1"/>
  <c r="AC154" i="5"/>
  <c r="AR154" i="5" s="1"/>
  <c r="AD272" i="5"/>
  <c r="AS272" i="5" s="1"/>
  <c r="AC272" i="5"/>
  <c r="AR272" i="5" s="1"/>
  <c r="AD286" i="5"/>
  <c r="AS286" i="5" s="1"/>
  <c r="AC286" i="5"/>
  <c r="AR286" i="5" s="1"/>
  <c r="AD333" i="5"/>
  <c r="AS333" i="5" s="1"/>
  <c r="AC333" i="5"/>
  <c r="AR333" i="5" s="1"/>
  <c r="AD35" i="5"/>
  <c r="AS35" i="5" s="1"/>
  <c r="AC35" i="5"/>
  <c r="AR35" i="5" s="1"/>
  <c r="AD252" i="5"/>
  <c r="AS252" i="5" s="1"/>
  <c r="AC252" i="5"/>
  <c r="AR252" i="5" s="1"/>
  <c r="AD299" i="5"/>
  <c r="AS299" i="5" s="1"/>
  <c r="AC299" i="5"/>
  <c r="AR299" i="5" s="1"/>
  <c r="AD319" i="5"/>
  <c r="AS319" i="5" s="1"/>
  <c r="AC319" i="5"/>
  <c r="AR319" i="5" s="1"/>
  <c r="AD36" i="5"/>
  <c r="AS36" i="5" s="1"/>
  <c r="AC36" i="5"/>
  <c r="AR36" i="5" s="1"/>
  <c r="AD324" i="5"/>
  <c r="AS324" i="5" s="1"/>
  <c r="AC324" i="5"/>
  <c r="AR324" i="5" s="1"/>
  <c r="AD190" i="5"/>
  <c r="AS190" i="5" s="1"/>
  <c r="AC190" i="5"/>
  <c r="AR190" i="5" s="1"/>
  <c r="AD103" i="5"/>
  <c r="AS103" i="5" s="1"/>
  <c r="AC103" i="5"/>
  <c r="AR103" i="5" s="1"/>
  <c r="AD225" i="5"/>
  <c r="AS225" i="5" s="1"/>
  <c r="AC225" i="5"/>
  <c r="AR225" i="5" s="1"/>
  <c r="AD107" i="5"/>
  <c r="AS107" i="5" s="1"/>
  <c r="AC107" i="5"/>
  <c r="AR107" i="5" s="1"/>
  <c r="AD131" i="5"/>
  <c r="AS131" i="5" s="1"/>
  <c r="AC131" i="5"/>
  <c r="AR131" i="5" s="1"/>
  <c r="AD321" i="5"/>
  <c r="AS321" i="5" s="1"/>
  <c r="AC321" i="5"/>
  <c r="AR321" i="5" s="1"/>
  <c r="AD216" i="5"/>
  <c r="AS216" i="5" s="1"/>
  <c r="AC216" i="5"/>
  <c r="AR216" i="5" s="1"/>
  <c r="AD248" i="5"/>
  <c r="AS248" i="5" s="1"/>
  <c r="AC248" i="5"/>
  <c r="AR248" i="5" s="1"/>
  <c r="AD12" i="5"/>
  <c r="AS12" i="5" s="1"/>
  <c r="AC12" i="5"/>
  <c r="AR12" i="5" s="1"/>
  <c r="AD22" i="5"/>
  <c r="AS22" i="5" s="1"/>
  <c r="AC22" i="5"/>
  <c r="AR22" i="5" s="1"/>
  <c r="AD96" i="5"/>
  <c r="AS96" i="5" s="1"/>
  <c r="AC96" i="5"/>
  <c r="AR96" i="5" s="1"/>
  <c r="AD105" i="5"/>
  <c r="AS105" i="5" s="1"/>
  <c r="AC105" i="5"/>
  <c r="AR105" i="5" s="1"/>
  <c r="AD118" i="5"/>
  <c r="AS118" i="5" s="1"/>
  <c r="AC118" i="5"/>
  <c r="AR118" i="5" s="1"/>
  <c r="AD128" i="5"/>
  <c r="AS128" i="5" s="1"/>
  <c r="AC128" i="5"/>
  <c r="AR128" i="5" s="1"/>
  <c r="AD164" i="5"/>
  <c r="AS164" i="5" s="1"/>
  <c r="AC164" i="5"/>
  <c r="AR164" i="5" s="1"/>
  <c r="AD8" i="5"/>
  <c r="AS8" i="5" s="1"/>
  <c r="AC8" i="5"/>
  <c r="AR8" i="5" s="1"/>
  <c r="AD34" i="5"/>
  <c r="AS34" i="5" s="1"/>
  <c r="AC34" i="5"/>
  <c r="AR34" i="5" s="1"/>
  <c r="AD227" i="5"/>
  <c r="AS227" i="5" s="1"/>
  <c r="AC227" i="5"/>
  <c r="AR227" i="5" s="1"/>
  <c r="AD262" i="5"/>
  <c r="AS262" i="5" s="1"/>
  <c r="AC262" i="5"/>
  <c r="AR262" i="5" s="1"/>
  <c r="AD106" i="5"/>
  <c r="AS106" i="5" s="1"/>
  <c r="AC106" i="5"/>
  <c r="AR106" i="5" s="1"/>
  <c r="AD176" i="5"/>
  <c r="AS176" i="5" s="1"/>
  <c r="AC176" i="5"/>
  <c r="AR176" i="5" s="1"/>
  <c r="AD192" i="5"/>
  <c r="AS192" i="5" s="1"/>
  <c r="AC192" i="5"/>
  <c r="AR192" i="5" s="1"/>
  <c r="AD224" i="5"/>
  <c r="AS224" i="5" s="1"/>
  <c r="AC224" i="5"/>
  <c r="AR224" i="5" s="1"/>
  <c r="AD69" i="5"/>
  <c r="AS69" i="5" s="1"/>
  <c r="AC69" i="5"/>
  <c r="AR69" i="5" s="1"/>
  <c r="AD215" i="5"/>
  <c r="AS215" i="5" s="1"/>
  <c r="AC215" i="5"/>
  <c r="AR215" i="5" s="1"/>
  <c r="AD47" i="5"/>
  <c r="AS47" i="5" s="1"/>
  <c r="AC47" i="5"/>
  <c r="AR47" i="5" s="1"/>
  <c r="AD79" i="5"/>
  <c r="AS79" i="5" s="1"/>
  <c r="AC79" i="5"/>
  <c r="AR79" i="5" s="1"/>
  <c r="AD259" i="5"/>
  <c r="AS259" i="5" s="1"/>
  <c r="AC259" i="5"/>
  <c r="AR259" i="5" s="1"/>
  <c r="AD275" i="5"/>
  <c r="AS275" i="5" s="1"/>
  <c r="AC275" i="5"/>
  <c r="AR275" i="5" s="1"/>
  <c r="AD307" i="5"/>
  <c r="AS307" i="5" s="1"/>
  <c r="AC307" i="5"/>
  <c r="AR307" i="5" s="1"/>
  <c r="AD165" i="5"/>
  <c r="AS165" i="5" s="1"/>
  <c r="AC165" i="5"/>
  <c r="AR165" i="5" s="1"/>
  <c r="AD179" i="5"/>
  <c r="AS179" i="5" s="1"/>
  <c r="AC179" i="5"/>
  <c r="AR179" i="5" s="1"/>
  <c r="AD309" i="5"/>
  <c r="AS309" i="5" s="1"/>
  <c r="AC309" i="5"/>
  <c r="AR309" i="5" s="1"/>
  <c r="AD67" i="5"/>
  <c r="AS67" i="5" s="1"/>
  <c r="AC67" i="5"/>
  <c r="AR67" i="5" s="1"/>
  <c r="AD115" i="5"/>
  <c r="AS115" i="5" s="1"/>
  <c r="AC115" i="5"/>
  <c r="AR115" i="5" s="1"/>
  <c r="AD155" i="5"/>
  <c r="AS155" i="5" s="1"/>
  <c r="AC155" i="5"/>
  <c r="AR155" i="5" s="1"/>
  <c r="AD273" i="5"/>
  <c r="AS273" i="5" s="1"/>
  <c r="AC273" i="5"/>
  <c r="AR273" i="5" s="1"/>
  <c r="AD287" i="5"/>
  <c r="AS287" i="5" s="1"/>
  <c r="AC287" i="5"/>
  <c r="AR287" i="5" s="1"/>
  <c r="AD344" i="5"/>
  <c r="AS344" i="5" s="1"/>
  <c r="AC344" i="5"/>
  <c r="AR344" i="5" s="1"/>
  <c r="AD260" i="5"/>
  <c r="AS260" i="5" s="1"/>
  <c r="AC260" i="5"/>
  <c r="AR260" i="5" s="1"/>
  <c r="AD288" i="5"/>
  <c r="AS288" i="5" s="1"/>
  <c r="AC288" i="5"/>
  <c r="AR288" i="5" s="1"/>
  <c r="AD214" i="5"/>
  <c r="AS214" i="5" s="1"/>
  <c r="AC214" i="5"/>
  <c r="AR214" i="5" s="1"/>
  <c r="AD71" i="5"/>
  <c r="AS71" i="5" s="1"/>
  <c r="AC71" i="5"/>
  <c r="AR71" i="5" s="1"/>
  <c r="AD129" i="5"/>
  <c r="AS129" i="5" s="1"/>
  <c r="AC129" i="5"/>
  <c r="AR129" i="5" s="1"/>
  <c r="AD21" i="5"/>
  <c r="AS21" i="5" s="1"/>
  <c r="AC21" i="5"/>
  <c r="AR21" i="5" s="1"/>
  <c r="AD60" i="5"/>
  <c r="AS60" i="5" s="1"/>
  <c r="AC60" i="5"/>
  <c r="AR60" i="5" s="1"/>
  <c r="AD23" i="5"/>
  <c r="AS23" i="5" s="1"/>
  <c r="AC23" i="5"/>
  <c r="AR23" i="5" s="1"/>
  <c r="AD238" i="5"/>
  <c r="AS238" i="5" s="1"/>
  <c r="AC238" i="5"/>
  <c r="AR238" i="5" s="1"/>
  <c r="AD283" i="5"/>
  <c r="AS283" i="5" s="1"/>
  <c r="AC283" i="5"/>
  <c r="AR283" i="5" s="1"/>
  <c r="AD346" i="5"/>
  <c r="AS346" i="5" s="1"/>
  <c r="AC346" i="5"/>
  <c r="AR346" i="5" s="1"/>
  <c r="AD127" i="5"/>
  <c r="AS127" i="5" s="1"/>
  <c r="AC127" i="5"/>
  <c r="AR127" i="5" s="1"/>
  <c r="AD19" i="5"/>
  <c r="AS19" i="5" s="1"/>
  <c r="AC19" i="5"/>
  <c r="AR19" i="5" s="1"/>
  <c r="AD142" i="5"/>
  <c r="AS142" i="5" s="1"/>
  <c r="AC142" i="5"/>
  <c r="AR142" i="5" s="1"/>
  <c r="AD310" i="5"/>
  <c r="AS310" i="5" s="1"/>
  <c r="AC310" i="5"/>
  <c r="AR310" i="5" s="1"/>
  <c r="AD151" i="5"/>
  <c r="AS151" i="5" s="1"/>
  <c r="AC151" i="5"/>
  <c r="AR151" i="5" s="1"/>
  <c r="AD295" i="5"/>
  <c r="AS295" i="5" s="1"/>
  <c r="AC295" i="5"/>
  <c r="AR295" i="5" s="1"/>
  <c r="AD132" i="5"/>
  <c r="AS132" i="5" s="1"/>
  <c r="AC132" i="5"/>
  <c r="AR132" i="5" s="1"/>
  <c r="AD308" i="5"/>
  <c r="AS308" i="5" s="1"/>
  <c r="AC308" i="5"/>
  <c r="AR308" i="5" s="1"/>
  <c r="AD297" i="5"/>
  <c r="AS297" i="5" s="1"/>
  <c r="AC297" i="5"/>
  <c r="AR297" i="5" s="1"/>
  <c r="AD91" i="5"/>
  <c r="AS91" i="5" s="1"/>
  <c r="AC91" i="5"/>
  <c r="AR91" i="5" s="1"/>
  <c r="AD7" i="5"/>
  <c r="AS7" i="5" s="1"/>
  <c r="AC7" i="5"/>
  <c r="AR7" i="5" s="1"/>
  <c r="AD345" i="5"/>
  <c r="AS345" i="5" s="1"/>
  <c r="AC345" i="5"/>
  <c r="AR345" i="5" s="1"/>
  <c r="AD119" i="5"/>
  <c r="AS119" i="5" s="1"/>
  <c r="AC119" i="5"/>
  <c r="AR119" i="5" s="1"/>
  <c r="Y74" i="5"/>
  <c r="AN74" i="5" s="1"/>
  <c r="AD74" i="5"/>
  <c r="AS74" i="5" s="1"/>
  <c r="Z37" i="5"/>
  <c r="AO37" i="5" s="1"/>
  <c r="AD37" i="5"/>
  <c r="AS37" i="5" s="1"/>
  <c r="AE339" i="5"/>
  <c r="AT339" i="5" s="1"/>
  <c r="AD339" i="5"/>
  <c r="AS339" i="5" s="1"/>
  <c r="AB285" i="5"/>
  <c r="AQ285" i="5" s="1"/>
  <c r="AD285" i="5"/>
  <c r="AS285" i="5" s="1"/>
  <c r="AB334" i="5"/>
  <c r="AQ334" i="5" s="1"/>
  <c r="AD334" i="5"/>
  <c r="AS334" i="5" s="1"/>
  <c r="Q269" i="5"/>
  <c r="AD269" i="5"/>
  <c r="AS269" i="5" s="1"/>
  <c r="Y256" i="5"/>
  <c r="AN256" i="5" s="1"/>
  <c r="AD256" i="5"/>
  <c r="AS256" i="5" s="1"/>
  <c r="AB348" i="5"/>
  <c r="AQ348" i="5" s="1"/>
  <c r="AD348" i="5"/>
  <c r="AS348" i="5" s="1"/>
  <c r="Q18" i="5"/>
  <c r="AD18" i="5"/>
  <c r="AS18" i="5" s="1"/>
  <c r="Q196" i="5"/>
  <c r="AD196" i="5"/>
  <c r="AS196" i="5" s="1"/>
  <c r="AA109" i="5"/>
  <c r="AP109" i="5" s="1"/>
  <c r="AD109" i="5"/>
  <c r="AS109" i="5" s="1"/>
  <c r="W219" i="5"/>
  <c r="AL219" i="5" s="1"/>
  <c r="AD219" i="5"/>
  <c r="AS219" i="5" s="1"/>
  <c r="Q26" i="5"/>
  <c r="AD26" i="5"/>
  <c r="AS26" i="5" s="1"/>
  <c r="T90" i="5"/>
  <c r="AI90" i="5" s="1"/>
  <c r="AD90" i="5"/>
  <c r="AS90" i="5" s="1"/>
  <c r="Z169" i="5"/>
  <c r="AO169" i="5" s="1"/>
  <c r="AD169" i="5"/>
  <c r="AS169" i="5" s="1"/>
  <c r="Q186" i="5"/>
  <c r="AD186" i="5"/>
  <c r="AS186" i="5" s="1"/>
  <c r="U218" i="5"/>
  <c r="AJ218" i="5" s="1"/>
  <c r="AD218" i="5"/>
  <c r="AS218" i="5" s="1"/>
  <c r="V234" i="5"/>
  <c r="AK234" i="5" s="1"/>
  <c r="AD234" i="5"/>
  <c r="AS234" i="5" s="1"/>
  <c r="Q53" i="5"/>
  <c r="AD53" i="5"/>
  <c r="AS53" i="5" s="1"/>
  <c r="Q171" i="5"/>
  <c r="AD171" i="5"/>
  <c r="AS171" i="5" s="1"/>
  <c r="V207" i="5"/>
  <c r="AK207" i="5" s="1"/>
  <c r="AD207" i="5"/>
  <c r="AS207" i="5" s="1"/>
  <c r="Z76" i="5"/>
  <c r="AO76" i="5" s="1"/>
  <c r="AD76" i="5"/>
  <c r="AS76" i="5" s="1"/>
  <c r="AB108" i="5"/>
  <c r="AQ108" i="5" s="1"/>
  <c r="AD108" i="5"/>
  <c r="AS108" i="5" s="1"/>
  <c r="AB143" i="5"/>
  <c r="AQ143" i="5" s="1"/>
  <c r="AD143" i="5"/>
  <c r="AS143" i="5" s="1"/>
  <c r="AB166" i="5"/>
  <c r="AQ166" i="5" s="1"/>
  <c r="AD166" i="5"/>
  <c r="AS166" i="5" s="1"/>
  <c r="Z268" i="5"/>
  <c r="AO268" i="5" s="1"/>
  <c r="AD268" i="5"/>
  <c r="AS268" i="5" s="1"/>
  <c r="AB284" i="5"/>
  <c r="AQ284" i="5" s="1"/>
  <c r="AD284" i="5"/>
  <c r="AS284" i="5" s="1"/>
  <c r="AB306" i="5"/>
  <c r="AQ306" i="5" s="1"/>
  <c r="AD306" i="5"/>
  <c r="AS306" i="5" s="1"/>
  <c r="AB323" i="5"/>
  <c r="AQ323" i="5" s="1"/>
  <c r="AD323" i="5"/>
  <c r="AS323" i="5" s="1"/>
  <c r="Q158" i="5"/>
  <c r="AD158" i="5"/>
  <c r="AS158" i="5" s="1"/>
  <c r="T292" i="5"/>
  <c r="AD292" i="5"/>
  <c r="AS292" i="5" s="1"/>
  <c r="U305" i="5"/>
  <c r="AD305" i="5"/>
  <c r="AS305" i="5" s="1"/>
  <c r="R330" i="5"/>
  <c r="AD330" i="5"/>
  <c r="AS330" i="5" s="1"/>
  <c r="T181" i="5"/>
  <c r="AI181" i="5" s="1"/>
  <c r="AD181" i="5"/>
  <c r="AS181" i="5" s="1"/>
  <c r="V304" i="5"/>
  <c r="AK304" i="5" s="1"/>
  <c r="AD304" i="5"/>
  <c r="AS304" i="5" s="1"/>
  <c r="Z182" i="5"/>
  <c r="AO182" i="5" s="1"/>
  <c r="AD182" i="5"/>
  <c r="AS182" i="5" s="1"/>
  <c r="AB249" i="5"/>
  <c r="AQ249" i="5" s="1"/>
  <c r="AD249" i="5"/>
  <c r="AS249" i="5" s="1"/>
  <c r="Q313" i="5"/>
  <c r="AD313" i="5"/>
  <c r="AS313" i="5" s="1"/>
  <c r="AB206" i="5"/>
  <c r="AQ206" i="5" s="1"/>
  <c r="AD206" i="5"/>
  <c r="AS206" i="5" s="1"/>
  <c r="U257" i="5"/>
  <c r="AJ257" i="5" s="1"/>
  <c r="AD257" i="5"/>
  <c r="AS257" i="5" s="1"/>
  <c r="AA205" i="5"/>
  <c r="AP205" i="5" s="1"/>
  <c r="AD205" i="5"/>
  <c r="AS205" i="5" s="1"/>
  <c r="Q75" i="5"/>
  <c r="AD75" i="5"/>
  <c r="AS75" i="5" s="1"/>
  <c r="U43" i="5"/>
  <c r="AJ43" i="5" s="1"/>
  <c r="AD43" i="5"/>
  <c r="AS43" i="5" s="1"/>
  <c r="R25" i="5"/>
  <c r="AG25" i="5" s="1"/>
  <c r="AD25" i="5"/>
  <c r="AS25" i="5" s="1"/>
  <c r="V38" i="5"/>
  <c r="AK38" i="5" s="1"/>
  <c r="AD38" i="5"/>
  <c r="AS38" i="5" s="1"/>
  <c r="AB80" i="5"/>
  <c r="AQ80" i="5" s="1"/>
  <c r="AD80" i="5"/>
  <c r="AS80" i="5" s="1"/>
  <c r="S102" i="5"/>
  <c r="AH102" i="5" s="1"/>
  <c r="AD102" i="5"/>
  <c r="AS102" i="5" s="1"/>
  <c r="AB148" i="5"/>
  <c r="AQ148" i="5" s="1"/>
  <c r="AD148" i="5"/>
  <c r="AS148" i="5" s="1"/>
  <c r="AE13" i="5"/>
  <c r="AT13" i="5" s="1"/>
  <c r="AD13" i="5"/>
  <c r="AS13" i="5" s="1"/>
  <c r="Z220" i="5"/>
  <c r="AO220" i="5" s="1"/>
  <c r="AD220" i="5"/>
  <c r="AS220" i="5" s="1"/>
  <c r="AB93" i="5"/>
  <c r="AQ93" i="5" s="1"/>
  <c r="AD93" i="5"/>
  <c r="AS93" i="5" s="1"/>
  <c r="AB211" i="5"/>
  <c r="AQ211" i="5" s="1"/>
  <c r="AD211" i="5"/>
  <c r="AS211" i="5" s="1"/>
  <c r="W278" i="5"/>
  <c r="AD278" i="5"/>
  <c r="AS278" i="5" s="1"/>
  <c r="X184" i="5"/>
  <c r="AM184" i="5" s="1"/>
  <c r="AD184" i="5"/>
  <c r="AS184" i="5" s="1"/>
  <c r="AB200" i="5"/>
  <c r="AQ200" i="5" s="1"/>
  <c r="AD200" i="5"/>
  <c r="AS200" i="5" s="1"/>
  <c r="AB101" i="5"/>
  <c r="AQ101" i="5" s="1"/>
  <c r="AD101" i="5"/>
  <c r="AS101" i="5" s="1"/>
  <c r="AB199" i="5"/>
  <c r="AQ199" i="5" s="1"/>
  <c r="AD199" i="5"/>
  <c r="AS199" i="5" s="1"/>
  <c r="AB266" i="5"/>
  <c r="AQ266" i="5" s="1"/>
  <c r="AD266" i="5"/>
  <c r="AS266" i="5" s="1"/>
  <c r="Q63" i="5"/>
  <c r="AD63" i="5"/>
  <c r="AS63" i="5" s="1"/>
  <c r="AB281" i="5"/>
  <c r="AQ281" i="5" s="1"/>
  <c r="AD281" i="5"/>
  <c r="AS281" i="5" s="1"/>
  <c r="AB300" i="5"/>
  <c r="AQ300" i="5" s="1"/>
  <c r="AD300" i="5"/>
  <c r="AS300" i="5" s="1"/>
  <c r="R136" i="5"/>
  <c r="AG136" i="5" s="1"/>
  <c r="AD136" i="5"/>
  <c r="AS136" i="5" s="1"/>
  <c r="Y303" i="5"/>
  <c r="AN303" i="5" s="1"/>
  <c r="AD303" i="5"/>
  <c r="AS303" i="5" s="1"/>
  <c r="Q294" i="5"/>
  <c r="AD294" i="5"/>
  <c r="AS294" i="5" s="1"/>
  <c r="Y51" i="5"/>
  <c r="AN51" i="5" s="1"/>
  <c r="AD51" i="5"/>
  <c r="AS51" i="5" s="1"/>
  <c r="R173" i="5"/>
  <c r="AD173" i="5"/>
  <c r="AS173" i="5" s="1"/>
  <c r="W279" i="5"/>
  <c r="AD279" i="5"/>
  <c r="AS279" i="5" s="1"/>
  <c r="X15" i="5"/>
  <c r="AM15" i="5" s="1"/>
  <c r="AD15" i="5"/>
  <c r="AS15" i="5" s="1"/>
  <c r="Q146" i="5"/>
  <c r="AD146" i="5"/>
  <c r="AS146" i="5" s="1"/>
  <c r="Z255" i="5"/>
  <c r="AO255" i="5" s="1"/>
  <c r="AD255" i="5"/>
  <c r="AS255" i="5" s="1"/>
  <c r="Q17" i="5"/>
  <c r="AD17" i="5"/>
  <c r="AS17" i="5" s="1"/>
  <c r="U40" i="5"/>
  <c r="AJ40" i="5" s="1"/>
  <c r="AD40" i="5"/>
  <c r="AS40" i="5" s="1"/>
  <c r="Q126" i="5"/>
  <c r="AD126" i="5"/>
  <c r="AS126" i="5" s="1"/>
  <c r="AB32" i="5"/>
  <c r="AQ32" i="5" s="1"/>
  <c r="AD32" i="5"/>
  <c r="AS32" i="5" s="1"/>
  <c r="Q41" i="5"/>
  <c r="AD41" i="5"/>
  <c r="AS41" i="5" s="1"/>
  <c r="Q54" i="5"/>
  <c r="AD54" i="5"/>
  <c r="AS54" i="5" s="1"/>
  <c r="W64" i="5"/>
  <c r="AL64" i="5" s="1"/>
  <c r="AD64" i="5"/>
  <c r="AS64" i="5" s="1"/>
  <c r="AE73" i="5"/>
  <c r="AT73" i="5" s="1"/>
  <c r="AD73" i="5"/>
  <c r="AS73" i="5" s="1"/>
  <c r="AA86" i="5"/>
  <c r="AP86" i="5" s="1"/>
  <c r="AD86" i="5"/>
  <c r="AS86" i="5" s="1"/>
  <c r="T98" i="5"/>
  <c r="AI98" i="5" s="1"/>
  <c r="AD98" i="5"/>
  <c r="AS98" i="5" s="1"/>
  <c r="Z160" i="5"/>
  <c r="AO160" i="5" s="1"/>
  <c r="AD160" i="5"/>
  <c r="AS160" i="5" s="1"/>
  <c r="AB204" i="5"/>
  <c r="AQ204" i="5" s="1"/>
  <c r="AD204" i="5"/>
  <c r="AS204" i="5" s="1"/>
  <c r="AB236" i="5"/>
  <c r="AQ236" i="5" s="1"/>
  <c r="AD236" i="5"/>
  <c r="AS236" i="5" s="1"/>
  <c r="AB61" i="5"/>
  <c r="AQ61" i="5" s="1"/>
  <c r="AD61" i="5"/>
  <c r="AS61" i="5" s="1"/>
  <c r="U125" i="5"/>
  <c r="AJ125" i="5" s="1"/>
  <c r="AD125" i="5"/>
  <c r="AS125" i="5" s="1"/>
  <c r="AB195" i="5"/>
  <c r="AQ195" i="5" s="1"/>
  <c r="AD195" i="5"/>
  <c r="AS195" i="5" s="1"/>
  <c r="U42" i="5"/>
  <c r="AJ42" i="5" s="1"/>
  <c r="AD42" i="5"/>
  <c r="AS42" i="5" s="1"/>
  <c r="R208" i="5"/>
  <c r="AD208" i="5"/>
  <c r="AS208" i="5" s="1"/>
  <c r="AB240" i="5"/>
  <c r="AQ240" i="5" s="1"/>
  <c r="AD240" i="5"/>
  <c r="AS240" i="5" s="1"/>
  <c r="AB254" i="5"/>
  <c r="AQ254" i="5" s="1"/>
  <c r="AD254" i="5"/>
  <c r="AS254" i="5" s="1"/>
  <c r="AB133" i="5"/>
  <c r="AQ133" i="5" s="1"/>
  <c r="AD133" i="5"/>
  <c r="AS133" i="5" s="1"/>
  <c r="T183" i="5"/>
  <c r="AI183" i="5" s="1"/>
  <c r="AD183" i="5"/>
  <c r="AS183" i="5" s="1"/>
  <c r="AB247" i="5"/>
  <c r="AQ247" i="5" s="1"/>
  <c r="AD247" i="5"/>
  <c r="AS247" i="5" s="1"/>
  <c r="AB282" i="5"/>
  <c r="AQ282" i="5" s="1"/>
  <c r="AD282" i="5"/>
  <c r="AS282" i="5" s="1"/>
  <c r="Q111" i="5"/>
  <c r="AD111" i="5"/>
  <c r="AS111" i="5" s="1"/>
  <c r="V147" i="5"/>
  <c r="AK147" i="5" s="1"/>
  <c r="AD147" i="5"/>
  <c r="AS147" i="5" s="1"/>
  <c r="R290" i="5"/>
  <c r="AD290" i="5"/>
  <c r="AS290" i="5" s="1"/>
  <c r="AB332" i="5"/>
  <c r="AQ332" i="5" s="1"/>
  <c r="AD332" i="5"/>
  <c r="AS332" i="5" s="1"/>
  <c r="AB20" i="5"/>
  <c r="AQ20" i="5" s="1"/>
  <c r="AD20" i="5"/>
  <c r="AS20" i="5" s="1"/>
  <c r="AB116" i="5"/>
  <c r="AQ116" i="5" s="1"/>
  <c r="AD116" i="5"/>
  <c r="AS116" i="5" s="1"/>
  <c r="Q221" i="5"/>
  <c r="AD221" i="5"/>
  <c r="AS221" i="5" s="1"/>
  <c r="AB277" i="5"/>
  <c r="AQ277" i="5" s="1"/>
  <c r="AD277" i="5"/>
  <c r="AS277" i="5" s="1"/>
  <c r="AB296" i="5"/>
  <c r="AQ296" i="5" s="1"/>
  <c r="AD296" i="5"/>
  <c r="AS296" i="5" s="1"/>
  <c r="AB326" i="5"/>
  <c r="AQ326" i="5" s="1"/>
  <c r="AD326" i="5"/>
  <c r="AS326" i="5" s="1"/>
  <c r="S341" i="5"/>
  <c r="AD341" i="5"/>
  <c r="AS341" i="5" s="1"/>
  <c r="AB340" i="5"/>
  <c r="AQ340" i="5" s="1"/>
  <c r="AD340" i="5"/>
  <c r="AS340" i="5" s="1"/>
  <c r="T230" i="5"/>
  <c r="AI230" i="5" s="1"/>
  <c r="AD230" i="5"/>
  <c r="AS230" i="5" s="1"/>
  <c r="AB175" i="5"/>
  <c r="AQ175" i="5" s="1"/>
  <c r="AD175" i="5"/>
  <c r="AS175" i="5" s="1"/>
  <c r="AA197" i="5"/>
  <c r="AP197" i="5" s="1"/>
  <c r="AD197" i="5"/>
  <c r="AS197" i="5" s="1"/>
  <c r="AB261" i="5"/>
  <c r="AQ261" i="5" s="1"/>
  <c r="AD261" i="5"/>
  <c r="AS261" i="5" s="1"/>
  <c r="AB320" i="5"/>
  <c r="AQ320" i="5" s="1"/>
  <c r="AD320" i="5"/>
  <c r="AS320" i="5" s="1"/>
  <c r="X245" i="5"/>
  <c r="AM245" i="5" s="1"/>
  <c r="AD245" i="5"/>
  <c r="AS245" i="5" s="1"/>
  <c r="Q99" i="5"/>
  <c r="AD99" i="5"/>
  <c r="AS99" i="5" s="1"/>
  <c r="W301" i="5"/>
  <c r="AD301" i="5"/>
  <c r="AS301" i="5" s="1"/>
  <c r="T342" i="5"/>
  <c r="AD342" i="5"/>
  <c r="AS342" i="5" s="1"/>
  <c r="AB68" i="5"/>
  <c r="AQ68" i="5" s="1"/>
  <c r="AD68" i="5"/>
  <c r="AS68" i="5" s="1"/>
  <c r="Q328" i="5"/>
  <c r="AD328" i="5"/>
  <c r="AS328" i="5" s="1"/>
  <c r="R123" i="5"/>
  <c r="AG123" i="5" s="1"/>
  <c r="AD123" i="5"/>
  <c r="AS123" i="5" s="1"/>
  <c r="V317" i="5"/>
  <c r="AD317" i="5"/>
  <c r="AS317" i="5" s="1"/>
  <c r="Q217" i="5"/>
  <c r="AD217" i="5"/>
  <c r="AS217" i="5" s="1"/>
  <c r="Q209" i="5"/>
  <c r="AD209" i="5"/>
  <c r="AS209" i="5" s="1"/>
  <c r="Q150" i="5"/>
  <c r="AD150" i="5"/>
  <c r="AS150" i="5" s="1"/>
  <c r="Q87" i="5"/>
  <c r="AD87" i="5"/>
  <c r="AS87" i="5" s="1"/>
  <c r="T237" i="5"/>
  <c r="AI237" i="5" s="1"/>
  <c r="AD237" i="5"/>
  <c r="AS237" i="5" s="1"/>
  <c r="U16" i="5"/>
  <c r="AJ16" i="5" s="1"/>
  <c r="AD16" i="5"/>
  <c r="AS16" i="5" s="1"/>
  <c r="AE89" i="5"/>
  <c r="AT89" i="5" s="1"/>
  <c r="AD89" i="5"/>
  <c r="AS89" i="5" s="1"/>
  <c r="W112" i="5"/>
  <c r="AL112" i="5" s="1"/>
  <c r="AD112" i="5"/>
  <c r="AS112" i="5" s="1"/>
  <c r="T121" i="5"/>
  <c r="AI121" i="5" s="1"/>
  <c r="AD121" i="5"/>
  <c r="AS121" i="5" s="1"/>
  <c r="Q137" i="5"/>
  <c r="AD137" i="5"/>
  <c r="AS137" i="5" s="1"/>
  <c r="R66" i="5"/>
  <c r="AD66" i="5"/>
  <c r="AS66" i="5" s="1"/>
  <c r="AB188" i="5"/>
  <c r="AQ188" i="5" s="1"/>
  <c r="AD188" i="5"/>
  <c r="AS188" i="5" s="1"/>
  <c r="Y29" i="5"/>
  <c r="AN29" i="5" s="1"/>
  <c r="AD29" i="5"/>
  <c r="AS29" i="5" s="1"/>
  <c r="V243" i="5"/>
  <c r="AK243" i="5" s="1"/>
  <c r="AD243" i="5"/>
  <c r="AS243" i="5" s="1"/>
  <c r="AB144" i="5"/>
  <c r="AQ144" i="5" s="1"/>
  <c r="AD144" i="5"/>
  <c r="AS144" i="5" s="1"/>
  <c r="W232" i="5"/>
  <c r="AL232" i="5" s="1"/>
  <c r="AD232" i="5"/>
  <c r="AS232" i="5" s="1"/>
  <c r="S231" i="5"/>
  <c r="AH231" i="5" s="1"/>
  <c r="AD231" i="5"/>
  <c r="AS231" i="5" s="1"/>
  <c r="Z265" i="5"/>
  <c r="AD265" i="5"/>
  <c r="AS265" i="5" s="1"/>
  <c r="R52" i="5"/>
  <c r="AG52" i="5" s="1"/>
  <c r="AD52" i="5"/>
  <c r="AS52" i="5" s="1"/>
  <c r="X174" i="5"/>
  <c r="AM174" i="5" s="1"/>
  <c r="AD174" i="5"/>
  <c r="AS174" i="5" s="1"/>
  <c r="U241" i="5"/>
  <c r="AJ241" i="5" s="1"/>
  <c r="AD241" i="5"/>
  <c r="AS241" i="5" s="1"/>
  <c r="AE329" i="5"/>
  <c r="AT329" i="5" s="1"/>
  <c r="AD329" i="5"/>
  <c r="AS329" i="5" s="1"/>
  <c r="AE138" i="5"/>
  <c r="AT138" i="5" s="1"/>
  <c r="AD138" i="5"/>
  <c r="AS138" i="5" s="1"/>
  <c r="AB135" i="5"/>
  <c r="AQ135" i="5" s="1"/>
  <c r="AD135" i="5"/>
  <c r="AS135" i="5" s="1"/>
  <c r="W149" i="5"/>
  <c r="AL149" i="5" s="1"/>
  <c r="AD149" i="5"/>
  <c r="AS149" i="5" s="1"/>
  <c r="AB246" i="5"/>
  <c r="AQ246" i="5" s="1"/>
  <c r="AD246" i="5"/>
  <c r="AS246" i="5" s="1"/>
  <c r="W157" i="5"/>
  <c r="AL157" i="5" s="1"/>
  <c r="AD157" i="5"/>
  <c r="AS157" i="5" s="1"/>
  <c r="X229" i="5"/>
  <c r="AM229" i="5" s="1"/>
  <c r="AD229" i="5"/>
  <c r="AS229" i="5" s="1"/>
  <c r="T315" i="5"/>
  <c r="AD315" i="5"/>
  <c r="AS315" i="5" s="1"/>
  <c r="X59" i="5"/>
  <c r="AM59" i="5" s="1"/>
  <c r="AD59" i="5"/>
  <c r="AS59" i="5" s="1"/>
  <c r="Q337" i="5"/>
  <c r="AD337" i="5"/>
  <c r="AS337" i="5" s="1"/>
  <c r="Q289" i="5"/>
  <c r="AD289" i="5"/>
  <c r="AS289" i="5" s="1"/>
  <c r="W30" i="5"/>
  <c r="AL30" i="5" s="1"/>
  <c r="AD30" i="5"/>
  <c r="AS30" i="5" s="1"/>
  <c r="Q49" i="5"/>
  <c r="AD49" i="5"/>
  <c r="AS49" i="5" s="1"/>
  <c r="Q62" i="5"/>
  <c r="AD62" i="5"/>
  <c r="AS62" i="5" s="1"/>
  <c r="Z113" i="5"/>
  <c r="AO113" i="5" s="1"/>
  <c r="AD113" i="5"/>
  <c r="AS113" i="5" s="1"/>
  <c r="AB82" i="5"/>
  <c r="AQ82" i="5" s="1"/>
  <c r="AD82" i="5"/>
  <c r="AS82" i="5" s="1"/>
  <c r="AB187" i="5"/>
  <c r="AQ187" i="5" s="1"/>
  <c r="AD187" i="5"/>
  <c r="AS187" i="5" s="1"/>
  <c r="T14" i="5"/>
  <c r="AI14" i="5" s="1"/>
  <c r="AD14" i="5"/>
  <c r="AS14" i="5" s="1"/>
  <c r="AB24" i="5"/>
  <c r="AQ24" i="5" s="1"/>
  <c r="AD24" i="5"/>
  <c r="AS24" i="5" s="1"/>
  <c r="AB33" i="5"/>
  <c r="AQ33" i="5" s="1"/>
  <c r="AD33" i="5"/>
  <c r="AS33" i="5" s="1"/>
  <c r="AB56" i="5"/>
  <c r="AQ56" i="5" s="1"/>
  <c r="AD56" i="5"/>
  <c r="AS56" i="5" s="1"/>
  <c r="Z65" i="5"/>
  <c r="AO65" i="5" s="1"/>
  <c r="AD65" i="5"/>
  <c r="AS65" i="5" s="1"/>
  <c r="T78" i="5"/>
  <c r="AI78" i="5" s="1"/>
  <c r="AD78" i="5"/>
  <c r="AS78" i="5" s="1"/>
  <c r="AB88" i="5"/>
  <c r="AQ88" i="5" s="1"/>
  <c r="AD88" i="5"/>
  <c r="AS88" i="5" s="1"/>
  <c r="AB97" i="5"/>
  <c r="AQ97" i="5" s="1"/>
  <c r="AD97" i="5"/>
  <c r="AS97" i="5" s="1"/>
  <c r="X110" i="5"/>
  <c r="AM110" i="5" s="1"/>
  <c r="AD110" i="5"/>
  <c r="AS110" i="5" s="1"/>
  <c r="AB120" i="5"/>
  <c r="AQ120" i="5" s="1"/>
  <c r="AD120" i="5"/>
  <c r="AS120" i="5" s="1"/>
  <c r="AB172" i="5"/>
  <c r="AQ172" i="5" s="1"/>
  <c r="AD172" i="5"/>
  <c r="AS172" i="5" s="1"/>
  <c r="AB10" i="5"/>
  <c r="AQ10" i="5" s="1"/>
  <c r="AD10" i="5"/>
  <c r="AS10" i="5" s="1"/>
  <c r="AB50" i="5"/>
  <c r="AQ50" i="5" s="1"/>
  <c r="AD50" i="5"/>
  <c r="AS50" i="5" s="1"/>
  <c r="AB114" i="5"/>
  <c r="AQ114" i="5" s="1"/>
  <c r="AD114" i="5"/>
  <c r="AS114" i="5" s="1"/>
  <c r="AB180" i="5"/>
  <c r="AQ180" i="5" s="1"/>
  <c r="AD180" i="5"/>
  <c r="AS180" i="5" s="1"/>
  <c r="AB212" i="5"/>
  <c r="AQ212" i="5" s="1"/>
  <c r="AD212" i="5"/>
  <c r="AS212" i="5" s="1"/>
  <c r="AB244" i="5"/>
  <c r="AQ244" i="5" s="1"/>
  <c r="AD244" i="5"/>
  <c r="AS244" i="5" s="1"/>
  <c r="AB77" i="5"/>
  <c r="AQ77" i="5" s="1"/>
  <c r="AD77" i="5"/>
  <c r="AS77" i="5" s="1"/>
  <c r="AA145" i="5"/>
  <c r="AP145" i="5" s="1"/>
  <c r="AD145" i="5"/>
  <c r="AS145" i="5" s="1"/>
  <c r="AB203" i="5"/>
  <c r="AQ203" i="5" s="1"/>
  <c r="AD203" i="5"/>
  <c r="AS203" i="5" s="1"/>
  <c r="AB235" i="5"/>
  <c r="AQ235" i="5" s="1"/>
  <c r="AD235" i="5"/>
  <c r="AS235" i="5" s="1"/>
  <c r="AB270" i="5"/>
  <c r="AQ270" i="5" s="1"/>
  <c r="AD270" i="5"/>
  <c r="AS270" i="5" s="1"/>
  <c r="AB58" i="5"/>
  <c r="AQ58" i="5" s="1"/>
  <c r="AD58" i="5"/>
  <c r="AS58" i="5" s="1"/>
  <c r="AB122" i="5"/>
  <c r="AQ122" i="5" s="1"/>
  <c r="AD122" i="5"/>
  <c r="AS122" i="5" s="1"/>
  <c r="AB178" i="5"/>
  <c r="AQ178" i="5" s="1"/>
  <c r="AD178" i="5"/>
  <c r="AS178" i="5" s="1"/>
  <c r="AB194" i="5"/>
  <c r="AQ194" i="5" s="1"/>
  <c r="AD194" i="5"/>
  <c r="AS194" i="5" s="1"/>
  <c r="AB210" i="5"/>
  <c r="AQ210" i="5" s="1"/>
  <c r="AD210" i="5"/>
  <c r="AS210" i="5" s="1"/>
  <c r="AB226" i="5"/>
  <c r="AQ226" i="5" s="1"/>
  <c r="AD226" i="5"/>
  <c r="AS226" i="5" s="1"/>
  <c r="AB242" i="5"/>
  <c r="AQ242" i="5" s="1"/>
  <c r="AD242" i="5"/>
  <c r="AS242" i="5" s="1"/>
  <c r="Y85" i="5"/>
  <c r="AN85" i="5" s="1"/>
  <c r="AD85" i="5"/>
  <c r="AS85" i="5" s="1"/>
  <c r="Y161" i="5"/>
  <c r="AN161" i="5" s="1"/>
  <c r="AD161" i="5"/>
  <c r="AS161" i="5" s="1"/>
  <c r="AB191" i="5"/>
  <c r="AQ191" i="5" s="1"/>
  <c r="AD191" i="5"/>
  <c r="AS191" i="5" s="1"/>
  <c r="AB223" i="5"/>
  <c r="AQ223" i="5" s="1"/>
  <c r="AD223" i="5"/>
  <c r="AS223" i="5" s="1"/>
  <c r="AB258" i="5"/>
  <c r="AQ258" i="5" s="1"/>
  <c r="AD258" i="5"/>
  <c r="AS258" i="5" s="1"/>
  <c r="AA28" i="5"/>
  <c r="AP28" i="5" s="1"/>
  <c r="AD28" i="5"/>
  <c r="AS28" i="5" s="1"/>
  <c r="AB92" i="5"/>
  <c r="AQ92" i="5" s="1"/>
  <c r="AD92" i="5"/>
  <c r="AS92" i="5" s="1"/>
  <c r="AB124" i="5"/>
  <c r="AQ124" i="5" s="1"/>
  <c r="AD124" i="5"/>
  <c r="AS124" i="5" s="1"/>
  <c r="Q159" i="5"/>
  <c r="AD159" i="5"/>
  <c r="AS159" i="5" s="1"/>
  <c r="AB264" i="5"/>
  <c r="AQ264" i="5" s="1"/>
  <c r="AD264" i="5"/>
  <c r="AS264" i="5" s="1"/>
  <c r="AB280" i="5"/>
  <c r="AQ280" i="5" s="1"/>
  <c r="AD280" i="5"/>
  <c r="AS280" i="5" s="1"/>
  <c r="AB291" i="5"/>
  <c r="AQ291" i="5" s="1"/>
  <c r="AD291" i="5"/>
  <c r="AS291" i="5" s="1"/>
  <c r="AB316" i="5"/>
  <c r="AQ316" i="5" s="1"/>
  <c r="AD316" i="5"/>
  <c r="AS316" i="5" s="1"/>
  <c r="T338" i="5"/>
  <c r="AI338" i="5" s="1"/>
  <c r="AD338" i="5"/>
  <c r="AS338" i="5" s="1"/>
  <c r="Z134" i="5"/>
  <c r="AO134" i="5" s="1"/>
  <c r="AD134" i="5"/>
  <c r="AS134" i="5" s="1"/>
  <c r="T170" i="5"/>
  <c r="AI170" i="5" s="1"/>
  <c r="AD170" i="5"/>
  <c r="AS170" i="5" s="1"/>
  <c r="U198" i="5"/>
  <c r="AJ198" i="5" s="1"/>
  <c r="AD198" i="5"/>
  <c r="AS198" i="5" s="1"/>
  <c r="Y302" i="5"/>
  <c r="AN302" i="5" s="1"/>
  <c r="AD302" i="5"/>
  <c r="AS302" i="5" s="1"/>
  <c r="T327" i="5"/>
  <c r="AD327" i="5"/>
  <c r="AS327" i="5" s="1"/>
  <c r="AB100" i="5"/>
  <c r="AQ100" i="5" s="1"/>
  <c r="AD100" i="5"/>
  <c r="AS100" i="5" s="1"/>
  <c r="W233" i="5"/>
  <c r="AL233" i="5" s="1"/>
  <c r="AD233" i="5"/>
  <c r="AS233" i="5" s="1"/>
  <c r="AB314" i="5"/>
  <c r="AQ314" i="5" s="1"/>
  <c r="AD314" i="5"/>
  <c r="AS314" i="5" s="1"/>
  <c r="Q162" i="5"/>
  <c r="AD162" i="5"/>
  <c r="AS162" i="5" s="1"/>
  <c r="R222" i="5"/>
  <c r="AG222" i="5" s="1"/>
  <c r="AD222" i="5"/>
  <c r="AS222" i="5" s="1"/>
  <c r="X267" i="5"/>
  <c r="AD267" i="5"/>
  <c r="AS267" i="5" s="1"/>
  <c r="AB276" i="5"/>
  <c r="AQ276" i="5" s="1"/>
  <c r="AD276" i="5"/>
  <c r="AS276" i="5" s="1"/>
  <c r="S325" i="5"/>
  <c r="AH325" i="5" s="1"/>
  <c r="AD325" i="5"/>
  <c r="AS325" i="5" s="1"/>
  <c r="Z253" i="5"/>
  <c r="AO253" i="5" s="1"/>
  <c r="AD253" i="5"/>
  <c r="AS253" i="5" s="1"/>
  <c r="Y293" i="5"/>
  <c r="AN293" i="5" s="1"/>
  <c r="AD293" i="5"/>
  <c r="AS293" i="5" s="1"/>
  <c r="AB343" i="5"/>
  <c r="AQ343" i="5" s="1"/>
  <c r="AD343" i="5"/>
  <c r="AS343" i="5" s="1"/>
  <c r="X318" i="5"/>
  <c r="AM318" i="5" s="1"/>
  <c r="AD318" i="5"/>
  <c r="AS318" i="5" s="1"/>
  <c r="S39" i="5"/>
  <c r="AH39" i="5" s="1"/>
  <c r="AD39" i="5"/>
  <c r="AS39" i="5" s="1"/>
  <c r="T185" i="5"/>
  <c r="AI185" i="5" s="1"/>
  <c r="AD185" i="5"/>
  <c r="AS185" i="5" s="1"/>
  <c r="Z263" i="5"/>
  <c r="AO263" i="5" s="1"/>
  <c r="AD263" i="5"/>
  <c r="AS263" i="5" s="1"/>
  <c r="Q193" i="5"/>
  <c r="AD193" i="5"/>
  <c r="AS193" i="5" s="1"/>
  <c r="Q27" i="5"/>
  <c r="AD27" i="5"/>
  <c r="AS27" i="5" s="1"/>
  <c r="Y87" i="5"/>
  <c r="AN87" i="5" s="1"/>
  <c r="P6" i="5"/>
  <c r="AC6" i="5" s="1"/>
  <c r="AR6" i="5" s="1"/>
  <c r="AA27" i="5"/>
  <c r="AP27" i="5" s="1"/>
  <c r="R59" i="5"/>
  <c r="AG59" i="5" s="1"/>
  <c r="AB136" i="5"/>
  <c r="AQ136" i="5" s="1"/>
  <c r="AE205" i="5"/>
  <c r="AT205" i="5" s="1"/>
  <c r="AB161" i="5"/>
  <c r="AQ161" i="5" s="1"/>
  <c r="AB149" i="5"/>
  <c r="AQ149" i="5" s="1"/>
  <c r="AB328" i="5"/>
  <c r="AQ328" i="5" s="1"/>
  <c r="AB42" i="5"/>
  <c r="AQ42" i="5" s="1"/>
  <c r="AB294" i="5"/>
  <c r="AQ294" i="5" s="1"/>
  <c r="AB65" i="5"/>
  <c r="AQ65" i="5" s="1"/>
  <c r="AB186" i="5"/>
  <c r="AQ186" i="5" s="1"/>
  <c r="AA209" i="5"/>
  <c r="AP209" i="5" s="1"/>
  <c r="AB110" i="5"/>
  <c r="AQ110" i="5" s="1"/>
  <c r="AB15" i="5"/>
  <c r="AQ15" i="5" s="1"/>
  <c r="AB89" i="5"/>
  <c r="AQ89" i="5" s="1"/>
  <c r="AB217" i="5"/>
  <c r="AQ217" i="5" s="1"/>
  <c r="AB329" i="5"/>
  <c r="AQ329" i="5" s="1"/>
  <c r="AB30" i="5"/>
  <c r="AQ30" i="5" s="1"/>
  <c r="Q255" i="5"/>
  <c r="AB66" i="5"/>
  <c r="AQ66" i="5" s="1"/>
  <c r="AB102" i="5"/>
  <c r="AQ102" i="5" s="1"/>
  <c r="AB26" i="5"/>
  <c r="AQ26" i="5" s="1"/>
  <c r="AB85" i="5"/>
  <c r="AQ85" i="5" s="1"/>
  <c r="V27" i="5"/>
  <c r="AK27" i="5" s="1"/>
  <c r="T43" i="5"/>
  <c r="AI43" i="5" s="1"/>
  <c r="AB87" i="5"/>
  <c r="AQ87" i="5" s="1"/>
  <c r="AB125" i="5"/>
  <c r="AQ125" i="5" s="1"/>
  <c r="AB229" i="5"/>
  <c r="AQ229" i="5" s="1"/>
  <c r="Y263" i="5"/>
  <c r="AN263" i="5" s="1"/>
  <c r="AB51" i="5"/>
  <c r="AQ51" i="5" s="1"/>
  <c r="X237" i="5"/>
  <c r="AM237" i="5" s="1"/>
  <c r="Z27" i="5"/>
  <c r="AO27" i="5" s="1"/>
  <c r="W43" i="5"/>
  <c r="AL43" i="5" s="1"/>
  <c r="R237" i="5"/>
  <c r="AG237" i="5" s="1"/>
  <c r="AB147" i="5"/>
  <c r="AQ147" i="5" s="1"/>
  <c r="AB62" i="5"/>
  <c r="AQ62" i="5" s="1"/>
  <c r="AB138" i="5"/>
  <c r="AQ138" i="5" s="1"/>
  <c r="AB74" i="5"/>
  <c r="AQ74" i="5" s="1"/>
  <c r="R43" i="5"/>
  <c r="AG43" i="5" s="1"/>
  <c r="Z205" i="5"/>
  <c r="AO205" i="5" s="1"/>
  <c r="V43" i="5"/>
  <c r="AK43" i="5" s="1"/>
  <c r="Y43" i="5"/>
  <c r="AN43" i="5" s="1"/>
  <c r="S255" i="5"/>
  <c r="AH255" i="5" s="1"/>
  <c r="AB170" i="5"/>
  <c r="AQ170" i="5" s="1"/>
  <c r="Z43" i="5"/>
  <c r="AO43" i="5" s="1"/>
  <c r="AE27" i="5"/>
  <c r="AT27" i="5" s="1"/>
  <c r="AB302" i="5"/>
  <c r="AQ302" i="5" s="1"/>
  <c r="AB40" i="5"/>
  <c r="AQ40" i="5" s="1"/>
  <c r="AB16" i="5"/>
  <c r="AQ16" i="5" s="1"/>
  <c r="AB27" i="5"/>
  <c r="AQ27" i="5" s="1"/>
  <c r="X43" i="5"/>
  <c r="AM43" i="5" s="1"/>
  <c r="AB75" i="5"/>
  <c r="AQ75" i="5" s="1"/>
  <c r="AB205" i="5"/>
  <c r="AQ205" i="5" s="1"/>
  <c r="V75" i="5"/>
  <c r="AK75" i="5" s="1"/>
  <c r="AB159" i="5"/>
  <c r="AQ159" i="5" s="1"/>
  <c r="R205" i="5"/>
  <c r="AG205" i="5" s="1"/>
  <c r="AB222" i="5"/>
  <c r="AQ222" i="5" s="1"/>
  <c r="X27" i="5"/>
  <c r="AM27" i="5" s="1"/>
  <c r="AB134" i="5"/>
  <c r="AQ134" i="5" s="1"/>
  <c r="AB303" i="5"/>
  <c r="AQ303" i="5" s="1"/>
  <c r="AB38" i="5"/>
  <c r="AQ38" i="5" s="1"/>
  <c r="AE237" i="5"/>
  <c r="AT237" i="5" s="1"/>
  <c r="X255" i="5"/>
  <c r="AM255" i="5" s="1"/>
  <c r="AB256" i="5"/>
  <c r="AQ256" i="5" s="1"/>
  <c r="AB64" i="5"/>
  <c r="AQ64" i="5" s="1"/>
  <c r="AB29" i="5"/>
  <c r="AQ29" i="5" s="1"/>
  <c r="R75" i="5"/>
  <c r="AG75" i="5" s="1"/>
  <c r="AB209" i="5"/>
  <c r="AQ209" i="5" s="1"/>
  <c r="AA43" i="5"/>
  <c r="AP43" i="5" s="1"/>
  <c r="V237" i="5"/>
  <c r="AK237" i="5" s="1"/>
  <c r="AB253" i="5"/>
  <c r="AQ253" i="5" s="1"/>
  <c r="Z237" i="5"/>
  <c r="AO237" i="5" s="1"/>
  <c r="AB146" i="5"/>
  <c r="AQ146" i="5" s="1"/>
  <c r="T205" i="5"/>
  <c r="AI205" i="5" s="1"/>
  <c r="T209" i="5"/>
  <c r="AI209" i="5" s="1"/>
  <c r="Y255" i="5"/>
  <c r="AN255" i="5" s="1"/>
  <c r="AB338" i="5"/>
  <c r="AQ338" i="5" s="1"/>
  <c r="AB292" i="5"/>
  <c r="AQ292" i="5" s="1"/>
  <c r="AB73" i="5"/>
  <c r="AQ73" i="5" s="1"/>
  <c r="Q153" i="5"/>
  <c r="AB153" i="5"/>
  <c r="AQ153" i="5" s="1"/>
  <c r="Q118" i="5"/>
  <c r="AB118" i="5"/>
  <c r="AQ118" i="5" s="1"/>
  <c r="T59" i="5"/>
  <c r="AI59" i="5" s="1"/>
  <c r="X215" i="5"/>
  <c r="AM215" i="5" s="1"/>
  <c r="AB215" i="5"/>
  <c r="AQ215" i="5" s="1"/>
  <c r="T309" i="5"/>
  <c r="AI309" i="5" s="1"/>
  <c r="AB309" i="5"/>
  <c r="AQ309" i="5" s="1"/>
  <c r="U59" i="5"/>
  <c r="AJ59" i="5" s="1"/>
  <c r="Z287" i="5"/>
  <c r="AO287" i="5" s="1"/>
  <c r="AB287" i="5"/>
  <c r="AQ287" i="5" s="1"/>
  <c r="X225" i="5"/>
  <c r="AM225" i="5" s="1"/>
  <c r="AB225" i="5"/>
  <c r="AQ225" i="5" s="1"/>
  <c r="AB158" i="5"/>
  <c r="AQ158" i="5" s="1"/>
  <c r="AB219" i="5"/>
  <c r="AQ219" i="5" s="1"/>
  <c r="AB113" i="5"/>
  <c r="AQ113" i="5" s="1"/>
  <c r="AB150" i="5"/>
  <c r="AQ150" i="5" s="1"/>
  <c r="AB184" i="5"/>
  <c r="AQ184" i="5" s="1"/>
  <c r="AB317" i="5"/>
  <c r="AQ317" i="5" s="1"/>
  <c r="AB28" i="5"/>
  <c r="AQ28" i="5" s="1"/>
  <c r="AB137" i="5"/>
  <c r="AQ137" i="5" s="1"/>
  <c r="AB289" i="5"/>
  <c r="AQ289" i="5" s="1"/>
  <c r="Q81" i="5"/>
  <c r="AB81" i="5"/>
  <c r="AQ81" i="5" s="1"/>
  <c r="Q45" i="5"/>
  <c r="AB45" i="5"/>
  <c r="AQ45" i="5" s="1"/>
  <c r="Q154" i="5"/>
  <c r="AB154" i="5"/>
  <c r="AQ154" i="5" s="1"/>
  <c r="AE295" i="5"/>
  <c r="AT295" i="5" s="1"/>
  <c r="AB295" i="5"/>
  <c r="AQ295" i="5" s="1"/>
  <c r="W8" i="5"/>
  <c r="AL8" i="5" s="1"/>
  <c r="AB8" i="5"/>
  <c r="AQ8" i="5" s="1"/>
  <c r="X179" i="5"/>
  <c r="AM179" i="5" s="1"/>
  <c r="AB179" i="5"/>
  <c r="AQ179" i="5" s="1"/>
  <c r="Z155" i="5"/>
  <c r="AO155" i="5" s="1"/>
  <c r="AB155" i="5"/>
  <c r="AQ155" i="5" s="1"/>
  <c r="X275" i="5"/>
  <c r="AM275" i="5" s="1"/>
  <c r="AB275" i="5"/>
  <c r="AQ275" i="5" s="1"/>
  <c r="R35" i="5"/>
  <c r="AG35" i="5" s="1"/>
  <c r="AB35" i="5"/>
  <c r="AQ35" i="5" s="1"/>
  <c r="V216" i="5"/>
  <c r="AK216" i="5" s="1"/>
  <c r="AB216" i="5"/>
  <c r="AQ216" i="5" s="1"/>
  <c r="Z59" i="5"/>
  <c r="AO59" i="5" s="1"/>
  <c r="X151" i="5"/>
  <c r="AM151" i="5" s="1"/>
  <c r="AB151" i="5"/>
  <c r="AQ151" i="5" s="1"/>
  <c r="Q11" i="5"/>
  <c r="AB11" i="5"/>
  <c r="AQ11" i="5" s="1"/>
  <c r="AB327" i="5"/>
  <c r="AQ327" i="5" s="1"/>
  <c r="AB265" i="5"/>
  <c r="AQ265" i="5" s="1"/>
  <c r="U60" i="5"/>
  <c r="AJ60" i="5" s="1"/>
  <c r="AB60" i="5"/>
  <c r="AQ60" i="5" s="1"/>
  <c r="Y84" i="5"/>
  <c r="AN84" i="5" s="1"/>
  <c r="AB84" i="5"/>
  <c r="AQ84" i="5" s="1"/>
  <c r="U346" i="5"/>
  <c r="AJ346" i="5" s="1"/>
  <c r="AB346" i="5"/>
  <c r="AQ346" i="5" s="1"/>
  <c r="AB17" i="5"/>
  <c r="AQ17" i="5" s="1"/>
  <c r="AB233" i="5"/>
  <c r="AQ233" i="5" s="1"/>
  <c r="AB109" i="5"/>
  <c r="AQ109" i="5" s="1"/>
  <c r="Q69" i="5"/>
  <c r="AB69" i="5"/>
  <c r="AQ69" i="5" s="1"/>
  <c r="AB63" i="5"/>
  <c r="AQ63" i="5" s="1"/>
  <c r="AB121" i="5"/>
  <c r="AQ121" i="5" s="1"/>
  <c r="V129" i="5"/>
  <c r="AK129" i="5" s="1"/>
  <c r="AB129" i="5"/>
  <c r="AQ129" i="5" s="1"/>
  <c r="AA39" i="5"/>
  <c r="AP39" i="5" s="1"/>
  <c r="AE310" i="5"/>
  <c r="AT310" i="5" s="1"/>
  <c r="AB310" i="5"/>
  <c r="AQ310" i="5" s="1"/>
  <c r="R36" i="5"/>
  <c r="AG36" i="5" s="1"/>
  <c r="AB36" i="5"/>
  <c r="AQ36" i="5" s="1"/>
  <c r="Q119" i="5"/>
  <c r="AB119" i="5"/>
  <c r="AQ119" i="5" s="1"/>
  <c r="AB220" i="5"/>
  <c r="AQ220" i="5" s="1"/>
  <c r="AB173" i="5"/>
  <c r="AQ173" i="5" s="1"/>
  <c r="Q104" i="5"/>
  <c r="AB104" i="5"/>
  <c r="AQ104" i="5" s="1"/>
  <c r="Q83" i="5"/>
  <c r="AB83" i="5"/>
  <c r="AQ83" i="5" s="1"/>
  <c r="Z311" i="5"/>
  <c r="AO311" i="5" s="1"/>
  <c r="AB311" i="5"/>
  <c r="AQ311" i="5" s="1"/>
  <c r="X288" i="5"/>
  <c r="AM288" i="5" s="1"/>
  <c r="AB288" i="5"/>
  <c r="AQ288" i="5" s="1"/>
  <c r="Q91" i="5"/>
  <c r="AB91" i="5"/>
  <c r="AQ91" i="5" s="1"/>
  <c r="AB218" i="5"/>
  <c r="AQ218" i="5" s="1"/>
  <c r="AB99" i="5"/>
  <c r="AQ99" i="5" s="1"/>
  <c r="AB243" i="5"/>
  <c r="AQ243" i="5" s="1"/>
  <c r="AB160" i="5"/>
  <c r="AQ160" i="5" s="1"/>
  <c r="AB185" i="5"/>
  <c r="AQ185" i="5" s="1"/>
  <c r="AB198" i="5"/>
  <c r="AQ198" i="5" s="1"/>
  <c r="AB268" i="5"/>
  <c r="AQ268" i="5" s="1"/>
  <c r="AB18" i="5"/>
  <c r="AQ18" i="5" s="1"/>
  <c r="AB76" i="5"/>
  <c r="AQ76" i="5" s="1"/>
  <c r="AB197" i="5"/>
  <c r="AQ197" i="5" s="1"/>
  <c r="AB13" i="5"/>
  <c r="AQ13" i="5" s="1"/>
  <c r="AB157" i="5"/>
  <c r="AQ157" i="5" s="1"/>
  <c r="AB325" i="5"/>
  <c r="AQ325" i="5" s="1"/>
  <c r="AA250" i="5"/>
  <c r="AP250" i="5" s="1"/>
  <c r="AB250" i="5"/>
  <c r="AQ250" i="5" s="1"/>
  <c r="Q238" i="5"/>
  <c r="AB238" i="5"/>
  <c r="AQ238" i="5" s="1"/>
  <c r="Q55" i="5"/>
  <c r="AB55" i="5"/>
  <c r="AQ55" i="5" s="1"/>
  <c r="Q22" i="5"/>
  <c r="AB22" i="5"/>
  <c r="AQ22" i="5" s="1"/>
  <c r="Y106" i="5"/>
  <c r="AN106" i="5" s="1"/>
  <c r="AB106" i="5"/>
  <c r="AQ106" i="5" s="1"/>
  <c r="AA59" i="5"/>
  <c r="AP59" i="5" s="1"/>
  <c r="AB59" i="5"/>
  <c r="AQ59" i="5" s="1"/>
  <c r="AB90" i="5"/>
  <c r="AQ90" i="5" s="1"/>
  <c r="V59" i="5"/>
  <c r="AK59" i="5" s="1"/>
  <c r="V139" i="5"/>
  <c r="AK139" i="5" s="1"/>
  <c r="AB139" i="5"/>
  <c r="AQ139" i="5" s="1"/>
  <c r="S344" i="5"/>
  <c r="AB344" i="5"/>
  <c r="AQ344" i="5" s="1"/>
  <c r="AE324" i="5"/>
  <c r="AT324" i="5" s="1"/>
  <c r="AB324" i="5"/>
  <c r="AQ324" i="5" s="1"/>
  <c r="AB54" i="5"/>
  <c r="AQ54" i="5" s="1"/>
  <c r="R140" i="5"/>
  <c r="AG140" i="5" s="1"/>
  <c r="AB140" i="5"/>
  <c r="AQ140" i="5" s="1"/>
  <c r="Q201" i="5"/>
  <c r="AB201" i="5"/>
  <c r="AQ201" i="5" s="1"/>
  <c r="R319" i="5"/>
  <c r="AG319" i="5" s="1"/>
  <c r="AB319" i="5"/>
  <c r="AQ319" i="5" s="1"/>
  <c r="AB183" i="5"/>
  <c r="AQ183" i="5" s="1"/>
  <c r="AE251" i="5"/>
  <c r="AT251" i="5" s="1"/>
  <c r="AB251" i="5"/>
  <c r="AQ251" i="5" s="1"/>
  <c r="U283" i="5"/>
  <c r="AB283" i="5"/>
  <c r="AQ283" i="5" s="1"/>
  <c r="Z96" i="5"/>
  <c r="AO96" i="5" s="1"/>
  <c r="AB96" i="5"/>
  <c r="AQ96" i="5" s="1"/>
  <c r="U176" i="5"/>
  <c r="AJ176" i="5" s="1"/>
  <c r="AB176" i="5"/>
  <c r="AQ176" i="5" s="1"/>
  <c r="S31" i="5"/>
  <c r="AH31" i="5" s="1"/>
  <c r="AB31" i="5"/>
  <c r="AQ31" i="5" s="1"/>
  <c r="X132" i="5"/>
  <c r="AM132" i="5" s="1"/>
  <c r="AB132" i="5"/>
  <c r="AQ132" i="5" s="1"/>
  <c r="Q321" i="5"/>
  <c r="AB321" i="5"/>
  <c r="AQ321" i="5" s="1"/>
  <c r="R163" i="5"/>
  <c r="AG163" i="5" s="1"/>
  <c r="AB163" i="5"/>
  <c r="AQ163" i="5" s="1"/>
  <c r="U213" i="5"/>
  <c r="AJ213" i="5" s="1"/>
  <c r="AB213" i="5"/>
  <c r="AQ213" i="5" s="1"/>
  <c r="Q252" i="5"/>
  <c r="AB252" i="5"/>
  <c r="AQ252" i="5" s="1"/>
  <c r="Z345" i="5"/>
  <c r="AB345" i="5"/>
  <c r="AQ345" i="5" s="1"/>
  <c r="AB231" i="5"/>
  <c r="AQ231" i="5" s="1"/>
  <c r="AB162" i="5"/>
  <c r="AQ162" i="5" s="1"/>
  <c r="AB52" i="5"/>
  <c r="AQ52" i="5" s="1"/>
  <c r="AB301" i="5"/>
  <c r="AQ301" i="5" s="1"/>
  <c r="W156" i="5"/>
  <c r="AL156" i="5" s="1"/>
  <c r="AB156" i="5"/>
  <c r="AQ156" i="5" s="1"/>
  <c r="U228" i="5"/>
  <c r="AJ228" i="5" s="1"/>
  <c r="AB228" i="5"/>
  <c r="AQ228" i="5" s="1"/>
  <c r="Q105" i="5"/>
  <c r="AB105" i="5"/>
  <c r="AQ105" i="5" s="1"/>
  <c r="X259" i="5"/>
  <c r="AM259" i="5" s="1"/>
  <c r="AB259" i="5"/>
  <c r="AQ259" i="5" s="1"/>
  <c r="T335" i="5"/>
  <c r="AB335" i="5"/>
  <c r="AQ335" i="5" s="1"/>
  <c r="Q115" i="5"/>
  <c r="AB115" i="5"/>
  <c r="AQ115" i="5" s="1"/>
  <c r="AA167" i="5"/>
  <c r="AP167" i="5" s="1"/>
  <c r="AB167" i="5"/>
  <c r="AQ167" i="5" s="1"/>
  <c r="Q43" i="5"/>
  <c r="AB43" i="5"/>
  <c r="AQ43" i="5" s="1"/>
  <c r="AB230" i="5"/>
  <c r="AQ230" i="5" s="1"/>
  <c r="AB111" i="5"/>
  <c r="AQ111" i="5" s="1"/>
  <c r="AB255" i="5"/>
  <c r="AQ255" i="5" s="1"/>
  <c r="AB221" i="5"/>
  <c r="AQ221" i="5" s="1"/>
  <c r="AB234" i="5"/>
  <c r="AQ234" i="5" s="1"/>
  <c r="AB304" i="5"/>
  <c r="AQ304" i="5" s="1"/>
  <c r="AB78" i="5"/>
  <c r="AQ78" i="5" s="1"/>
  <c r="AB112" i="5"/>
  <c r="AQ112" i="5" s="1"/>
  <c r="AB245" i="5"/>
  <c r="AQ245" i="5" s="1"/>
  <c r="AB25" i="5"/>
  <c r="AQ25" i="5" s="1"/>
  <c r="AB169" i="5"/>
  <c r="AQ169" i="5" s="1"/>
  <c r="AB337" i="5"/>
  <c r="AQ337" i="5" s="1"/>
  <c r="AB330" i="5"/>
  <c r="AQ330" i="5" s="1"/>
  <c r="T141" i="5"/>
  <c r="AI141" i="5" s="1"/>
  <c r="AB141" i="5"/>
  <c r="AQ141" i="5" s="1"/>
  <c r="X202" i="5"/>
  <c r="AM202" i="5" s="1"/>
  <c r="AB202" i="5"/>
  <c r="AQ202" i="5" s="1"/>
  <c r="Q47" i="5"/>
  <c r="AB47" i="5"/>
  <c r="AQ47" i="5" s="1"/>
  <c r="X177" i="5"/>
  <c r="AM177" i="5" s="1"/>
  <c r="AB177" i="5"/>
  <c r="AQ177" i="5" s="1"/>
  <c r="S127" i="5"/>
  <c r="AH127" i="5" s="1"/>
  <c r="AB127" i="5"/>
  <c r="AQ127" i="5" s="1"/>
  <c r="R297" i="5"/>
  <c r="AG297" i="5" s="1"/>
  <c r="AB297" i="5"/>
  <c r="AQ297" i="5" s="1"/>
  <c r="X227" i="5"/>
  <c r="AM227" i="5" s="1"/>
  <c r="AB227" i="5"/>
  <c r="AQ227" i="5" s="1"/>
  <c r="R272" i="5"/>
  <c r="AB272" i="5"/>
  <c r="AQ272" i="5" s="1"/>
  <c r="V308" i="5"/>
  <c r="AK308" i="5" s="1"/>
  <c r="AB308" i="5"/>
  <c r="AQ308" i="5" s="1"/>
  <c r="S7" i="5"/>
  <c r="AH7" i="5" s="1"/>
  <c r="AB7" i="5"/>
  <c r="AQ7" i="5" s="1"/>
  <c r="AB39" i="5"/>
  <c r="AQ39" i="5" s="1"/>
  <c r="Z336" i="5"/>
  <c r="AO336" i="5" s="1"/>
  <c r="AB336" i="5"/>
  <c r="AQ336" i="5" s="1"/>
  <c r="V312" i="5"/>
  <c r="AB312" i="5"/>
  <c r="AQ312" i="5" s="1"/>
  <c r="Z103" i="5"/>
  <c r="AO103" i="5" s="1"/>
  <c r="AB103" i="5"/>
  <c r="AQ103" i="5" s="1"/>
  <c r="AB171" i="5"/>
  <c r="AQ171" i="5" s="1"/>
  <c r="AB241" i="5"/>
  <c r="AQ241" i="5" s="1"/>
  <c r="Q94" i="5"/>
  <c r="AB94" i="5"/>
  <c r="AQ94" i="5" s="1"/>
  <c r="AB339" i="5"/>
  <c r="AQ339" i="5" s="1"/>
  <c r="X128" i="5"/>
  <c r="AM128" i="5" s="1"/>
  <c r="AB128" i="5"/>
  <c r="AQ128" i="5" s="1"/>
  <c r="W224" i="5"/>
  <c r="AL224" i="5" s="1"/>
  <c r="AB224" i="5"/>
  <c r="AQ224" i="5" s="1"/>
  <c r="R189" i="5"/>
  <c r="AG189" i="5" s="1"/>
  <c r="AB189" i="5"/>
  <c r="AQ189" i="5" s="1"/>
  <c r="AB207" i="5"/>
  <c r="AQ207" i="5" s="1"/>
  <c r="Q71" i="5"/>
  <c r="AB71" i="5"/>
  <c r="AQ71" i="5" s="1"/>
  <c r="AB182" i="5"/>
  <c r="AQ182" i="5" s="1"/>
  <c r="AB341" i="5"/>
  <c r="AQ341" i="5" s="1"/>
  <c r="AB290" i="5"/>
  <c r="AQ290" i="5" s="1"/>
  <c r="Q9" i="5"/>
  <c r="AB9" i="5"/>
  <c r="AQ9" i="5" s="1"/>
  <c r="Q72" i="5"/>
  <c r="AB72" i="5"/>
  <c r="AQ72" i="5" s="1"/>
  <c r="R117" i="5"/>
  <c r="AG117" i="5" s="1"/>
  <c r="AB117" i="5"/>
  <c r="AQ117" i="5" s="1"/>
  <c r="AE239" i="5"/>
  <c r="AT239" i="5" s="1"/>
  <c r="AB239" i="5"/>
  <c r="AQ239" i="5" s="1"/>
  <c r="Q12" i="5"/>
  <c r="AB12" i="5"/>
  <c r="AQ12" i="5" s="1"/>
  <c r="V164" i="5"/>
  <c r="AK164" i="5" s="1"/>
  <c r="AB164" i="5"/>
  <c r="AQ164" i="5" s="1"/>
  <c r="U192" i="5"/>
  <c r="AJ192" i="5" s="1"/>
  <c r="AB192" i="5"/>
  <c r="AQ192" i="5" s="1"/>
  <c r="R79" i="5"/>
  <c r="AG79" i="5" s="1"/>
  <c r="AB79" i="5"/>
  <c r="AQ79" i="5" s="1"/>
  <c r="U165" i="5"/>
  <c r="AJ165" i="5" s="1"/>
  <c r="AB165" i="5"/>
  <c r="AQ165" i="5" s="1"/>
  <c r="X46" i="5"/>
  <c r="AM46" i="5" s="1"/>
  <c r="AB46" i="5"/>
  <c r="AQ46" i="5" s="1"/>
  <c r="V307" i="5"/>
  <c r="AK307" i="5" s="1"/>
  <c r="AB307" i="5"/>
  <c r="AQ307" i="5" s="1"/>
  <c r="S23" i="5"/>
  <c r="AH23" i="5" s="1"/>
  <c r="AB23" i="5"/>
  <c r="AQ23" i="5" s="1"/>
  <c r="V142" i="5"/>
  <c r="AK142" i="5" s="1"/>
  <c r="AB142" i="5"/>
  <c r="AQ142" i="5" s="1"/>
  <c r="X298" i="5"/>
  <c r="AM298" i="5" s="1"/>
  <c r="AB298" i="5"/>
  <c r="AQ298" i="5" s="1"/>
  <c r="AE43" i="5"/>
  <c r="AT43" i="5" s="1"/>
  <c r="AE190" i="5"/>
  <c r="AT190" i="5" s="1"/>
  <c r="AB190" i="5"/>
  <c r="AQ190" i="5" s="1"/>
  <c r="Q237" i="5"/>
  <c r="AB237" i="5"/>
  <c r="AQ237" i="5" s="1"/>
  <c r="AB123" i="5"/>
  <c r="AQ123" i="5" s="1"/>
  <c r="AB267" i="5"/>
  <c r="AQ267" i="5" s="1"/>
  <c r="AB208" i="5"/>
  <c r="AQ208" i="5" s="1"/>
  <c r="AB257" i="5"/>
  <c r="AQ257" i="5" s="1"/>
  <c r="AB41" i="5"/>
  <c r="AQ41" i="5" s="1"/>
  <c r="AB126" i="5"/>
  <c r="AQ126" i="5" s="1"/>
  <c r="AB269" i="5"/>
  <c r="AQ269" i="5" s="1"/>
  <c r="AB37" i="5"/>
  <c r="AQ37" i="5" s="1"/>
  <c r="AB181" i="5"/>
  <c r="AQ181" i="5" s="1"/>
  <c r="AB14" i="5"/>
  <c r="AQ14" i="5" s="1"/>
  <c r="AB342" i="5"/>
  <c r="AQ342" i="5" s="1"/>
  <c r="T274" i="5"/>
  <c r="AB274" i="5"/>
  <c r="AQ274" i="5" s="1"/>
  <c r="U322" i="5"/>
  <c r="AB322" i="5"/>
  <c r="AQ322" i="5" s="1"/>
  <c r="X331" i="5"/>
  <c r="AB331" i="5"/>
  <c r="AQ331" i="5" s="1"/>
  <c r="Z333" i="5"/>
  <c r="AO333" i="5" s="1"/>
  <c r="AB333" i="5"/>
  <c r="AQ333" i="5" s="1"/>
  <c r="Q131" i="5"/>
  <c r="AB131" i="5"/>
  <c r="AQ131" i="5" s="1"/>
  <c r="U21" i="5"/>
  <c r="AJ21" i="5" s="1"/>
  <c r="AB21" i="5"/>
  <c r="AQ21" i="5" s="1"/>
  <c r="T271" i="5"/>
  <c r="AB271" i="5"/>
  <c r="AQ271" i="5" s="1"/>
  <c r="V273" i="5"/>
  <c r="AB273" i="5"/>
  <c r="AQ273" i="5" s="1"/>
  <c r="AB315" i="5"/>
  <c r="AQ315" i="5" s="1"/>
  <c r="T57" i="5"/>
  <c r="AI57" i="5" s="1"/>
  <c r="AB57" i="5"/>
  <c r="AQ57" i="5" s="1"/>
  <c r="V214" i="5"/>
  <c r="AK214" i="5" s="1"/>
  <c r="AB214" i="5"/>
  <c r="AQ214" i="5" s="1"/>
  <c r="AB86" i="5"/>
  <c r="AQ86" i="5" s="1"/>
  <c r="Q19" i="5"/>
  <c r="AB19" i="5"/>
  <c r="AQ19" i="5" s="1"/>
  <c r="Q34" i="5"/>
  <c r="AB34" i="5"/>
  <c r="AQ34" i="5" s="1"/>
  <c r="V262" i="5"/>
  <c r="AK262" i="5" s="1"/>
  <c r="AB262" i="5"/>
  <c r="AQ262" i="5" s="1"/>
  <c r="Q347" i="5"/>
  <c r="AB347" i="5"/>
  <c r="AQ347" i="5" s="1"/>
  <c r="AE286" i="5"/>
  <c r="AT286" i="5" s="1"/>
  <c r="AB286" i="5"/>
  <c r="AQ286" i="5" s="1"/>
  <c r="Q107" i="5"/>
  <c r="AB107" i="5"/>
  <c r="AQ107" i="5" s="1"/>
  <c r="W39" i="5"/>
  <c r="AL39" i="5" s="1"/>
  <c r="W70" i="5"/>
  <c r="AL70" i="5" s="1"/>
  <c r="AB70" i="5"/>
  <c r="AQ70" i="5" s="1"/>
  <c r="Y152" i="5"/>
  <c r="AN152" i="5" s="1"/>
  <c r="AB152" i="5"/>
  <c r="AQ152" i="5" s="1"/>
  <c r="Y59" i="5"/>
  <c r="AN59" i="5" s="1"/>
  <c r="AB145" i="5"/>
  <c r="AQ145" i="5" s="1"/>
  <c r="Z48" i="5"/>
  <c r="AO48" i="5" s="1"/>
  <c r="AB48" i="5"/>
  <c r="AQ48" i="5" s="1"/>
  <c r="T130" i="5"/>
  <c r="AI130" i="5" s="1"/>
  <c r="AB130" i="5"/>
  <c r="AQ130" i="5" s="1"/>
  <c r="Q248" i="5"/>
  <c r="AB248" i="5"/>
  <c r="AQ248" i="5" s="1"/>
  <c r="V168" i="5"/>
  <c r="AK168" i="5" s="1"/>
  <c r="AB168" i="5"/>
  <c r="AQ168" i="5" s="1"/>
  <c r="W44" i="5"/>
  <c r="AL44" i="5" s="1"/>
  <c r="AB44" i="5"/>
  <c r="AQ44" i="5" s="1"/>
  <c r="AE95" i="5"/>
  <c r="AT95" i="5" s="1"/>
  <c r="AB95" i="5"/>
  <c r="AQ95" i="5" s="1"/>
  <c r="Q67" i="5"/>
  <c r="AB67" i="5"/>
  <c r="AQ67" i="5" s="1"/>
  <c r="X260" i="5"/>
  <c r="AM260" i="5" s="1"/>
  <c r="AB260" i="5"/>
  <c r="AQ260" i="5" s="1"/>
  <c r="Q299" i="5"/>
  <c r="AB299" i="5"/>
  <c r="AQ299" i="5" s="1"/>
  <c r="Q263" i="5"/>
  <c r="AB263" i="5"/>
  <c r="AQ263" i="5" s="1"/>
  <c r="AB278" i="5"/>
  <c r="AQ278" i="5" s="1"/>
  <c r="AB279" i="5"/>
  <c r="AQ279" i="5" s="1"/>
  <c r="AB232" i="5"/>
  <c r="AQ232" i="5" s="1"/>
  <c r="AB293" i="5"/>
  <c r="AQ293" i="5" s="1"/>
  <c r="AB313" i="5"/>
  <c r="AQ313" i="5" s="1"/>
  <c r="AB53" i="5"/>
  <c r="AQ53" i="5" s="1"/>
  <c r="AB174" i="5"/>
  <c r="AQ174" i="5" s="1"/>
  <c r="AB196" i="5"/>
  <c r="AQ196" i="5" s="1"/>
  <c r="AB305" i="5"/>
  <c r="AQ305" i="5" s="1"/>
  <c r="AB49" i="5"/>
  <c r="AQ49" i="5" s="1"/>
  <c r="AB193" i="5"/>
  <c r="AQ193" i="5" s="1"/>
  <c r="AB98" i="5"/>
  <c r="AQ98" i="5" s="1"/>
  <c r="AB318" i="5"/>
  <c r="AQ318" i="5" s="1"/>
  <c r="S237" i="5"/>
  <c r="AH237" i="5" s="1"/>
  <c r="W237" i="5"/>
  <c r="AL237" i="5" s="1"/>
  <c r="AA237" i="5"/>
  <c r="AP237" i="5" s="1"/>
  <c r="T263" i="5"/>
  <c r="Q345" i="5"/>
  <c r="AA263" i="5"/>
  <c r="AP263" i="5" s="1"/>
  <c r="AE263" i="5"/>
  <c r="AT263" i="5" s="1"/>
  <c r="Y237" i="5"/>
  <c r="AN237" i="5" s="1"/>
  <c r="R263" i="5"/>
  <c r="T39" i="5"/>
  <c r="AI39" i="5" s="1"/>
  <c r="S263" i="5"/>
  <c r="X263" i="5"/>
  <c r="AM263" i="5" s="1"/>
  <c r="X287" i="5"/>
  <c r="AM287" i="5" s="1"/>
  <c r="W263" i="5"/>
  <c r="V263" i="5"/>
  <c r="AE39" i="5"/>
  <c r="AT39" i="5" s="1"/>
  <c r="S347" i="5"/>
  <c r="AH347" i="5" s="1"/>
  <c r="Z75" i="5"/>
  <c r="AO75" i="5" s="1"/>
  <c r="U27" i="5"/>
  <c r="AJ27" i="5" s="1"/>
  <c r="X317" i="5"/>
  <c r="R76" i="5"/>
  <c r="AG76" i="5" s="1"/>
  <c r="T27" i="5"/>
  <c r="AI27" i="5" s="1"/>
  <c r="Y27" i="5"/>
  <c r="AN27" i="5" s="1"/>
  <c r="R44" i="5"/>
  <c r="AG44" i="5" s="1"/>
  <c r="Y205" i="5"/>
  <c r="AN205" i="5" s="1"/>
  <c r="U301" i="5"/>
  <c r="Y214" i="5"/>
  <c r="AN214" i="5" s="1"/>
  <c r="T345" i="5"/>
  <c r="AI345" i="5" s="1"/>
  <c r="S71" i="5"/>
  <c r="AH71" i="5" s="1"/>
  <c r="T132" i="5"/>
  <c r="AI132" i="5" s="1"/>
  <c r="U75" i="5"/>
  <c r="AJ75" i="5" s="1"/>
  <c r="R214" i="5"/>
  <c r="AG214" i="5" s="1"/>
  <c r="W229" i="5"/>
  <c r="AL229" i="5" s="1"/>
  <c r="AA229" i="5"/>
  <c r="AP229" i="5" s="1"/>
  <c r="AE59" i="5"/>
  <c r="AT59" i="5" s="1"/>
  <c r="U123" i="5"/>
  <c r="AJ123" i="5" s="1"/>
  <c r="Y193" i="5"/>
  <c r="AN193" i="5" s="1"/>
  <c r="Z71" i="5"/>
  <c r="AO71" i="5" s="1"/>
  <c r="T55" i="5"/>
  <c r="AI55" i="5" s="1"/>
  <c r="S287" i="5"/>
  <c r="AH287" i="5" s="1"/>
  <c r="T87" i="5"/>
  <c r="AI87" i="5" s="1"/>
  <c r="S132" i="5"/>
  <c r="AH132" i="5" s="1"/>
  <c r="R308" i="5"/>
  <c r="AG308" i="5" s="1"/>
  <c r="Y75" i="5"/>
  <c r="AN75" i="5" s="1"/>
  <c r="W27" i="5"/>
  <c r="AL27" i="5" s="1"/>
  <c r="R27" i="5"/>
  <c r="AG27" i="5" s="1"/>
  <c r="Y134" i="5"/>
  <c r="AN134" i="5" s="1"/>
  <c r="X205" i="5"/>
  <c r="AM205" i="5" s="1"/>
  <c r="T255" i="5"/>
  <c r="AI255" i="5" s="1"/>
  <c r="T253" i="5"/>
  <c r="AI253" i="5" s="1"/>
  <c r="Y162" i="5"/>
  <c r="AN162" i="5" s="1"/>
  <c r="S295" i="5"/>
  <c r="X333" i="5"/>
  <c r="W252" i="5"/>
  <c r="AL252" i="5" s="1"/>
  <c r="U154" i="5"/>
  <c r="AJ154" i="5" s="1"/>
  <c r="V91" i="5"/>
  <c r="AK91" i="5" s="1"/>
  <c r="Y154" i="5"/>
  <c r="AN154" i="5" s="1"/>
  <c r="Z91" i="5"/>
  <c r="AO91" i="5" s="1"/>
  <c r="V255" i="5"/>
  <c r="AK255" i="5" s="1"/>
  <c r="W75" i="5"/>
  <c r="AL75" i="5" s="1"/>
  <c r="V260" i="5"/>
  <c r="AA75" i="5"/>
  <c r="AP75" i="5" s="1"/>
  <c r="U263" i="5"/>
  <c r="U205" i="5"/>
  <c r="AJ205" i="5" s="1"/>
  <c r="S257" i="5"/>
  <c r="AH257" i="5" s="1"/>
  <c r="U237" i="5"/>
  <c r="AJ237" i="5" s="1"/>
  <c r="Y123" i="5"/>
  <c r="AN123" i="5" s="1"/>
  <c r="AE87" i="5"/>
  <c r="AT87" i="5" s="1"/>
  <c r="X308" i="5"/>
  <c r="AM308" i="5" s="1"/>
  <c r="S123" i="5"/>
  <c r="AH123" i="5" s="1"/>
  <c r="S253" i="5"/>
  <c r="AH253" i="5" s="1"/>
  <c r="Y213" i="5"/>
  <c r="AN213" i="5" s="1"/>
  <c r="AE308" i="5"/>
  <c r="AT308" i="5" s="1"/>
  <c r="T123" i="5"/>
  <c r="AI123" i="5" s="1"/>
  <c r="T328" i="5"/>
  <c r="AI328" i="5" s="1"/>
  <c r="Z269" i="5"/>
  <c r="AO269" i="5" s="1"/>
  <c r="U15" i="5"/>
  <c r="AJ15" i="5" s="1"/>
  <c r="X123" i="5"/>
  <c r="AM123" i="5" s="1"/>
  <c r="X181" i="5"/>
  <c r="AM181" i="5" s="1"/>
  <c r="V257" i="5"/>
  <c r="W255" i="5"/>
  <c r="AL255" i="5" s="1"/>
  <c r="AA35" i="5"/>
  <c r="AP35" i="5" s="1"/>
  <c r="AA298" i="5"/>
  <c r="AP298" i="5" s="1"/>
  <c r="S308" i="5"/>
  <c r="AH308" i="5" s="1"/>
  <c r="U181" i="5"/>
  <c r="AJ181" i="5" s="1"/>
  <c r="U36" i="5"/>
  <c r="AJ36" i="5" s="1"/>
  <c r="U115" i="5"/>
  <c r="AJ115" i="5" s="1"/>
  <c r="V267" i="5"/>
  <c r="AK267" i="5" s="1"/>
  <c r="V99" i="5"/>
  <c r="AK99" i="5" s="1"/>
  <c r="X185" i="5"/>
  <c r="AM185" i="5" s="1"/>
  <c r="Y36" i="5"/>
  <c r="AN36" i="5" s="1"/>
  <c r="W136" i="5"/>
  <c r="AL136" i="5" s="1"/>
  <c r="AA269" i="5"/>
  <c r="AP269" i="5" s="1"/>
  <c r="Z123" i="5"/>
  <c r="AO123" i="5" s="1"/>
  <c r="U255" i="5"/>
  <c r="AJ255" i="5" s="1"/>
  <c r="AA345" i="5"/>
  <c r="AP345" i="5" s="1"/>
  <c r="X345" i="5"/>
  <c r="AM345" i="5" s="1"/>
  <c r="T142" i="5"/>
  <c r="AI142" i="5" s="1"/>
  <c r="X319" i="5"/>
  <c r="AM319" i="5" s="1"/>
  <c r="S43" i="5"/>
  <c r="AH43" i="5" s="1"/>
  <c r="AE123" i="5"/>
  <c r="AT123" i="5" s="1"/>
  <c r="T333" i="5"/>
  <c r="R87" i="5"/>
  <c r="AG87" i="5" s="1"/>
  <c r="U185" i="5"/>
  <c r="AJ185" i="5" s="1"/>
  <c r="Z257" i="5"/>
  <c r="AO257" i="5" s="1"/>
  <c r="AE345" i="5"/>
  <c r="AT345" i="5" s="1"/>
  <c r="Z337" i="5"/>
  <c r="AO337" i="5" s="1"/>
  <c r="AE287" i="5"/>
  <c r="AT287" i="5" s="1"/>
  <c r="S225" i="5"/>
  <c r="AH225" i="5" s="1"/>
  <c r="T298" i="5"/>
  <c r="AI298" i="5" s="1"/>
  <c r="AA123" i="5"/>
  <c r="AP123" i="5" s="1"/>
  <c r="S288" i="5"/>
  <c r="AH288" i="5" s="1"/>
  <c r="U297" i="5"/>
  <c r="Y52" i="5"/>
  <c r="AN52" i="5" s="1"/>
  <c r="AE289" i="5"/>
  <c r="AT289" i="5" s="1"/>
  <c r="Y297" i="5"/>
  <c r="AN297" i="5" s="1"/>
  <c r="W87" i="5"/>
  <c r="AL87" i="5" s="1"/>
  <c r="T7" i="5"/>
  <c r="AI7" i="5" s="1"/>
  <c r="Y23" i="5"/>
  <c r="AN23" i="5" s="1"/>
  <c r="T91" i="5"/>
  <c r="AI91" i="5" s="1"/>
  <c r="X167" i="5"/>
  <c r="AM167" i="5" s="1"/>
  <c r="AE328" i="5"/>
  <c r="AT328" i="5" s="1"/>
  <c r="U308" i="5"/>
  <c r="T139" i="5"/>
  <c r="AI139" i="5" s="1"/>
  <c r="Y308" i="5"/>
  <c r="AN308" i="5" s="1"/>
  <c r="T167" i="5"/>
  <c r="AI167" i="5" s="1"/>
  <c r="S193" i="5"/>
  <c r="AH193" i="5" s="1"/>
  <c r="S342" i="5"/>
  <c r="AE11" i="5"/>
  <c r="AT11" i="5" s="1"/>
  <c r="R225" i="5"/>
  <c r="AG225" i="5" s="1"/>
  <c r="AE297" i="5"/>
  <c r="AT297" i="5" s="1"/>
  <c r="W123" i="5"/>
  <c r="AL123" i="5" s="1"/>
  <c r="V287" i="5"/>
  <c r="AK287" i="5" s="1"/>
  <c r="V123" i="5"/>
  <c r="AK123" i="5" s="1"/>
  <c r="Y328" i="5"/>
  <c r="AN328" i="5" s="1"/>
  <c r="U107" i="5"/>
  <c r="AJ107" i="5" s="1"/>
  <c r="Q123" i="5"/>
  <c r="R337" i="5"/>
  <c r="AG337" i="5" s="1"/>
  <c r="AA87" i="5"/>
  <c r="AP87" i="5" s="1"/>
  <c r="S167" i="5"/>
  <c r="AH167" i="5" s="1"/>
  <c r="AE167" i="5"/>
  <c r="AT167" i="5" s="1"/>
  <c r="Y333" i="5"/>
  <c r="AN333" i="5" s="1"/>
  <c r="U167" i="5"/>
  <c r="AJ167" i="5" s="1"/>
  <c r="T321" i="5"/>
  <c r="U217" i="5"/>
  <c r="AJ217" i="5" s="1"/>
  <c r="V167" i="5"/>
  <c r="AK167" i="5" s="1"/>
  <c r="T297" i="5"/>
  <c r="AI297" i="5" s="1"/>
  <c r="AA193" i="5"/>
  <c r="AP193" i="5" s="1"/>
  <c r="Y103" i="5"/>
  <c r="AN103" i="5" s="1"/>
  <c r="X297" i="5"/>
  <c r="AM297" i="5" s="1"/>
  <c r="T107" i="5"/>
  <c r="AI107" i="5" s="1"/>
  <c r="Y15" i="5"/>
  <c r="AN15" i="5" s="1"/>
  <c r="AE115" i="5"/>
  <c r="AT115" i="5" s="1"/>
  <c r="Y107" i="5"/>
  <c r="AN107" i="5" s="1"/>
  <c r="AE107" i="5"/>
  <c r="AT107" i="5" s="1"/>
  <c r="W217" i="5"/>
  <c r="AL217" i="5" s="1"/>
  <c r="U190" i="5"/>
  <c r="AJ190" i="5" s="1"/>
  <c r="U87" i="5"/>
  <c r="AJ87" i="5" s="1"/>
  <c r="X328" i="5"/>
  <c r="X193" i="5"/>
  <c r="AM193" i="5" s="1"/>
  <c r="U19" i="5"/>
  <c r="AJ19" i="5" s="1"/>
  <c r="T71" i="5"/>
  <c r="AI71" i="5" s="1"/>
  <c r="Y115" i="5"/>
  <c r="AN115" i="5" s="1"/>
  <c r="Y31" i="5"/>
  <c r="AN31" i="5" s="1"/>
  <c r="R91" i="5"/>
  <c r="AG91" i="5" s="1"/>
  <c r="AU91" i="5" s="1"/>
  <c r="W167" i="5"/>
  <c r="AL167" i="5" s="1"/>
  <c r="T287" i="5"/>
  <c r="AI287" i="5" s="1"/>
  <c r="T308" i="5"/>
  <c r="AI308" i="5" s="1"/>
  <c r="S75" i="5"/>
  <c r="AH75" i="5" s="1"/>
  <c r="W297" i="5"/>
  <c r="V331" i="5"/>
  <c r="AE337" i="5"/>
  <c r="AT337" i="5" s="1"/>
  <c r="Y167" i="5"/>
  <c r="AN167" i="5" s="1"/>
  <c r="S273" i="5"/>
  <c r="Z328" i="5"/>
  <c r="AO328" i="5" s="1"/>
  <c r="Y321" i="5"/>
  <c r="AN321" i="5" s="1"/>
  <c r="T75" i="5"/>
  <c r="AI75" i="5" s="1"/>
  <c r="Q167" i="5"/>
  <c r="X7" i="5"/>
  <c r="AM7" i="5" s="1"/>
  <c r="AE7" i="5"/>
  <c r="AT7" i="5" s="1"/>
  <c r="U146" i="5"/>
  <c r="AJ146" i="5" s="1"/>
  <c r="U324" i="5"/>
  <c r="Z225" i="5"/>
  <c r="AO225" i="5" s="1"/>
  <c r="W91" i="5"/>
  <c r="AL91" i="5" s="1"/>
  <c r="Z217" i="5"/>
  <c r="AO217" i="5" s="1"/>
  <c r="Z15" i="5"/>
  <c r="AO15" i="5" s="1"/>
  <c r="AA189" i="5"/>
  <c r="AP189" i="5" s="1"/>
  <c r="V162" i="5"/>
  <c r="AK162" i="5" s="1"/>
  <c r="AA36" i="5"/>
  <c r="AP36" i="5" s="1"/>
  <c r="Y150" i="5"/>
  <c r="AN150" i="5" s="1"/>
  <c r="S331" i="5"/>
  <c r="U91" i="5"/>
  <c r="AJ91" i="5" s="1"/>
  <c r="W150" i="5"/>
  <c r="AL150" i="5" s="1"/>
  <c r="X189" i="5"/>
  <c r="AM189" i="5" s="1"/>
  <c r="Z167" i="5"/>
  <c r="AO167" i="5" s="1"/>
  <c r="U11" i="5"/>
  <c r="AJ11" i="5" s="1"/>
  <c r="Z189" i="5"/>
  <c r="AO189" i="5" s="1"/>
  <c r="Y345" i="5"/>
  <c r="AN345" i="5" s="1"/>
  <c r="S11" i="5"/>
  <c r="AH11" i="5" s="1"/>
  <c r="V193" i="5"/>
  <c r="AK193" i="5" s="1"/>
  <c r="S272" i="5"/>
  <c r="AH272" i="5" s="1"/>
  <c r="S319" i="5"/>
  <c r="Z131" i="5"/>
  <c r="AO131" i="5" s="1"/>
  <c r="T146" i="5"/>
  <c r="AI146" i="5" s="1"/>
  <c r="AA146" i="5"/>
  <c r="AP146" i="5" s="1"/>
  <c r="T324" i="5"/>
  <c r="W11" i="5"/>
  <c r="AL11" i="5" s="1"/>
  <c r="V289" i="5"/>
  <c r="AK289" i="5" s="1"/>
  <c r="V7" i="5"/>
  <c r="AK7" i="5" s="1"/>
  <c r="Y272" i="5"/>
  <c r="AN272" i="5" s="1"/>
  <c r="U229" i="5"/>
  <c r="AJ229" i="5" s="1"/>
  <c r="Y11" i="5"/>
  <c r="AN11" i="5" s="1"/>
  <c r="T150" i="5"/>
  <c r="AI150" i="5" s="1"/>
  <c r="V131" i="5"/>
  <c r="AK131" i="5" s="1"/>
  <c r="Z321" i="5"/>
  <c r="AO321" i="5" s="1"/>
  <c r="AA136" i="5"/>
  <c r="AP136" i="5" s="1"/>
  <c r="R15" i="5"/>
  <c r="AG15" i="5" s="1"/>
  <c r="S91" i="5"/>
  <c r="AH91" i="5" s="1"/>
  <c r="AE150" i="5"/>
  <c r="AT150" i="5" s="1"/>
  <c r="V87" i="5"/>
  <c r="AK87" i="5" s="1"/>
  <c r="AE214" i="5"/>
  <c r="AT214" i="5" s="1"/>
  <c r="W7" i="5"/>
  <c r="AL7" i="5" s="1"/>
  <c r="Z150" i="5"/>
  <c r="AO150" i="5" s="1"/>
  <c r="AE91" i="5"/>
  <c r="AT91" i="5" s="1"/>
  <c r="S189" i="5"/>
  <c r="AH189" i="5" s="1"/>
  <c r="Z273" i="5"/>
  <c r="AE151" i="5"/>
  <c r="AT151" i="5" s="1"/>
  <c r="S36" i="5"/>
  <c r="AH36" i="5" s="1"/>
  <c r="S150" i="5"/>
  <c r="AH150" i="5" s="1"/>
  <c r="Y138" i="5"/>
  <c r="AN138" i="5" s="1"/>
  <c r="R11" i="5"/>
  <c r="AG11" i="5" s="1"/>
  <c r="T36" i="5"/>
  <c r="AI36" i="5" s="1"/>
  <c r="U139" i="5"/>
  <c r="AJ139" i="5" s="1"/>
  <c r="W238" i="5"/>
  <c r="AL238" i="5" s="1"/>
  <c r="S107" i="5"/>
  <c r="AH107" i="5" s="1"/>
  <c r="X162" i="5"/>
  <c r="AM162" i="5" s="1"/>
  <c r="W190" i="5"/>
  <c r="AL190" i="5" s="1"/>
  <c r="T225" i="5"/>
  <c r="AI225" i="5" s="1"/>
  <c r="AE255" i="5"/>
  <c r="AT255" i="5" s="1"/>
  <c r="AE279" i="5"/>
  <c r="AT279" i="5" s="1"/>
  <c r="AE333" i="5"/>
  <c r="AT333" i="5" s="1"/>
  <c r="W345" i="5"/>
  <c r="AL345" i="5" s="1"/>
  <c r="R167" i="5"/>
  <c r="X252" i="5"/>
  <c r="AM252" i="5" s="1"/>
  <c r="Z39" i="5"/>
  <c r="AO39" i="5" s="1"/>
  <c r="V337" i="5"/>
  <c r="AK337" i="5" s="1"/>
  <c r="Y91" i="5"/>
  <c r="AN91" i="5" s="1"/>
  <c r="AA150" i="5"/>
  <c r="AP150" i="5" s="1"/>
  <c r="AE189" i="5"/>
  <c r="AT189" i="5" s="1"/>
  <c r="U225" i="5"/>
  <c r="AJ225" i="5" s="1"/>
  <c r="X337" i="5"/>
  <c r="U189" i="5"/>
  <c r="AJ189" i="5" s="1"/>
  <c r="U193" i="5"/>
  <c r="AJ193" i="5" s="1"/>
  <c r="U7" i="5"/>
  <c r="AJ7" i="5" s="1"/>
  <c r="X75" i="5"/>
  <c r="AM75" i="5" s="1"/>
  <c r="AA255" i="5"/>
  <c r="AP255" i="5" s="1"/>
  <c r="U345" i="5"/>
  <c r="AJ345" i="5" s="1"/>
  <c r="V60" i="5"/>
  <c r="AK60" i="5" s="1"/>
  <c r="S146" i="5"/>
  <c r="AH146" i="5" s="1"/>
  <c r="Z324" i="5"/>
  <c r="AO324" i="5" s="1"/>
  <c r="Z146" i="5"/>
  <c r="AO146" i="5" s="1"/>
  <c r="U170" i="5"/>
  <c r="AJ170" i="5" s="1"/>
  <c r="X146" i="5"/>
  <c r="AM146" i="5" s="1"/>
  <c r="Y324" i="5"/>
  <c r="AN324" i="5" s="1"/>
  <c r="Y146" i="5"/>
  <c r="AN146" i="5" s="1"/>
  <c r="U150" i="5"/>
  <c r="AJ150" i="5" s="1"/>
  <c r="Y170" i="5"/>
  <c r="AN170" i="5" s="1"/>
  <c r="X324" i="5"/>
  <c r="AM324" i="5" s="1"/>
  <c r="X150" i="5"/>
  <c r="AM150" i="5" s="1"/>
  <c r="Z28" i="5"/>
  <c r="AO28" i="5" s="1"/>
  <c r="R150" i="5"/>
  <c r="AG150" i="5" s="1"/>
  <c r="X91" i="5"/>
  <c r="AM91" i="5" s="1"/>
  <c r="R324" i="5"/>
  <c r="AG324" i="5" s="1"/>
  <c r="R107" i="5"/>
  <c r="AG107" i="5" s="1"/>
  <c r="Y182" i="5"/>
  <c r="AN182" i="5" s="1"/>
  <c r="W265" i="5"/>
  <c r="AL265" i="5" s="1"/>
  <c r="V15" i="5"/>
  <c r="AK15" i="5" s="1"/>
  <c r="V150" i="5"/>
  <c r="AK150" i="5" s="1"/>
  <c r="W328" i="5"/>
  <c r="T189" i="5"/>
  <c r="AI189" i="5" s="1"/>
  <c r="R7" i="5"/>
  <c r="AG7" i="5" s="1"/>
  <c r="W193" i="5"/>
  <c r="AL193" i="5" s="1"/>
  <c r="AA7" i="5"/>
  <c r="AP7" i="5" s="1"/>
  <c r="T51" i="5"/>
  <c r="AI51" i="5" s="1"/>
  <c r="Z107" i="5"/>
  <c r="AO107" i="5" s="1"/>
  <c r="S238" i="5"/>
  <c r="AH238" i="5" s="1"/>
  <c r="AA91" i="5"/>
  <c r="AP91" i="5" s="1"/>
  <c r="V107" i="5"/>
  <c r="AK107" i="5" s="1"/>
  <c r="V11" i="5"/>
  <c r="AK11" i="5" s="1"/>
  <c r="X36" i="5"/>
  <c r="AM36" i="5" s="1"/>
  <c r="T83" i="5"/>
  <c r="AI83" i="5" s="1"/>
  <c r="Y139" i="5"/>
  <c r="AN139" i="5" s="1"/>
  <c r="AA238" i="5"/>
  <c r="AP238" i="5" s="1"/>
  <c r="AE23" i="5"/>
  <c r="AT23" i="5" s="1"/>
  <c r="S59" i="5"/>
  <c r="AH59" i="5" s="1"/>
  <c r="AA107" i="5"/>
  <c r="AP107" i="5" s="1"/>
  <c r="AE162" i="5"/>
  <c r="AT162" i="5" s="1"/>
  <c r="R193" i="5"/>
  <c r="AG193" i="5" s="1"/>
  <c r="AE225" i="5"/>
  <c r="AT225" i="5" s="1"/>
  <c r="R255" i="5"/>
  <c r="AG255" i="5" s="1"/>
  <c r="W107" i="5"/>
  <c r="AL107" i="5" s="1"/>
  <c r="X190" i="5"/>
  <c r="AM190" i="5" s="1"/>
  <c r="T229" i="5"/>
  <c r="AI229" i="5" s="1"/>
  <c r="T193" i="5"/>
  <c r="AI193" i="5" s="1"/>
  <c r="T273" i="5"/>
  <c r="W36" i="5"/>
  <c r="AL36" i="5" s="1"/>
  <c r="T11" i="5"/>
  <c r="AI11" i="5" s="1"/>
  <c r="AE75" i="5"/>
  <c r="AT75" i="5" s="1"/>
  <c r="R345" i="5"/>
  <c r="AE319" i="5"/>
  <c r="AT319" i="5" s="1"/>
  <c r="U319" i="5"/>
  <c r="W189" i="5"/>
  <c r="AL189" i="5" s="1"/>
  <c r="V189" i="5"/>
  <c r="AK189" i="5" s="1"/>
  <c r="Q189" i="5"/>
  <c r="V225" i="5"/>
  <c r="AK225" i="5" s="1"/>
  <c r="AA11" i="5"/>
  <c r="AP11" i="5" s="1"/>
  <c r="S315" i="5"/>
  <c r="AE146" i="5"/>
  <c r="AT146" i="5" s="1"/>
  <c r="W146" i="5"/>
  <c r="AL146" i="5" s="1"/>
  <c r="U328" i="5"/>
  <c r="AA328" i="5"/>
  <c r="AP328" i="5" s="1"/>
  <c r="W225" i="5"/>
  <c r="AL225" i="5" s="1"/>
  <c r="U138" i="5"/>
  <c r="AJ138" i="5" s="1"/>
  <c r="R146" i="5"/>
  <c r="AG146" i="5" s="1"/>
  <c r="Z87" i="5"/>
  <c r="AO87" i="5" s="1"/>
  <c r="S217" i="5"/>
  <c r="AH217" i="5" s="1"/>
  <c r="U289" i="5"/>
  <c r="AJ289" i="5" s="1"/>
  <c r="V146" i="5"/>
  <c r="AK146" i="5" s="1"/>
  <c r="U71" i="5"/>
  <c r="AJ71" i="5" s="1"/>
  <c r="AE330" i="5"/>
  <c r="AT330" i="5" s="1"/>
  <c r="Z11" i="5"/>
  <c r="AO11" i="5" s="1"/>
  <c r="S87" i="5"/>
  <c r="AH87" i="5" s="1"/>
  <c r="S162" i="5"/>
  <c r="AH162" i="5" s="1"/>
  <c r="Z252" i="5"/>
  <c r="AO252" i="5" s="1"/>
  <c r="V279" i="5"/>
  <c r="AK279" i="5" s="1"/>
  <c r="U294" i="5"/>
  <c r="T319" i="5"/>
  <c r="Z193" i="5"/>
  <c r="AO193" i="5" s="1"/>
  <c r="S229" i="5"/>
  <c r="AH229" i="5" s="1"/>
  <c r="U315" i="5"/>
  <c r="X107" i="5"/>
  <c r="AM107" i="5" s="1"/>
  <c r="Y189" i="5"/>
  <c r="AN189" i="5" s="1"/>
  <c r="V319" i="5"/>
  <c r="AE229" i="5"/>
  <c r="AT229" i="5" s="1"/>
  <c r="S345" i="5"/>
  <c r="AH345" i="5" s="1"/>
  <c r="AU345" i="5" s="1"/>
  <c r="AE193" i="5"/>
  <c r="AT193" i="5" s="1"/>
  <c r="X11" i="5"/>
  <c r="AM11" i="5" s="1"/>
  <c r="V345" i="5"/>
  <c r="AK345" i="5" s="1"/>
  <c r="U337" i="5"/>
  <c r="AE51" i="5"/>
  <c r="AT51" i="5" s="1"/>
  <c r="Z60" i="5"/>
  <c r="AO60" i="5" s="1"/>
  <c r="AA71" i="5"/>
  <c r="AP71" i="5" s="1"/>
  <c r="T84" i="5"/>
  <c r="AI84" i="5" s="1"/>
  <c r="S119" i="5"/>
  <c r="AH119" i="5" s="1"/>
  <c r="Y181" i="5"/>
  <c r="AN181" i="5" s="1"/>
  <c r="S221" i="5"/>
  <c r="AH221" i="5" s="1"/>
  <c r="R241" i="5"/>
  <c r="AG241" i="5" s="1"/>
  <c r="AA265" i="5"/>
  <c r="AP265" i="5" s="1"/>
  <c r="Y288" i="5"/>
  <c r="AN288" i="5" s="1"/>
  <c r="T303" i="5"/>
  <c r="AI303" i="5" s="1"/>
  <c r="U35" i="5"/>
  <c r="AJ35" i="5" s="1"/>
  <c r="AE55" i="5"/>
  <c r="AT55" i="5" s="1"/>
  <c r="AE71" i="5"/>
  <c r="AT71" i="5" s="1"/>
  <c r="U84" i="5"/>
  <c r="AJ84" i="5" s="1"/>
  <c r="U89" i="5"/>
  <c r="AJ89" i="5" s="1"/>
  <c r="AE103" i="5"/>
  <c r="AT103" i="5" s="1"/>
  <c r="T119" i="5"/>
  <c r="AI119" i="5" s="1"/>
  <c r="Z84" i="5"/>
  <c r="AO84" i="5" s="1"/>
  <c r="U119" i="5"/>
  <c r="AJ119" i="5" s="1"/>
  <c r="AE181" i="5"/>
  <c r="AT181" i="5" s="1"/>
  <c r="T245" i="5"/>
  <c r="AI245" i="5" s="1"/>
  <c r="X256" i="5"/>
  <c r="AM256" i="5" s="1"/>
  <c r="Z267" i="5"/>
  <c r="AO267" i="5" s="1"/>
  <c r="AA288" i="5"/>
  <c r="AP288" i="5" s="1"/>
  <c r="T304" i="5"/>
  <c r="AI304" i="5" s="1"/>
  <c r="Y325" i="5"/>
  <c r="AN325" i="5" s="1"/>
  <c r="S337" i="5"/>
  <c r="T267" i="5"/>
  <c r="AI267" i="5" s="1"/>
  <c r="Y337" i="5"/>
  <c r="AN337" i="5" s="1"/>
  <c r="V71" i="5"/>
  <c r="AK71" i="5" s="1"/>
  <c r="R55" i="5"/>
  <c r="AG55" i="5" s="1"/>
  <c r="AA267" i="5"/>
  <c r="AP267" i="5" s="1"/>
  <c r="Y289" i="5"/>
  <c r="AN289" i="5" s="1"/>
  <c r="S289" i="5"/>
  <c r="AH289" i="5" s="1"/>
  <c r="Z35" i="5"/>
  <c r="AO35" i="5" s="1"/>
  <c r="W289" i="5"/>
  <c r="AL289" i="5" s="1"/>
  <c r="Y71" i="5"/>
  <c r="AN71" i="5" s="1"/>
  <c r="R289" i="5"/>
  <c r="AG289" i="5" s="1"/>
  <c r="T35" i="5"/>
  <c r="AI35" i="5" s="1"/>
  <c r="S55" i="5"/>
  <c r="AH55" i="5" s="1"/>
  <c r="X84" i="5"/>
  <c r="AM84" i="5" s="1"/>
  <c r="W119" i="5"/>
  <c r="AL119" i="5" s="1"/>
  <c r="W221" i="5"/>
  <c r="AL221" i="5" s="1"/>
  <c r="V241" i="5"/>
  <c r="AK241" i="5" s="1"/>
  <c r="X303" i="5"/>
  <c r="AM303" i="5" s="1"/>
  <c r="Y35" i="5"/>
  <c r="AN35" i="5" s="1"/>
  <c r="X119" i="5"/>
  <c r="AM119" i="5" s="1"/>
  <c r="S35" i="5"/>
  <c r="AH35" i="5" s="1"/>
  <c r="U55" i="5"/>
  <c r="AJ55" i="5" s="1"/>
  <c r="Y119" i="5"/>
  <c r="AN119" i="5" s="1"/>
  <c r="V130" i="5"/>
  <c r="AK130" i="5" s="1"/>
  <c r="T157" i="5"/>
  <c r="AI157" i="5" s="1"/>
  <c r="V170" i="5"/>
  <c r="AK170" i="5" s="1"/>
  <c r="R179" i="5"/>
  <c r="AG179" i="5" s="1"/>
  <c r="X230" i="5"/>
  <c r="AM230" i="5" s="1"/>
  <c r="AE245" i="5"/>
  <c r="AT245" i="5" s="1"/>
  <c r="U271" i="5"/>
  <c r="T289" i="5"/>
  <c r="AI289" i="5" s="1"/>
  <c r="AE294" i="5"/>
  <c r="AT294" i="5" s="1"/>
  <c r="AE299" i="5"/>
  <c r="AT299" i="5" s="1"/>
  <c r="W337" i="5"/>
  <c r="AL337" i="5" s="1"/>
  <c r="Z256" i="5"/>
  <c r="AO256" i="5" s="1"/>
  <c r="V55" i="5"/>
  <c r="AK55" i="5" s="1"/>
  <c r="V119" i="5"/>
  <c r="AK119" i="5" s="1"/>
  <c r="T288" i="5"/>
  <c r="AI288" i="5" s="1"/>
  <c r="T151" i="5"/>
  <c r="AI151" i="5" s="1"/>
  <c r="W303" i="5"/>
  <c r="AL303" i="5" s="1"/>
  <c r="Z289" i="5"/>
  <c r="AO289" i="5" s="1"/>
  <c r="AA289" i="5"/>
  <c r="AP289" i="5" s="1"/>
  <c r="V328" i="5"/>
  <c r="AK328" i="5" s="1"/>
  <c r="X87" i="5"/>
  <c r="AM87" i="5" s="1"/>
  <c r="AE35" i="5"/>
  <c r="AT35" i="5" s="1"/>
  <c r="AA55" i="5"/>
  <c r="AP55" i="5" s="1"/>
  <c r="T67" i="5"/>
  <c r="AI67" i="5" s="1"/>
  <c r="AA119" i="5"/>
  <c r="AP119" i="5" s="1"/>
  <c r="AA221" i="5"/>
  <c r="AP221" i="5" s="1"/>
  <c r="Z241" i="5"/>
  <c r="AO241" i="5" s="1"/>
  <c r="U299" i="5"/>
  <c r="AE303" i="5"/>
  <c r="AT303" i="5" s="1"/>
  <c r="AE119" i="5"/>
  <c r="AT119" i="5" s="1"/>
  <c r="W35" i="5"/>
  <c r="AL35" i="5" s="1"/>
  <c r="Y55" i="5"/>
  <c r="AN55" i="5" s="1"/>
  <c r="X60" i="5"/>
  <c r="AM60" i="5" s="1"/>
  <c r="W137" i="5"/>
  <c r="AL137" i="5" s="1"/>
  <c r="Z170" i="5"/>
  <c r="AO170" i="5" s="1"/>
  <c r="U221" i="5"/>
  <c r="AJ221" i="5" s="1"/>
  <c r="R267" i="5"/>
  <c r="AG267" i="5" s="1"/>
  <c r="X289" i="5"/>
  <c r="AM289" i="5" s="1"/>
  <c r="T337" i="5"/>
  <c r="W139" i="5"/>
  <c r="AL139" i="5" s="1"/>
  <c r="V299" i="5"/>
  <c r="AK299" i="5" s="1"/>
  <c r="U312" i="5"/>
  <c r="AJ312" i="5" s="1"/>
  <c r="V35" i="5"/>
  <c r="AK35" i="5" s="1"/>
  <c r="V103" i="5"/>
  <c r="AK103" i="5" s="1"/>
  <c r="Z55" i="5"/>
  <c r="AO55" i="5" s="1"/>
  <c r="Z119" i="5"/>
  <c r="AO119" i="5" s="1"/>
  <c r="X130" i="5"/>
  <c r="AM130" i="5" s="1"/>
  <c r="X238" i="5"/>
  <c r="AM238" i="5" s="1"/>
  <c r="Y225" i="5"/>
  <c r="AN225" i="5" s="1"/>
  <c r="S328" i="5"/>
  <c r="AH328" i="5" s="1"/>
  <c r="R119" i="5"/>
  <c r="AG119" i="5" s="1"/>
  <c r="AA98" i="5"/>
  <c r="AP98" i="5" s="1"/>
  <c r="Z183" i="5"/>
  <c r="AO183" i="5" s="1"/>
  <c r="V322" i="5"/>
  <c r="AK322" i="5" s="1"/>
  <c r="R41" i="5"/>
  <c r="AG41" i="5" s="1"/>
  <c r="T52" i="5"/>
  <c r="AI52" i="5" s="1"/>
  <c r="U69" i="5"/>
  <c r="AJ69" i="5" s="1"/>
  <c r="AE83" i="5"/>
  <c r="AT83" i="5" s="1"/>
  <c r="Z86" i="5"/>
  <c r="AO86" i="5" s="1"/>
  <c r="S103" i="5"/>
  <c r="AH103" i="5" s="1"/>
  <c r="T131" i="5"/>
  <c r="AI131" i="5" s="1"/>
  <c r="X158" i="5"/>
  <c r="AM158" i="5" s="1"/>
  <c r="S248" i="5"/>
  <c r="AH248" i="5" s="1"/>
  <c r="Y299" i="5"/>
  <c r="AN299" i="5" s="1"/>
  <c r="W60" i="5"/>
  <c r="AL60" i="5" s="1"/>
  <c r="R74" i="5"/>
  <c r="AG74" i="5" s="1"/>
  <c r="AA76" i="5"/>
  <c r="AP76" i="5" s="1"/>
  <c r="V52" i="5"/>
  <c r="AK52" i="5" s="1"/>
  <c r="AE96" i="5"/>
  <c r="AT96" i="5" s="1"/>
  <c r="X118" i="5"/>
  <c r="AM118" i="5" s="1"/>
  <c r="S131" i="5"/>
  <c r="AH131" i="5" s="1"/>
  <c r="S317" i="5"/>
  <c r="Z331" i="5"/>
  <c r="U103" i="5"/>
  <c r="AJ103" i="5" s="1"/>
  <c r="Y131" i="5"/>
  <c r="AN131" i="5" s="1"/>
  <c r="X170" i="5"/>
  <c r="AM170" i="5" s="1"/>
  <c r="X321" i="5"/>
  <c r="AM321" i="5" s="1"/>
  <c r="R312" i="5"/>
  <c r="AG312" i="5" s="1"/>
  <c r="V321" i="5"/>
  <c r="V83" i="5"/>
  <c r="AK83" i="5" s="1"/>
  <c r="X209" i="5"/>
  <c r="AM209" i="5" s="1"/>
  <c r="AA217" i="5"/>
  <c r="AP217" i="5" s="1"/>
  <c r="AA252" i="5"/>
  <c r="AP252" i="5" s="1"/>
  <c r="T312" i="5"/>
  <c r="V315" i="5"/>
  <c r="AE317" i="5"/>
  <c r="AT317" i="5" s="1"/>
  <c r="S321" i="5"/>
  <c r="AA331" i="5"/>
  <c r="AP331" i="5" s="1"/>
  <c r="Z105" i="5"/>
  <c r="AO105" i="5" s="1"/>
  <c r="U131" i="5"/>
  <c r="AJ131" i="5" s="1"/>
  <c r="Y209" i="5"/>
  <c r="AN209" i="5" s="1"/>
  <c r="R131" i="5"/>
  <c r="AG131" i="5" s="1"/>
  <c r="Z312" i="5"/>
  <c r="AO312" i="5" s="1"/>
  <c r="AE321" i="5"/>
  <c r="AT321" i="5" s="1"/>
  <c r="U317" i="5"/>
  <c r="T220" i="5"/>
  <c r="AI220" i="5" s="1"/>
  <c r="Z209" i="5"/>
  <c r="AO209" i="5" s="1"/>
  <c r="Z317" i="5"/>
  <c r="AO317" i="5" s="1"/>
  <c r="AA337" i="5"/>
  <c r="AP337" i="5" s="1"/>
  <c r="W22" i="5"/>
  <c r="AL22" i="5" s="1"/>
  <c r="R209" i="5"/>
  <c r="AG209" i="5" s="1"/>
  <c r="Z12" i="5"/>
  <c r="AO12" i="5" s="1"/>
  <c r="X52" i="5"/>
  <c r="AM52" i="5" s="1"/>
  <c r="R60" i="5"/>
  <c r="AG60" i="5" s="1"/>
  <c r="U95" i="5"/>
  <c r="AJ95" i="5" s="1"/>
  <c r="W103" i="5"/>
  <c r="AL103" i="5" s="1"/>
  <c r="X131" i="5"/>
  <c r="AM131" i="5" s="1"/>
  <c r="R252" i="5"/>
  <c r="AG252" i="5" s="1"/>
  <c r="T330" i="5"/>
  <c r="AI330" i="5" s="1"/>
  <c r="Y25" i="5"/>
  <c r="AN25" i="5" s="1"/>
  <c r="V31" i="5"/>
  <c r="AK31" i="5" s="1"/>
  <c r="U83" i="5"/>
  <c r="AJ83" i="5" s="1"/>
  <c r="T103" i="5"/>
  <c r="AI103" i="5" s="1"/>
  <c r="Y83" i="5"/>
  <c r="AN83" i="5" s="1"/>
  <c r="W131" i="5"/>
  <c r="AL131" i="5" s="1"/>
  <c r="R217" i="5"/>
  <c r="AG217" i="5" s="1"/>
  <c r="Z238" i="5"/>
  <c r="AO238" i="5" s="1"/>
  <c r="T299" i="5"/>
  <c r="AI299" i="5" s="1"/>
  <c r="W317" i="5"/>
  <c r="AA347" i="5"/>
  <c r="AP347" i="5" s="1"/>
  <c r="U137" i="5"/>
  <c r="AJ137" i="5" s="1"/>
  <c r="U209" i="5"/>
  <c r="AJ209" i="5" s="1"/>
  <c r="AA315" i="5"/>
  <c r="AP315" i="5" s="1"/>
  <c r="X42" i="5"/>
  <c r="AM42" i="5" s="1"/>
  <c r="S299" i="5"/>
  <c r="AH299" i="5" s="1"/>
  <c r="R344" i="5"/>
  <c r="AG344" i="5" s="1"/>
  <c r="Z83" i="5"/>
  <c r="AO83" i="5" s="1"/>
  <c r="Z177" i="5"/>
  <c r="AO177" i="5" s="1"/>
  <c r="AE209" i="5"/>
  <c r="AT209" i="5" s="1"/>
  <c r="Y220" i="5"/>
  <c r="AN220" i="5" s="1"/>
  <c r="Z227" i="5"/>
  <c r="AO227" i="5" s="1"/>
  <c r="X312" i="5"/>
  <c r="AM312" i="5" s="1"/>
  <c r="Z315" i="5"/>
  <c r="AO315" i="5" s="1"/>
  <c r="W321" i="5"/>
  <c r="AE217" i="5"/>
  <c r="AT217" i="5" s="1"/>
  <c r="V245" i="5"/>
  <c r="R103" i="5"/>
  <c r="AG103" i="5" s="1"/>
  <c r="AU103" i="5" s="1"/>
  <c r="R229" i="5"/>
  <c r="AG229" i="5" s="1"/>
  <c r="R298" i="5"/>
  <c r="AG298" i="5" s="1"/>
  <c r="R317" i="5"/>
  <c r="AG317" i="5" s="1"/>
  <c r="AE252" i="5"/>
  <c r="AT252" i="5" s="1"/>
  <c r="AA103" i="5"/>
  <c r="AP103" i="5" s="1"/>
  <c r="AA317" i="5"/>
  <c r="AP317" i="5" s="1"/>
  <c r="X55" i="5"/>
  <c r="AM55" i="5" s="1"/>
  <c r="AE12" i="5"/>
  <c r="AT12" i="5" s="1"/>
  <c r="AE315" i="5"/>
  <c r="AT315" i="5" s="1"/>
  <c r="W209" i="5"/>
  <c r="AL209" i="5" s="1"/>
  <c r="W34" i="5"/>
  <c r="AL34" i="5" s="1"/>
  <c r="Z54" i="5"/>
  <c r="AO54" i="5" s="1"/>
  <c r="T105" i="5"/>
  <c r="AI105" i="5" s="1"/>
  <c r="AE131" i="5"/>
  <c r="AT131" i="5" s="1"/>
  <c r="V161" i="5"/>
  <c r="AK161" i="5" s="1"/>
  <c r="V220" i="5"/>
  <c r="AK220" i="5" s="1"/>
  <c r="S222" i="5"/>
  <c r="AH222" i="5" s="1"/>
  <c r="R231" i="5"/>
  <c r="AG231" i="5" s="1"/>
  <c r="V252" i="5"/>
  <c r="AK252" i="5" s="1"/>
  <c r="X313" i="5"/>
  <c r="AM313" i="5" s="1"/>
  <c r="X330" i="5"/>
  <c r="AM330" i="5" s="1"/>
  <c r="X13" i="5"/>
  <c r="AM13" i="5" s="1"/>
  <c r="X34" i="5"/>
  <c r="AM34" i="5" s="1"/>
  <c r="U52" i="5"/>
  <c r="AJ52" i="5" s="1"/>
  <c r="X103" i="5"/>
  <c r="AM103" i="5" s="1"/>
  <c r="V209" i="5"/>
  <c r="AK209" i="5" s="1"/>
  <c r="T60" i="5"/>
  <c r="AI60" i="5" s="1"/>
  <c r="AA131" i="5"/>
  <c r="AP131" i="5" s="1"/>
  <c r="S209" i="5"/>
  <c r="AH209" i="5" s="1"/>
  <c r="V217" i="5"/>
  <c r="AK217" i="5" s="1"/>
  <c r="X299" i="5"/>
  <c r="AM299" i="5" s="1"/>
  <c r="S312" i="5"/>
  <c r="R321" i="5"/>
  <c r="AG321" i="5" s="1"/>
  <c r="AA83" i="5"/>
  <c r="AP83" i="5" s="1"/>
  <c r="V118" i="5"/>
  <c r="AK118" i="5" s="1"/>
  <c r="T217" i="5"/>
  <c r="AI217" i="5" s="1"/>
  <c r="Y317" i="5"/>
  <c r="AN317" i="5" s="1"/>
  <c r="W128" i="5"/>
  <c r="AL128" i="5" s="1"/>
  <c r="X217" i="5"/>
  <c r="AM217" i="5" s="1"/>
  <c r="S252" i="5"/>
  <c r="AH252" i="5" s="1"/>
  <c r="W267" i="5"/>
  <c r="AL267" i="5" s="1"/>
  <c r="AE312" i="5"/>
  <c r="AT312" i="5" s="1"/>
  <c r="T317" i="5"/>
  <c r="AA322" i="5"/>
  <c r="AP322" i="5" s="1"/>
  <c r="S83" i="5"/>
  <c r="AH83" i="5" s="1"/>
  <c r="R162" i="5"/>
  <c r="AG162" i="5" s="1"/>
  <c r="Z245" i="5"/>
  <c r="AO245" i="5" s="1"/>
  <c r="AA321" i="5"/>
  <c r="AP321" i="5" s="1"/>
  <c r="W245" i="5"/>
  <c r="U298" i="5"/>
  <c r="Y217" i="5"/>
  <c r="AN217" i="5" s="1"/>
  <c r="R299" i="5"/>
  <c r="AG299" i="5" s="1"/>
  <c r="Q103" i="5"/>
  <c r="U252" i="5"/>
  <c r="AJ252" i="5" s="1"/>
  <c r="Q317" i="5"/>
  <c r="U321" i="5"/>
  <c r="W55" i="5"/>
  <c r="AL55" i="5" s="1"/>
  <c r="S300" i="5"/>
  <c r="U300" i="5"/>
  <c r="Z300" i="5"/>
  <c r="AO300" i="5" s="1"/>
  <c r="AA300" i="5"/>
  <c r="AP300" i="5" s="1"/>
  <c r="R300" i="5"/>
  <c r="AG300" i="5" s="1"/>
  <c r="Q292" i="5"/>
  <c r="W292" i="5"/>
  <c r="S292" i="5"/>
  <c r="Z292" i="5"/>
  <c r="R292" i="5"/>
  <c r="AA292" i="5"/>
  <c r="AP292" i="5" s="1"/>
  <c r="AE292" i="5"/>
  <c r="AT292" i="5" s="1"/>
  <c r="X292" i="5"/>
  <c r="AM292" i="5" s="1"/>
  <c r="Y300" i="5"/>
  <c r="AN300" i="5" s="1"/>
  <c r="Q100" i="5"/>
  <c r="U100" i="5"/>
  <c r="AJ100" i="5" s="1"/>
  <c r="T100" i="5"/>
  <c r="AI100" i="5" s="1"/>
  <c r="V233" i="5"/>
  <c r="AK233" i="5" s="1"/>
  <c r="Z233" i="5"/>
  <c r="AO233" i="5" s="1"/>
  <c r="AE233" i="5"/>
  <c r="AT233" i="5" s="1"/>
  <c r="S233" i="5"/>
  <c r="AH233" i="5" s="1"/>
  <c r="U233" i="5"/>
  <c r="AJ233" i="5" s="1"/>
  <c r="AA233" i="5"/>
  <c r="AP233" i="5" s="1"/>
  <c r="U314" i="5"/>
  <c r="AJ314" i="5" s="1"/>
  <c r="R314" i="5"/>
  <c r="AG314" i="5" s="1"/>
  <c r="AE314" i="5"/>
  <c r="AT314" i="5" s="1"/>
  <c r="S314" i="5"/>
  <c r="Q143" i="5"/>
  <c r="S143" i="5"/>
  <c r="AH143" i="5" s="1"/>
  <c r="AA143" i="5"/>
  <c r="AP143" i="5" s="1"/>
  <c r="T143" i="5"/>
  <c r="AI143" i="5" s="1"/>
  <c r="V143" i="5"/>
  <c r="AK143" i="5" s="1"/>
  <c r="S306" i="5"/>
  <c r="AH306" i="5" s="1"/>
  <c r="AA306" i="5"/>
  <c r="AP306" i="5" s="1"/>
  <c r="X306" i="5"/>
  <c r="T306" i="5"/>
  <c r="AI306" i="5" s="1"/>
  <c r="V306" i="5"/>
  <c r="AK306" i="5" s="1"/>
  <c r="W306" i="5"/>
  <c r="AL306" i="5" s="1"/>
  <c r="Q24" i="5"/>
  <c r="Z24" i="5"/>
  <c r="AO24" i="5" s="1"/>
  <c r="V24" i="5"/>
  <c r="AK24" i="5" s="1"/>
  <c r="T24" i="5"/>
  <c r="AI24" i="5" s="1"/>
  <c r="AA24" i="5"/>
  <c r="AP24" i="5" s="1"/>
  <c r="Q33" i="5"/>
  <c r="X33" i="5"/>
  <c r="AM33" i="5" s="1"/>
  <c r="AE33" i="5"/>
  <c r="AT33" i="5" s="1"/>
  <c r="V33" i="5"/>
  <c r="AK33" i="5" s="1"/>
  <c r="Q56" i="5"/>
  <c r="Z56" i="5"/>
  <c r="AO56" i="5" s="1"/>
  <c r="V56" i="5"/>
  <c r="AK56" i="5" s="1"/>
  <c r="W56" i="5"/>
  <c r="AL56" i="5" s="1"/>
  <c r="Q88" i="5"/>
  <c r="AE88" i="5"/>
  <c r="AT88" i="5" s="1"/>
  <c r="R88" i="5"/>
  <c r="AG88" i="5" s="1"/>
  <c r="X88" i="5"/>
  <c r="AM88" i="5" s="1"/>
  <c r="W88" i="5"/>
  <c r="AL88" i="5" s="1"/>
  <c r="S88" i="5"/>
  <c r="AH88" i="5" s="1"/>
  <c r="U88" i="5"/>
  <c r="AJ88" i="5" s="1"/>
  <c r="Q110" i="5"/>
  <c r="V110" i="5"/>
  <c r="AK110" i="5" s="1"/>
  <c r="AE110" i="5"/>
  <c r="AT110" i="5" s="1"/>
  <c r="AE129" i="5"/>
  <c r="AT129" i="5" s="1"/>
  <c r="AA129" i="5"/>
  <c r="AP129" i="5" s="1"/>
  <c r="X129" i="5"/>
  <c r="AM129" i="5" s="1"/>
  <c r="T129" i="5"/>
  <c r="AI129" i="5" s="1"/>
  <c r="R129" i="5"/>
  <c r="AG129" i="5" s="1"/>
  <c r="W129" i="5"/>
  <c r="AL129" i="5" s="1"/>
  <c r="Z10" i="5"/>
  <c r="AO10" i="5" s="1"/>
  <c r="U10" i="5"/>
  <c r="AJ10" i="5" s="1"/>
  <c r="W10" i="5"/>
  <c r="AL10" i="5" s="1"/>
  <c r="S114" i="5"/>
  <c r="AH114" i="5" s="1"/>
  <c r="R114" i="5"/>
  <c r="AG114" i="5" s="1"/>
  <c r="Z212" i="5"/>
  <c r="AO212" i="5" s="1"/>
  <c r="R212" i="5"/>
  <c r="AG212" i="5" s="1"/>
  <c r="W212" i="5"/>
  <c r="AL212" i="5" s="1"/>
  <c r="U212" i="5"/>
  <c r="AJ212" i="5" s="1"/>
  <c r="Z244" i="5"/>
  <c r="AO244" i="5" s="1"/>
  <c r="V244" i="5"/>
  <c r="Y244" i="5"/>
  <c r="AN244" i="5" s="1"/>
  <c r="U244" i="5"/>
  <c r="AA244" i="5"/>
  <c r="AP244" i="5" s="1"/>
  <c r="W244" i="5"/>
  <c r="AL244" i="5" s="1"/>
  <c r="Q77" i="5"/>
  <c r="Z77" i="5"/>
  <c r="AO77" i="5" s="1"/>
  <c r="V77" i="5"/>
  <c r="AK77" i="5" s="1"/>
  <c r="U77" i="5"/>
  <c r="AJ77" i="5" s="1"/>
  <c r="S77" i="5"/>
  <c r="AH77" i="5" s="1"/>
  <c r="T77" i="5"/>
  <c r="AI77" i="5" s="1"/>
  <c r="V203" i="5"/>
  <c r="AK203" i="5" s="1"/>
  <c r="Z203" i="5"/>
  <c r="AO203" i="5" s="1"/>
  <c r="AA203" i="5"/>
  <c r="AP203" i="5" s="1"/>
  <c r="Y203" i="5"/>
  <c r="AN203" i="5" s="1"/>
  <c r="X235" i="5"/>
  <c r="AM235" i="5" s="1"/>
  <c r="W235" i="5"/>
  <c r="AL235" i="5" s="1"/>
  <c r="R235" i="5"/>
  <c r="AG235" i="5" s="1"/>
  <c r="AE235" i="5"/>
  <c r="AT235" i="5" s="1"/>
  <c r="V235" i="5"/>
  <c r="AK235" i="5" s="1"/>
  <c r="Q58" i="5"/>
  <c r="X58" i="5"/>
  <c r="AM58" i="5" s="1"/>
  <c r="Z58" i="5"/>
  <c r="AO58" i="5" s="1"/>
  <c r="Y58" i="5"/>
  <c r="AN58" i="5" s="1"/>
  <c r="U58" i="5"/>
  <c r="AJ58" i="5" s="1"/>
  <c r="Q122" i="5"/>
  <c r="AE122" i="5"/>
  <c r="AT122" i="5" s="1"/>
  <c r="U122" i="5"/>
  <c r="AJ122" i="5" s="1"/>
  <c r="X122" i="5"/>
  <c r="AM122" i="5" s="1"/>
  <c r="V122" i="5"/>
  <c r="AK122" i="5" s="1"/>
  <c r="AA122" i="5"/>
  <c r="AP122" i="5" s="1"/>
  <c r="W122" i="5"/>
  <c r="AL122" i="5" s="1"/>
  <c r="Y122" i="5"/>
  <c r="AN122" i="5" s="1"/>
  <c r="AA178" i="5"/>
  <c r="AP178" i="5" s="1"/>
  <c r="V178" i="5"/>
  <c r="AK178" i="5" s="1"/>
  <c r="AA194" i="5"/>
  <c r="AP194" i="5" s="1"/>
  <c r="W194" i="5"/>
  <c r="AL194" i="5" s="1"/>
  <c r="T194" i="5"/>
  <c r="AI194" i="5" s="1"/>
  <c r="V194" i="5"/>
  <c r="AK194" i="5" s="1"/>
  <c r="AA210" i="5"/>
  <c r="AP210" i="5" s="1"/>
  <c r="U210" i="5"/>
  <c r="AJ210" i="5" s="1"/>
  <c r="AE210" i="5"/>
  <c r="AT210" i="5" s="1"/>
  <c r="W210" i="5"/>
  <c r="AL210" i="5" s="1"/>
  <c r="AE226" i="5"/>
  <c r="AT226" i="5" s="1"/>
  <c r="W226" i="5"/>
  <c r="AL226" i="5" s="1"/>
  <c r="S226" i="5"/>
  <c r="AH226" i="5" s="1"/>
  <c r="Y226" i="5"/>
  <c r="AN226" i="5" s="1"/>
  <c r="X226" i="5"/>
  <c r="AM226" i="5" s="1"/>
  <c r="Z226" i="5"/>
  <c r="AO226" i="5" s="1"/>
  <c r="V226" i="5"/>
  <c r="AK226" i="5" s="1"/>
  <c r="W242" i="5"/>
  <c r="AL242" i="5" s="1"/>
  <c r="Z242" i="5"/>
  <c r="AO242" i="5" s="1"/>
  <c r="V242" i="5"/>
  <c r="AK242" i="5" s="1"/>
  <c r="S242" i="5"/>
  <c r="AH242" i="5" s="1"/>
  <c r="Q21" i="5"/>
  <c r="AE21" i="5"/>
  <c r="AT21" i="5" s="1"/>
  <c r="V21" i="5"/>
  <c r="AK21" i="5" s="1"/>
  <c r="Y21" i="5"/>
  <c r="AN21" i="5" s="1"/>
  <c r="X21" i="5"/>
  <c r="AM21" i="5" s="1"/>
  <c r="S21" i="5"/>
  <c r="AH21" i="5" s="1"/>
  <c r="R21" i="5"/>
  <c r="AG21" i="5" s="1"/>
  <c r="Q85" i="5"/>
  <c r="T85" i="5"/>
  <c r="AI85" i="5" s="1"/>
  <c r="AA85" i="5"/>
  <c r="AP85" i="5" s="1"/>
  <c r="Z85" i="5"/>
  <c r="AO85" i="5" s="1"/>
  <c r="U85" i="5"/>
  <c r="AJ85" i="5" s="1"/>
  <c r="V85" i="5"/>
  <c r="AK85" i="5" s="1"/>
  <c r="T161" i="5"/>
  <c r="AI161" i="5" s="1"/>
  <c r="X161" i="5"/>
  <c r="AM161" i="5" s="1"/>
  <c r="S161" i="5"/>
  <c r="AH161" i="5" s="1"/>
  <c r="Q191" i="5"/>
  <c r="AA191" i="5"/>
  <c r="AP191" i="5" s="1"/>
  <c r="Y191" i="5"/>
  <c r="AN191" i="5" s="1"/>
  <c r="W191" i="5"/>
  <c r="AL191" i="5" s="1"/>
  <c r="U191" i="5"/>
  <c r="AJ191" i="5" s="1"/>
  <c r="U223" i="5"/>
  <c r="AJ223" i="5" s="1"/>
  <c r="R223" i="5"/>
  <c r="AG223" i="5" s="1"/>
  <c r="W223" i="5"/>
  <c r="AL223" i="5" s="1"/>
  <c r="S223" i="5"/>
  <c r="AH223" i="5" s="1"/>
  <c r="AE223" i="5"/>
  <c r="AT223" i="5" s="1"/>
  <c r="V223" i="5"/>
  <c r="AK223" i="5" s="1"/>
  <c r="Q258" i="5"/>
  <c r="AA258" i="5"/>
  <c r="AP258" i="5" s="1"/>
  <c r="V258" i="5"/>
  <c r="AK258" i="5" s="1"/>
  <c r="R258" i="5"/>
  <c r="AG258" i="5" s="1"/>
  <c r="W24" i="5"/>
  <c r="AL24" i="5" s="1"/>
  <c r="R33" i="5"/>
  <c r="AG33" i="5" s="1"/>
  <c r="W92" i="5"/>
  <c r="AL92" i="5" s="1"/>
  <c r="Y92" i="5"/>
  <c r="AN92" i="5" s="1"/>
  <c r="X92" i="5"/>
  <c r="AM92" i="5" s="1"/>
  <c r="T92" i="5"/>
  <c r="AI92" i="5" s="1"/>
  <c r="Z92" i="5"/>
  <c r="AO92" i="5" s="1"/>
  <c r="V92" i="5"/>
  <c r="AK92" i="5" s="1"/>
  <c r="AE212" i="5"/>
  <c r="AT212" i="5" s="1"/>
  <c r="Q20" i="5"/>
  <c r="S20" i="5"/>
  <c r="AH20" i="5" s="1"/>
  <c r="R20" i="5"/>
  <c r="AG20" i="5" s="1"/>
  <c r="AE20" i="5"/>
  <c r="AT20" i="5" s="1"/>
  <c r="X20" i="5"/>
  <c r="AM20" i="5" s="1"/>
  <c r="W20" i="5"/>
  <c r="AL20" i="5" s="1"/>
  <c r="Z20" i="5"/>
  <c r="AO20" i="5" s="1"/>
  <c r="Y20" i="5"/>
  <c r="AN20" i="5" s="1"/>
  <c r="T20" i="5"/>
  <c r="AI20" i="5" s="1"/>
  <c r="AA58" i="5"/>
  <c r="AP58" i="5" s="1"/>
  <c r="AA198" i="5"/>
  <c r="AP198" i="5" s="1"/>
  <c r="R198" i="5"/>
  <c r="AG198" i="5" s="1"/>
  <c r="AE198" i="5"/>
  <c r="AT198" i="5" s="1"/>
  <c r="T198" i="5"/>
  <c r="AI198" i="5" s="1"/>
  <c r="V198" i="5"/>
  <c r="AK198" i="5" s="1"/>
  <c r="Y198" i="5"/>
  <c r="AN198" i="5" s="1"/>
  <c r="S79" i="5"/>
  <c r="AH79" i="5" s="1"/>
  <c r="AA79" i="5"/>
  <c r="AP79" i="5" s="1"/>
  <c r="T79" i="5"/>
  <c r="AI79" i="5" s="1"/>
  <c r="X124" i="5"/>
  <c r="AM124" i="5" s="1"/>
  <c r="Y124" i="5"/>
  <c r="AN124" i="5" s="1"/>
  <c r="T124" i="5"/>
  <c r="AI124" i="5" s="1"/>
  <c r="R124" i="5"/>
  <c r="AG124" i="5" s="1"/>
  <c r="Z124" i="5"/>
  <c r="AO124" i="5" s="1"/>
  <c r="T323" i="5"/>
  <c r="AI323" i="5" s="1"/>
  <c r="AA323" i="5"/>
  <c r="AP323" i="5" s="1"/>
  <c r="Q264" i="5"/>
  <c r="T264" i="5"/>
  <c r="AI264" i="5" s="1"/>
  <c r="X264" i="5"/>
  <c r="V264" i="5"/>
  <c r="AK264" i="5" s="1"/>
  <c r="S264" i="5"/>
  <c r="AH264" i="5" s="1"/>
  <c r="Z264" i="5"/>
  <c r="AO264" i="5" s="1"/>
  <c r="Q14" i="5"/>
  <c r="Z14" i="5"/>
  <c r="AO14" i="5" s="1"/>
  <c r="V14" i="5"/>
  <c r="AK14" i="5" s="1"/>
  <c r="W14" i="5"/>
  <c r="AL14" i="5" s="1"/>
  <c r="AA14" i="5"/>
  <c r="AP14" i="5" s="1"/>
  <c r="X14" i="5"/>
  <c r="AM14" i="5" s="1"/>
  <c r="Z46" i="5"/>
  <c r="AO46" i="5" s="1"/>
  <c r="S46" i="5"/>
  <c r="AH46" i="5" s="1"/>
  <c r="AA46" i="5"/>
  <c r="AP46" i="5" s="1"/>
  <c r="AE46" i="5"/>
  <c r="AT46" i="5" s="1"/>
  <c r="Q65" i="5"/>
  <c r="Y65" i="5"/>
  <c r="AN65" i="5" s="1"/>
  <c r="S65" i="5"/>
  <c r="AH65" i="5" s="1"/>
  <c r="V65" i="5"/>
  <c r="AK65" i="5" s="1"/>
  <c r="U65" i="5"/>
  <c r="AJ65" i="5" s="1"/>
  <c r="T65" i="5"/>
  <c r="AI65" i="5" s="1"/>
  <c r="Q78" i="5"/>
  <c r="Z78" i="5"/>
  <c r="AO78" i="5" s="1"/>
  <c r="AA78" i="5"/>
  <c r="AP78" i="5" s="1"/>
  <c r="V78" i="5"/>
  <c r="AK78" i="5" s="1"/>
  <c r="Y78" i="5"/>
  <c r="AN78" i="5" s="1"/>
  <c r="AE78" i="5"/>
  <c r="AT78" i="5" s="1"/>
  <c r="X78" i="5"/>
  <c r="AM78" i="5" s="1"/>
  <c r="Q97" i="5"/>
  <c r="U97" i="5"/>
  <c r="AJ97" i="5" s="1"/>
  <c r="Z97" i="5"/>
  <c r="AO97" i="5" s="1"/>
  <c r="S97" i="5"/>
  <c r="AH97" i="5" s="1"/>
  <c r="V97" i="5"/>
  <c r="AK97" i="5" s="1"/>
  <c r="R97" i="5"/>
  <c r="AG97" i="5" s="1"/>
  <c r="T97" i="5"/>
  <c r="AI97" i="5" s="1"/>
  <c r="AA120" i="5"/>
  <c r="AP120" i="5" s="1"/>
  <c r="T120" i="5"/>
  <c r="AI120" i="5" s="1"/>
  <c r="S172" i="5"/>
  <c r="AH172" i="5" s="1"/>
  <c r="W172" i="5"/>
  <c r="AL172" i="5" s="1"/>
  <c r="AE172" i="5"/>
  <c r="AT172" i="5" s="1"/>
  <c r="T172" i="5"/>
  <c r="AI172" i="5" s="1"/>
  <c r="R172" i="5"/>
  <c r="AG172" i="5" s="1"/>
  <c r="R50" i="5"/>
  <c r="AG50" i="5" s="1"/>
  <c r="X50" i="5"/>
  <c r="AM50" i="5" s="1"/>
  <c r="Y50" i="5"/>
  <c r="AN50" i="5" s="1"/>
  <c r="R180" i="5"/>
  <c r="AG180" i="5" s="1"/>
  <c r="Y180" i="5"/>
  <c r="AN180" i="5" s="1"/>
  <c r="U180" i="5"/>
  <c r="AJ180" i="5" s="1"/>
  <c r="AE180" i="5"/>
  <c r="AT180" i="5" s="1"/>
  <c r="AE270" i="5"/>
  <c r="AT270" i="5" s="1"/>
  <c r="V270" i="5"/>
  <c r="AK270" i="5" s="1"/>
  <c r="Y270" i="5"/>
  <c r="AN270" i="5" s="1"/>
  <c r="R270" i="5"/>
  <c r="AG270" i="5" s="1"/>
  <c r="S270" i="5"/>
  <c r="AH270" i="5" s="1"/>
  <c r="T191" i="5"/>
  <c r="AI191" i="5" s="1"/>
  <c r="Z281" i="5"/>
  <c r="AO281" i="5" s="1"/>
  <c r="AE281" i="5"/>
  <c r="AT281" i="5" s="1"/>
  <c r="Y281" i="5"/>
  <c r="AN281" i="5" s="1"/>
  <c r="AA281" i="5"/>
  <c r="AP281" i="5" s="1"/>
  <c r="W281" i="5"/>
  <c r="X281" i="5"/>
  <c r="AM281" i="5" s="1"/>
  <c r="U20" i="5"/>
  <c r="AJ20" i="5" s="1"/>
  <c r="S33" i="5"/>
  <c r="AH33" i="5" s="1"/>
  <c r="W65" i="5"/>
  <c r="AL65" i="5" s="1"/>
  <c r="S92" i="5"/>
  <c r="AH92" i="5" s="1"/>
  <c r="R122" i="5"/>
  <c r="AG122" i="5" s="1"/>
  <c r="AA124" i="5"/>
  <c r="AP124" i="5" s="1"/>
  <c r="S116" i="5"/>
  <c r="AH116" i="5" s="1"/>
  <c r="R116" i="5"/>
  <c r="AG116" i="5" s="1"/>
  <c r="AE116" i="5"/>
  <c r="AT116" i="5" s="1"/>
  <c r="X116" i="5"/>
  <c r="AM116" i="5" s="1"/>
  <c r="Y116" i="5"/>
  <c r="AN116" i="5" s="1"/>
  <c r="T116" i="5"/>
  <c r="AI116" i="5" s="1"/>
  <c r="W116" i="5"/>
  <c r="AL116" i="5" s="1"/>
  <c r="Y120" i="5"/>
  <c r="AN120" i="5" s="1"/>
  <c r="X145" i="5"/>
  <c r="AM145" i="5" s="1"/>
  <c r="X307" i="5"/>
  <c r="AM307" i="5" s="1"/>
  <c r="V127" i="5"/>
  <c r="AK127" i="5" s="1"/>
  <c r="Q39" i="5"/>
  <c r="Y39" i="5"/>
  <c r="AN39" i="5" s="1"/>
  <c r="U39" i="5"/>
  <c r="AJ39" i="5" s="1"/>
  <c r="X39" i="5"/>
  <c r="AM39" i="5" s="1"/>
  <c r="V39" i="5"/>
  <c r="AK39" i="5" s="1"/>
  <c r="R39" i="5"/>
  <c r="AG39" i="5" s="1"/>
  <c r="Q185" i="5"/>
  <c r="W185" i="5"/>
  <c r="AL185" i="5" s="1"/>
  <c r="V185" i="5"/>
  <c r="AK185" i="5" s="1"/>
  <c r="S185" i="5"/>
  <c r="AH185" i="5" s="1"/>
  <c r="Y185" i="5"/>
  <c r="AN185" i="5" s="1"/>
  <c r="Z185" i="5"/>
  <c r="AO185" i="5" s="1"/>
  <c r="R185" i="5"/>
  <c r="AG185" i="5" s="1"/>
  <c r="AE246" i="5"/>
  <c r="AT246" i="5" s="1"/>
  <c r="T246" i="5"/>
  <c r="AI246" i="5" s="1"/>
  <c r="AA246" i="5"/>
  <c r="AP246" i="5" s="1"/>
  <c r="R246" i="5"/>
  <c r="Y246" i="5"/>
  <c r="AN246" i="5" s="1"/>
  <c r="R68" i="5"/>
  <c r="AG68" i="5" s="1"/>
  <c r="S68" i="5"/>
  <c r="AH68" i="5" s="1"/>
  <c r="AA68" i="5"/>
  <c r="AP68" i="5" s="1"/>
  <c r="Z68" i="5"/>
  <c r="AO68" i="5" s="1"/>
  <c r="W68" i="5"/>
  <c r="AL68" i="5" s="1"/>
  <c r="Q16" i="5"/>
  <c r="AE16" i="5"/>
  <c r="AT16" i="5" s="1"/>
  <c r="W16" i="5"/>
  <c r="AL16" i="5" s="1"/>
  <c r="Q38" i="5"/>
  <c r="Y38" i="5"/>
  <c r="AN38" i="5" s="1"/>
  <c r="T38" i="5"/>
  <c r="AI38" i="5" s="1"/>
  <c r="Q57" i="5"/>
  <c r="AA57" i="5"/>
  <c r="AP57" i="5" s="1"/>
  <c r="V57" i="5"/>
  <c r="AK57" i="5" s="1"/>
  <c r="Q80" i="5"/>
  <c r="T80" i="5"/>
  <c r="AI80" i="5" s="1"/>
  <c r="AA80" i="5"/>
  <c r="AP80" i="5" s="1"/>
  <c r="W80" i="5"/>
  <c r="AL80" i="5" s="1"/>
  <c r="Q89" i="5"/>
  <c r="W89" i="5"/>
  <c r="AL89" i="5" s="1"/>
  <c r="Z89" i="5"/>
  <c r="AO89" i="5" s="1"/>
  <c r="Q102" i="5"/>
  <c r="AE102" i="5"/>
  <c r="AT102" i="5" s="1"/>
  <c r="T102" i="5"/>
  <c r="AI102" i="5" s="1"/>
  <c r="U102" i="5"/>
  <c r="AJ102" i="5" s="1"/>
  <c r="AA121" i="5"/>
  <c r="AP121" i="5" s="1"/>
  <c r="Z121" i="5"/>
  <c r="AO121" i="5" s="1"/>
  <c r="S121" i="5"/>
  <c r="AH121" i="5" s="1"/>
  <c r="Q148" i="5"/>
  <c r="AA148" i="5"/>
  <c r="AP148" i="5" s="1"/>
  <c r="Z148" i="5"/>
  <c r="AO148" i="5" s="1"/>
  <c r="T188" i="5"/>
  <c r="AI188" i="5" s="1"/>
  <c r="U188" i="5"/>
  <c r="AJ188" i="5" s="1"/>
  <c r="Y188" i="5"/>
  <c r="AN188" i="5" s="1"/>
  <c r="W188" i="5"/>
  <c r="AL188" i="5" s="1"/>
  <c r="X188" i="5"/>
  <c r="AM188" i="5" s="1"/>
  <c r="Q29" i="5"/>
  <c r="V29" i="5"/>
  <c r="AK29" i="5" s="1"/>
  <c r="R29" i="5"/>
  <c r="AG29" i="5" s="1"/>
  <c r="Z93" i="5"/>
  <c r="AO93" i="5" s="1"/>
  <c r="V93" i="5"/>
  <c r="AK93" i="5" s="1"/>
  <c r="V211" i="5"/>
  <c r="AK211" i="5" s="1"/>
  <c r="AA211" i="5"/>
  <c r="AP211" i="5" s="1"/>
  <c r="AE211" i="5"/>
  <c r="AT211" i="5" s="1"/>
  <c r="U211" i="5"/>
  <c r="AJ211" i="5" s="1"/>
  <c r="X278" i="5"/>
  <c r="AM278" i="5" s="1"/>
  <c r="Z278" i="5"/>
  <c r="AO278" i="5" s="1"/>
  <c r="S278" i="5"/>
  <c r="AE144" i="5"/>
  <c r="AT144" i="5" s="1"/>
  <c r="T144" i="5"/>
  <c r="AI144" i="5" s="1"/>
  <c r="S144" i="5"/>
  <c r="AH144" i="5" s="1"/>
  <c r="Z144" i="5"/>
  <c r="AO144" i="5" s="1"/>
  <c r="R144" i="5"/>
  <c r="AG144" i="5" s="1"/>
  <c r="Z200" i="5"/>
  <c r="AO200" i="5" s="1"/>
  <c r="R200" i="5"/>
  <c r="AG200" i="5" s="1"/>
  <c r="W200" i="5"/>
  <c r="AL200" i="5" s="1"/>
  <c r="AA101" i="5"/>
  <c r="AP101" i="5" s="1"/>
  <c r="AE101" i="5"/>
  <c r="AT101" i="5" s="1"/>
  <c r="T101" i="5"/>
  <c r="AI101" i="5" s="1"/>
  <c r="S101" i="5"/>
  <c r="AH101" i="5" s="1"/>
  <c r="Z199" i="5"/>
  <c r="AO199" i="5" s="1"/>
  <c r="X199" i="5"/>
  <c r="AM199" i="5" s="1"/>
  <c r="AE199" i="5"/>
  <c r="AT199" i="5" s="1"/>
  <c r="S199" i="5"/>
  <c r="AH199" i="5" s="1"/>
  <c r="U199" i="5"/>
  <c r="AJ199" i="5" s="1"/>
  <c r="AA266" i="5"/>
  <c r="AP266" i="5" s="1"/>
  <c r="S266" i="5"/>
  <c r="AH266" i="5" s="1"/>
  <c r="V266" i="5"/>
  <c r="AK266" i="5" s="1"/>
  <c r="AA29" i="5"/>
  <c r="AP29" i="5" s="1"/>
  <c r="Q44" i="5"/>
  <c r="U44" i="5"/>
  <c r="AJ44" i="5" s="1"/>
  <c r="T44" i="5"/>
  <c r="AI44" i="5" s="1"/>
  <c r="U144" i="5"/>
  <c r="AJ144" i="5" s="1"/>
  <c r="U147" i="5"/>
  <c r="AJ147" i="5" s="1"/>
  <c r="R147" i="5"/>
  <c r="AG147" i="5" s="1"/>
  <c r="X147" i="5"/>
  <c r="AM147" i="5" s="1"/>
  <c r="Z147" i="5"/>
  <c r="AO147" i="5" s="1"/>
  <c r="AA147" i="5"/>
  <c r="AP147" i="5" s="1"/>
  <c r="X166" i="5"/>
  <c r="AM166" i="5" s="1"/>
  <c r="AA166" i="5"/>
  <c r="AP166" i="5" s="1"/>
  <c r="T166" i="5"/>
  <c r="AI166" i="5" s="1"/>
  <c r="U166" i="5"/>
  <c r="AJ166" i="5" s="1"/>
  <c r="S232" i="5"/>
  <c r="AH232" i="5" s="1"/>
  <c r="Q280" i="5"/>
  <c r="X280" i="5"/>
  <c r="W284" i="5"/>
  <c r="U284" i="5"/>
  <c r="AE284" i="5"/>
  <c r="AT284" i="5" s="1"/>
  <c r="V16" i="5"/>
  <c r="AK16" i="5" s="1"/>
  <c r="V48" i="5"/>
  <c r="AK48" i="5" s="1"/>
  <c r="R80" i="5"/>
  <c r="AG80" i="5" s="1"/>
  <c r="V102" i="5"/>
  <c r="AK102" i="5" s="1"/>
  <c r="AA137" i="5"/>
  <c r="AP137" i="5" s="1"/>
  <c r="X342" i="5"/>
  <c r="Q197" i="5"/>
  <c r="AE197" i="5"/>
  <c r="AT197" i="5" s="1"/>
  <c r="Z197" i="5"/>
  <c r="AO197" i="5" s="1"/>
  <c r="X197" i="5"/>
  <c r="AM197" i="5" s="1"/>
  <c r="R197" i="5"/>
  <c r="AG197" i="5" s="1"/>
  <c r="AE25" i="5"/>
  <c r="AT25" i="5" s="1"/>
  <c r="V44" i="5"/>
  <c r="AK44" i="5" s="1"/>
  <c r="Y80" i="5"/>
  <c r="AN80" i="5" s="1"/>
  <c r="AE108" i="5"/>
  <c r="AT108" i="5" s="1"/>
  <c r="Y108" i="5"/>
  <c r="AN108" i="5" s="1"/>
  <c r="AA108" i="5"/>
  <c r="AP108" i="5" s="1"/>
  <c r="X108" i="5"/>
  <c r="AM108" i="5" s="1"/>
  <c r="U127" i="5"/>
  <c r="AJ127" i="5" s="1"/>
  <c r="X148" i="5"/>
  <c r="AM148" i="5" s="1"/>
  <c r="AA152" i="5"/>
  <c r="AP152" i="5" s="1"/>
  <c r="U197" i="5"/>
  <c r="AJ197" i="5" s="1"/>
  <c r="AA290" i="5"/>
  <c r="AP290" i="5" s="1"/>
  <c r="W290" i="5"/>
  <c r="AL290" i="5" s="1"/>
  <c r="Z16" i="5"/>
  <c r="AO16" i="5" s="1"/>
  <c r="U41" i="5"/>
  <c r="AJ41" i="5" s="1"/>
  <c r="Y57" i="5"/>
  <c r="AN57" i="5" s="1"/>
  <c r="U68" i="5"/>
  <c r="AJ68" i="5" s="1"/>
  <c r="V80" i="5"/>
  <c r="AK80" i="5" s="1"/>
  <c r="X93" i="5"/>
  <c r="AM93" i="5" s="1"/>
  <c r="W118" i="5"/>
  <c r="AL118" i="5" s="1"/>
  <c r="R34" i="5"/>
  <c r="AG34" i="5" s="1"/>
  <c r="S84" i="5"/>
  <c r="AH84" i="5" s="1"/>
  <c r="AA84" i="5"/>
  <c r="AP84" i="5" s="1"/>
  <c r="R84" i="5"/>
  <c r="AG84" i="5" s="1"/>
  <c r="Q134" i="5"/>
  <c r="T134" i="5"/>
  <c r="AI134" i="5" s="1"/>
  <c r="S179" i="5"/>
  <c r="AH179" i="5" s="1"/>
  <c r="V179" i="5"/>
  <c r="AK179" i="5" s="1"/>
  <c r="AE179" i="5"/>
  <c r="AT179" i="5" s="1"/>
  <c r="U179" i="5"/>
  <c r="AJ179" i="5" s="1"/>
  <c r="AE200" i="5"/>
  <c r="AT200" i="5" s="1"/>
  <c r="Q213" i="5"/>
  <c r="AA213" i="5"/>
  <c r="AP213" i="5" s="1"/>
  <c r="X213" i="5"/>
  <c r="AM213" i="5" s="1"/>
  <c r="S213" i="5"/>
  <c r="AH213" i="5" s="1"/>
  <c r="AE213" i="5"/>
  <c r="AT213" i="5" s="1"/>
  <c r="Z213" i="5"/>
  <c r="AO213" i="5" s="1"/>
  <c r="T213" i="5"/>
  <c r="AI213" i="5" s="1"/>
  <c r="R213" i="5"/>
  <c r="AG213" i="5" s="1"/>
  <c r="S283" i="5"/>
  <c r="R283" i="5"/>
  <c r="X183" i="5"/>
  <c r="AM183" i="5" s="1"/>
  <c r="W266" i="5"/>
  <c r="AL266" i="5" s="1"/>
  <c r="Z284" i="5"/>
  <c r="AO284" i="5" s="1"/>
  <c r="T69" i="5"/>
  <c r="AI69" i="5" s="1"/>
  <c r="T106" i="5"/>
  <c r="AI106" i="5" s="1"/>
  <c r="S89" i="5"/>
  <c r="AH89" i="5" s="1"/>
  <c r="Z266" i="5"/>
  <c r="AO266" i="5" s="1"/>
  <c r="Y280" i="5"/>
  <c r="AN280" i="5" s="1"/>
  <c r="AE311" i="5"/>
  <c r="AT311" i="5" s="1"/>
  <c r="X311" i="5"/>
  <c r="AM311" i="5" s="1"/>
  <c r="T311" i="5"/>
  <c r="X320" i="5"/>
  <c r="AE320" i="5"/>
  <c r="AT320" i="5" s="1"/>
  <c r="T320" i="5"/>
  <c r="S320" i="5"/>
  <c r="AA320" i="5"/>
  <c r="AP320" i="5" s="1"/>
  <c r="Z320" i="5"/>
  <c r="AO320" i="5" s="1"/>
  <c r="Y320" i="5"/>
  <c r="AN320" i="5" s="1"/>
  <c r="U320" i="5"/>
  <c r="T197" i="5"/>
  <c r="AI197" i="5" s="1"/>
  <c r="Q127" i="5"/>
  <c r="AE127" i="5"/>
  <c r="AT127" i="5" s="1"/>
  <c r="AA127" i="5"/>
  <c r="AP127" i="5" s="1"/>
  <c r="Y127" i="5"/>
  <c r="AN127" i="5" s="1"/>
  <c r="W127" i="5"/>
  <c r="AL127" i="5" s="1"/>
  <c r="W155" i="5"/>
  <c r="AL155" i="5" s="1"/>
  <c r="AE155" i="5"/>
  <c r="AT155" i="5" s="1"/>
  <c r="AA293" i="5"/>
  <c r="AP293" i="5" s="1"/>
  <c r="Z293" i="5"/>
  <c r="AO293" i="5" s="1"/>
  <c r="R293" i="5"/>
  <c r="AE293" i="5"/>
  <c r="AT293" i="5" s="1"/>
  <c r="X293" i="5"/>
  <c r="AM293" i="5" s="1"/>
  <c r="W293" i="5"/>
  <c r="Z342" i="5"/>
  <c r="AO342" i="5" s="1"/>
  <c r="Y342" i="5"/>
  <c r="AN342" i="5" s="1"/>
  <c r="R342" i="5"/>
  <c r="AA342" i="5"/>
  <c r="AP342" i="5" s="1"/>
  <c r="AE342" i="5"/>
  <c r="AT342" i="5" s="1"/>
  <c r="W342" i="5"/>
  <c r="Q25" i="5"/>
  <c r="AA25" i="5"/>
  <c r="AP25" i="5" s="1"/>
  <c r="Q48" i="5"/>
  <c r="T48" i="5"/>
  <c r="AI48" i="5" s="1"/>
  <c r="X48" i="5"/>
  <c r="AM48" i="5" s="1"/>
  <c r="S48" i="5"/>
  <c r="AH48" i="5" s="1"/>
  <c r="Q70" i="5"/>
  <c r="X70" i="5"/>
  <c r="AM70" i="5" s="1"/>
  <c r="T70" i="5"/>
  <c r="AI70" i="5" s="1"/>
  <c r="S70" i="5"/>
  <c r="AH70" i="5" s="1"/>
  <c r="Q13" i="5"/>
  <c r="U13" i="5"/>
  <c r="AJ13" i="5" s="1"/>
  <c r="Q130" i="5"/>
  <c r="Z130" i="5"/>
  <c r="AO130" i="5" s="1"/>
  <c r="S220" i="5"/>
  <c r="AH220" i="5" s="1"/>
  <c r="AA220" i="5"/>
  <c r="AP220" i="5" s="1"/>
  <c r="AE152" i="5"/>
  <c r="AT152" i="5" s="1"/>
  <c r="Z152" i="5"/>
  <c r="AO152" i="5" s="1"/>
  <c r="X152" i="5"/>
  <c r="AM152" i="5" s="1"/>
  <c r="R152" i="5"/>
  <c r="AG152" i="5" s="1"/>
  <c r="T152" i="5"/>
  <c r="AI152" i="5" s="1"/>
  <c r="Q243" i="5"/>
  <c r="Y243" i="5"/>
  <c r="AN243" i="5" s="1"/>
  <c r="AE243" i="5"/>
  <c r="AT243" i="5" s="1"/>
  <c r="S74" i="5"/>
  <c r="AH74" i="5" s="1"/>
  <c r="AA74" i="5"/>
  <c r="AP74" i="5" s="1"/>
  <c r="T74" i="5"/>
  <c r="AI74" i="5" s="1"/>
  <c r="X74" i="5"/>
  <c r="AM74" i="5" s="1"/>
  <c r="R184" i="5"/>
  <c r="AG184" i="5" s="1"/>
  <c r="T184" i="5"/>
  <c r="AI184" i="5" s="1"/>
  <c r="Z184" i="5"/>
  <c r="AO184" i="5" s="1"/>
  <c r="V184" i="5"/>
  <c r="AK184" i="5" s="1"/>
  <c r="W184" i="5"/>
  <c r="AL184" i="5" s="1"/>
  <c r="U216" i="5"/>
  <c r="AJ216" i="5" s="1"/>
  <c r="W216" i="5"/>
  <c r="AL216" i="5" s="1"/>
  <c r="Z216" i="5"/>
  <c r="AO216" i="5" s="1"/>
  <c r="Q232" i="5"/>
  <c r="U232" i="5"/>
  <c r="AJ232" i="5" s="1"/>
  <c r="AE232" i="5"/>
  <c r="AT232" i="5" s="1"/>
  <c r="Y232" i="5"/>
  <c r="AN232" i="5" s="1"/>
  <c r="Z232" i="5"/>
  <c r="AO232" i="5" s="1"/>
  <c r="Q37" i="5"/>
  <c r="AE37" i="5"/>
  <c r="AT37" i="5" s="1"/>
  <c r="AA37" i="5"/>
  <c r="AP37" i="5" s="1"/>
  <c r="X37" i="5"/>
  <c r="AM37" i="5" s="1"/>
  <c r="Y168" i="5"/>
  <c r="AN168" i="5" s="1"/>
  <c r="U168" i="5"/>
  <c r="AJ168" i="5" s="1"/>
  <c r="AE168" i="5"/>
  <c r="AT168" i="5" s="1"/>
  <c r="AA231" i="5"/>
  <c r="AP231" i="5" s="1"/>
  <c r="AE231" i="5"/>
  <c r="AT231" i="5" s="1"/>
  <c r="Z70" i="5"/>
  <c r="AO70" i="5" s="1"/>
  <c r="U80" i="5"/>
  <c r="AJ80" i="5" s="1"/>
  <c r="AA130" i="5"/>
  <c r="AP130" i="5" s="1"/>
  <c r="W140" i="5"/>
  <c r="AL140" i="5" s="1"/>
  <c r="X140" i="5"/>
  <c r="AM140" i="5" s="1"/>
  <c r="W248" i="5"/>
  <c r="AE307" i="5"/>
  <c r="AT307" i="5" s="1"/>
  <c r="AA307" i="5"/>
  <c r="AP307" i="5" s="1"/>
  <c r="AE29" i="5"/>
  <c r="AT29" i="5" s="1"/>
  <c r="U57" i="5"/>
  <c r="AJ57" i="5" s="1"/>
  <c r="AE66" i="5"/>
  <c r="AT66" i="5" s="1"/>
  <c r="AA70" i="5"/>
  <c r="AP70" i="5" s="1"/>
  <c r="V74" i="5"/>
  <c r="AK74" i="5" s="1"/>
  <c r="T93" i="5"/>
  <c r="AI93" i="5" s="1"/>
  <c r="W102" i="5"/>
  <c r="AL102" i="5" s="1"/>
  <c r="Q23" i="5"/>
  <c r="R23" i="5"/>
  <c r="AG23" i="5" s="1"/>
  <c r="R121" i="5"/>
  <c r="AG121" i="5" s="1"/>
  <c r="X200" i="5"/>
  <c r="AM200" i="5" s="1"/>
  <c r="R243" i="5"/>
  <c r="AG243" i="5" s="1"/>
  <c r="Q138" i="5"/>
  <c r="W138" i="5"/>
  <c r="AL138" i="5" s="1"/>
  <c r="AA138" i="5"/>
  <c r="AP138" i="5" s="1"/>
  <c r="S138" i="5"/>
  <c r="AH138" i="5" s="1"/>
  <c r="X138" i="5"/>
  <c r="AM138" i="5" s="1"/>
  <c r="Z138" i="5"/>
  <c r="AO138" i="5" s="1"/>
  <c r="T138" i="5"/>
  <c r="AI138" i="5" s="1"/>
  <c r="S249" i="5"/>
  <c r="AH249" i="5" s="1"/>
  <c r="Y249" i="5"/>
  <c r="AN249" i="5" s="1"/>
  <c r="R249" i="5"/>
  <c r="U249" i="5"/>
  <c r="AJ249" i="5" s="1"/>
  <c r="T249" i="5"/>
  <c r="AI249" i="5" s="1"/>
  <c r="W249" i="5"/>
  <c r="Q28" i="5"/>
  <c r="T28" i="5"/>
  <c r="AI28" i="5" s="1"/>
  <c r="T68" i="5"/>
  <c r="AI68" i="5" s="1"/>
  <c r="Q76" i="5"/>
  <c r="T76" i="5"/>
  <c r="AI76" i="5" s="1"/>
  <c r="X76" i="5"/>
  <c r="AM76" i="5" s="1"/>
  <c r="U76" i="5"/>
  <c r="AJ76" i="5" s="1"/>
  <c r="Y101" i="5"/>
  <c r="AN101" i="5" s="1"/>
  <c r="Y144" i="5"/>
  <c r="AN144" i="5" s="1"/>
  <c r="Q268" i="5"/>
  <c r="AE268" i="5"/>
  <c r="AT268" i="5" s="1"/>
  <c r="AA268" i="5"/>
  <c r="AP268" i="5" s="1"/>
  <c r="V280" i="5"/>
  <c r="AK280" i="5" s="1"/>
  <c r="Q32" i="5"/>
  <c r="AA32" i="5"/>
  <c r="AP32" i="5" s="1"/>
  <c r="X32" i="5"/>
  <c r="AM32" i="5" s="1"/>
  <c r="Q64" i="5"/>
  <c r="S64" i="5"/>
  <c r="AH64" i="5" s="1"/>
  <c r="Q73" i="5"/>
  <c r="V73" i="5"/>
  <c r="AK73" i="5" s="1"/>
  <c r="AA73" i="5"/>
  <c r="AP73" i="5" s="1"/>
  <c r="Q86" i="5"/>
  <c r="U86" i="5"/>
  <c r="AJ86" i="5" s="1"/>
  <c r="Q96" i="5"/>
  <c r="AA96" i="5"/>
  <c r="AP96" i="5" s="1"/>
  <c r="Q164" i="5"/>
  <c r="R164" i="5"/>
  <c r="AG164" i="5" s="1"/>
  <c r="AA164" i="5"/>
  <c r="AP164" i="5" s="1"/>
  <c r="Q8" i="5"/>
  <c r="U8" i="5"/>
  <c r="AJ8" i="5" s="1"/>
  <c r="V8" i="5"/>
  <c r="AK8" i="5" s="1"/>
  <c r="Z8" i="5"/>
  <c r="AO8" i="5" s="1"/>
  <c r="U98" i="5"/>
  <c r="AJ98" i="5" s="1"/>
  <c r="Z98" i="5"/>
  <c r="AO98" i="5" s="1"/>
  <c r="X204" i="5"/>
  <c r="AM204" i="5" s="1"/>
  <c r="Y204" i="5"/>
  <c r="AN204" i="5" s="1"/>
  <c r="Q236" i="5"/>
  <c r="T236" i="5"/>
  <c r="AI236" i="5" s="1"/>
  <c r="X236" i="5"/>
  <c r="AM236" i="5" s="1"/>
  <c r="Q61" i="5"/>
  <c r="V61" i="5"/>
  <c r="AK61" i="5" s="1"/>
  <c r="T195" i="5"/>
  <c r="AI195" i="5" s="1"/>
  <c r="AE195" i="5"/>
  <c r="AT195" i="5" s="1"/>
  <c r="T262" i="5"/>
  <c r="AI262" i="5" s="1"/>
  <c r="AE262" i="5"/>
  <c r="AT262" i="5" s="1"/>
  <c r="Q42" i="5"/>
  <c r="W42" i="5"/>
  <c r="AL42" i="5" s="1"/>
  <c r="Q176" i="5"/>
  <c r="W176" i="5"/>
  <c r="AL176" i="5" s="1"/>
  <c r="S176" i="5"/>
  <c r="AH176" i="5" s="1"/>
  <c r="X192" i="5"/>
  <c r="AM192" i="5" s="1"/>
  <c r="T192" i="5"/>
  <c r="AI192" i="5" s="1"/>
  <c r="W240" i="5"/>
  <c r="AL240" i="5" s="1"/>
  <c r="S240" i="5"/>
  <c r="AH240" i="5" s="1"/>
  <c r="AE240" i="5"/>
  <c r="AT240" i="5" s="1"/>
  <c r="AE254" i="5"/>
  <c r="AT254" i="5" s="1"/>
  <c r="V254" i="5"/>
  <c r="AK254" i="5" s="1"/>
  <c r="X254" i="5"/>
  <c r="AM254" i="5" s="1"/>
  <c r="V133" i="5"/>
  <c r="AK133" i="5" s="1"/>
  <c r="S133" i="5"/>
  <c r="AH133" i="5" s="1"/>
  <c r="T133" i="5"/>
  <c r="AI133" i="5" s="1"/>
  <c r="R133" i="5"/>
  <c r="AG133" i="5" s="1"/>
  <c r="Q247" i="5"/>
  <c r="U247" i="5"/>
  <c r="AJ247" i="5" s="1"/>
  <c r="S247" i="5"/>
  <c r="AH247" i="5" s="1"/>
  <c r="V282" i="5"/>
  <c r="AK282" i="5" s="1"/>
  <c r="AA282" i="5"/>
  <c r="AP282" i="5" s="1"/>
  <c r="Z282" i="5"/>
  <c r="AO282" i="5" s="1"/>
  <c r="R284" i="5"/>
  <c r="S13" i="5"/>
  <c r="AH13" i="5" s="1"/>
  <c r="W23" i="5"/>
  <c r="AL23" i="5" s="1"/>
  <c r="V28" i="5"/>
  <c r="AK28" i="5" s="1"/>
  <c r="R38" i="5"/>
  <c r="AG38" i="5" s="1"/>
  <c r="Z44" i="5"/>
  <c r="AO44" i="5" s="1"/>
  <c r="U48" i="5"/>
  <c r="AJ48" i="5" s="1"/>
  <c r="X68" i="5"/>
  <c r="AM68" i="5" s="1"/>
  <c r="V76" i="5"/>
  <c r="AK76" i="5" s="1"/>
  <c r="X89" i="5"/>
  <c r="AM89" i="5" s="1"/>
  <c r="AA93" i="5"/>
  <c r="AP93" i="5" s="1"/>
  <c r="R102" i="5"/>
  <c r="AG102" i="5" s="1"/>
  <c r="V108" i="5"/>
  <c r="AK108" i="5" s="1"/>
  <c r="U112" i="5"/>
  <c r="AJ112" i="5" s="1"/>
  <c r="Y128" i="5"/>
  <c r="AN128" i="5" s="1"/>
  <c r="R134" i="5"/>
  <c r="AG134" i="5" s="1"/>
  <c r="AE137" i="5"/>
  <c r="AT137" i="5" s="1"/>
  <c r="AE148" i="5"/>
  <c r="AT148" i="5" s="1"/>
  <c r="W163" i="5"/>
  <c r="AL163" i="5" s="1"/>
  <c r="AE185" i="5"/>
  <c r="AT185" i="5" s="1"/>
  <c r="Y197" i="5"/>
  <c r="AN197" i="5" s="1"/>
  <c r="U208" i="5"/>
  <c r="AJ208" i="5" s="1"/>
  <c r="AA227" i="5"/>
  <c r="AP227" i="5" s="1"/>
  <c r="V236" i="5"/>
  <c r="AK236" i="5" s="1"/>
  <c r="AA243" i="5"/>
  <c r="AP243" i="5" s="1"/>
  <c r="Q265" i="5"/>
  <c r="R265" i="5"/>
  <c r="AG265" i="5" s="1"/>
  <c r="X265" i="5"/>
  <c r="V265" i="5"/>
  <c r="AK265" i="5" s="1"/>
  <c r="AE265" i="5"/>
  <c r="AT265" i="5" s="1"/>
  <c r="T265" i="5"/>
  <c r="AI265" i="5" s="1"/>
  <c r="V268" i="5"/>
  <c r="AK268" i="5" s="1"/>
  <c r="Z280" i="5"/>
  <c r="AO280" i="5" s="1"/>
  <c r="AE282" i="5"/>
  <c r="AT282" i="5" s="1"/>
  <c r="AE291" i="5"/>
  <c r="AT291" i="5" s="1"/>
  <c r="X291" i="5"/>
  <c r="T291" i="5"/>
  <c r="Y291" i="5"/>
  <c r="AN291" i="5" s="1"/>
  <c r="U291" i="5"/>
  <c r="U293" i="5"/>
  <c r="Y316" i="5"/>
  <c r="AN316" i="5" s="1"/>
  <c r="AA316" i="5"/>
  <c r="AP316" i="5" s="1"/>
  <c r="U316" i="5"/>
  <c r="S12" i="5"/>
  <c r="AH12" i="5" s="1"/>
  <c r="U25" i="5"/>
  <c r="AJ25" i="5" s="1"/>
  <c r="W28" i="5"/>
  <c r="AL28" i="5" s="1"/>
  <c r="Z32" i="5"/>
  <c r="AO32" i="5" s="1"/>
  <c r="S38" i="5"/>
  <c r="AH38" i="5" s="1"/>
  <c r="Z42" i="5"/>
  <c r="AO42" i="5" s="1"/>
  <c r="S44" i="5"/>
  <c r="AH44" i="5" s="1"/>
  <c r="Y68" i="5"/>
  <c r="AN68" i="5" s="1"/>
  <c r="R95" i="5"/>
  <c r="AG95" i="5" s="1"/>
  <c r="Z112" i="5"/>
  <c r="AO112" i="5" s="1"/>
  <c r="U121" i="5"/>
  <c r="AJ121" i="5" s="1"/>
  <c r="T22" i="5"/>
  <c r="AI22" i="5" s="1"/>
  <c r="V25" i="5"/>
  <c r="AK25" i="5" s="1"/>
  <c r="X28" i="5"/>
  <c r="AM28" i="5" s="1"/>
  <c r="W52" i="5"/>
  <c r="AL52" i="5" s="1"/>
  <c r="AA52" i="5"/>
  <c r="AP52" i="5" s="1"/>
  <c r="S52" i="5"/>
  <c r="AH52" i="5" s="1"/>
  <c r="Z52" i="5"/>
  <c r="AO52" i="5" s="1"/>
  <c r="R57" i="5"/>
  <c r="AG57" i="5" s="1"/>
  <c r="Z66" i="5"/>
  <c r="AO66" i="5" s="1"/>
  <c r="V84" i="5"/>
  <c r="AK84" i="5" s="1"/>
  <c r="V89" i="5"/>
  <c r="AK89" i="5" s="1"/>
  <c r="W95" i="5"/>
  <c r="AL95" i="5" s="1"/>
  <c r="AE163" i="5"/>
  <c r="AT163" i="5" s="1"/>
  <c r="T176" i="5"/>
  <c r="AI176" i="5" s="1"/>
  <c r="X220" i="5"/>
  <c r="AM220" i="5" s="1"/>
  <c r="U231" i="5"/>
  <c r="AJ231" i="5" s="1"/>
  <c r="X240" i="5"/>
  <c r="AM240" i="5" s="1"/>
  <c r="W271" i="5"/>
  <c r="AL271" i="5" s="1"/>
  <c r="AE271" i="5"/>
  <c r="AT271" i="5" s="1"/>
  <c r="X284" i="5"/>
  <c r="AM284" i="5" s="1"/>
  <c r="V311" i="5"/>
  <c r="X336" i="5"/>
  <c r="U336" i="5"/>
  <c r="Y336" i="5"/>
  <c r="AN336" i="5" s="1"/>
  <c r="AE336" i="5"/>
  <c r="AT336" i="5" s="1"/>
  <c r="S336" i="5"/>
  <c r="W336" i="5"/>
  <c r="T336" i="5"/>
  <c r="T341" i="5"/>
  <c r="AE341" i="5"/>
  <c r="AT341" i="5" s="1"/>
  <c r="T108" i="5"/>
  <c r="AI108" i="5" s="1"/>
  <c r="T155" i="5"/>
  <c r="AI155" i="5" s="1"/>
  <c r="U184" i="5"/>
  <c r="AJ184" i="5" s="1"/>
  <c r="S197" i="5"/>
  <c r="AH197" i="5" s="1"/>
  <c r="Z334" i="5"/>
  <c r="AO334" i="5" s="1"/>
  <c r="X334" i="5"/>
  <c r="S148" i="5"/>
  <c r="AH148" i="5" s="1"/>
  <c r="AA185" i="5"/>
  <c r="AP185" i="5" s="1"/>
  <c r="S16" i="5"/>
  <c r="AH16" i="5" s="1"/>
  <c r="W121" i="5"/>
  <c r="AL121" i="5" s="1"/>
  <c r="Q142" i="5"/>
  <c r="S142" i="5"/>
  <c r="AH142" i="5" s="1"/>
  <c r="Y142" i="5"/>
  <c r="AN142" i="5" s="1"/>
  <c r="W142" i="5"/>
  <c r="AL142" i="5" s="1"/>
  <c r="S262" i="5"/>
  <c r="AH262" i="5" s="1"/>
  <c r="Z271" i="5"/>
  <c r="AE273" i="5"/>
  <c r="AT273" i="5" s="1"/>
  <c r="U273" i="5"/>
  <c r="AA273" i="5"/>
  <c r="AP273" i="5" s="1"/>
  <c r="R273" i="5"/>
  <c r="Y284" i="5"/>
  <c r="AN284" i="5" s="1"/>
  <c r="T293" i="5"/>
  <c r="AE112" i="5"/>
  <c r="AT112" i="5" s="1"/>
  <c r="Z157" i="5"/>
  <c r="AO157" i="5" s="1"/>
  <c r="R157" i="5"/>
  <c r="AG157" i="5" s="1"/>
  <c r="Y157" i="5"/>
  <c r="AN157" i="5" s="1"/>
  <c r="S157" i="5"/>
  <c r="AH157" i="5" s="1"/>
  <c r="V157" i="5"/>
  <c r="AK157" i="5" s="1"/>
  <c r="AE157" i="5"/>
  <c r="AT157" i="5" s="1"/>
  <c r="U157" i="5"/>
  <c r="AJ157" i="5" s="1"/>
  <c r="X157" i="5"/>
  <c r="AM157" i="5" s="1"/>
  <c r="V176" i="5"/>
  <c r="AK176" i="5" s="1"/>
  <c r="Z206" i="5"/>
  <c r="AO206" i="5" s="1"/>
  <c r="W206" i="5"/>
  <c r="AL206" i="5" s="1"/>
  <c r="T206" i="5"/>
  <c r="AI206" i="5" s="1"/>
  <c r="R206" i="5"/>
  <c r="AG206" i="5" s="1"/>
  <c r="Y177" i="5"/>
  <c r="AN177" i="5" s="1"/>
  <c r="R238" i="5"/>
  <c r="AG238" i="5" s="1"/>
  <c r="U335" i="5"/>
  <c r="Y335" i="5"/>
  <c r="AA335" i="5"/>
  <c r="AP335" i="5" s="1"/>
  <c r="X139" i="5"/>
  <c r="AM139" i="5" s="1"/>
  <c r="Z139" i="5"/>
  <c r="AO139" i="5" s="1"/>
  <c r="AE149" i="5"/>
  <c r="AT149" i="5" s="1"/>
  <c r="R149" i="5"/>
  <c r="AG149" i="5" s="1"/>
  <c r="R221" i="5"/>
  <c r="AG221" i="5" s="1"/>
  <c r="Q253" i="5"/>
  <c r="U253" i="5"/>
  <c r="AJ253" i="5" s="1"/>
  <c r="X257" i="5"/>
  <c r="AM257" i="5" s="1"/>
  <c r="T257" i="5"/>
  <c r="AI257" i="5" s="1"/>
  <c r="Q132" i="5"/>
  <c r="V132" i="5"/>
  <c r="AK132" i="5" s="1"/>
  <c r="R132" i="5"/>
  <c r="AG132" i="5" s="1"/>
  <c r="Q190" i="5"/>
  <c r="R190" i="5"/>
  <c r="AG190" i="5" s="1"/>
  <c r="AU190" i="5" s="1"/>
  <c r="V190" i="5"/>
  <c r="AK190" i="5" s="1"/>
  <c r="Y190" i="5"/>
  <c r="AN190" i="5" s="1"/>
  <c r="T190" i="5"/>
  <c r="AI190" i="5" s="1"/>
  <c r="Z190" i="5"/>
  <c r="AO190" i="5" s="1"/>
  <c r="AA190" i="5"/>
  <c r="AP190" i="5" s="1"/>
  <c r="S190" i="5"/>
  <c r="AH190" i="5" s="1"/>
  <c r="U136" i="5"/>
  <c r="AJ136" i="5" s="1"/>
  <c r="T136" i="5"/>
  <c r="AI136" i="5" s="1"/>
  <c r="Q241" i="5"/>
  <c r="X241" i="5"/>
  <c r="AM241" i="5" s="1"/>
  <c r="W241" i="5"/>
  <c r="AL241" i="5" s="1"/>
  <c r="T241" i="5"/>
  <c r="AI241" i="5" s="1"/>
  <c r="U330" i="5"/>
  <c r="AA330" i="5"/>
  <c r="AP330" i="5" s="1"/>
  <c r="Y340" i="5"/>
  <c r="AN340" i="5" s="1"/>
  <c r="T340" i="5"/>
  <c r="X340" i="5"/>
  <c r="AM340" i="5" s="1"/>
  <c r="R340" i="5"/>
  <c r="X136" i="5"/>
  <c r="AM136" i="5" s="1"/>
  <c r="Q181" i="5"/>
  <c r="AA181" i="5"/>
  <c r="AP181" i="5" s="1"/>
  <c r="S181" i="5"/>
  <c r="AH181" i="5" s="1"/>
  <c r="AA241" i="5"/>
  <c r="AP241" i="5" s="1"/>
  <c r="W330" i="5"/>
  <c r="AL330" i="5" s="1"/>
  <c r="S170" i="5"/>
  <c r="AH170" i="5" s="1"/>
  <c r="Z325" i="5"/>
  <c r="AO325" i="5" s="1"/>
  <c r="W325" i="5"/>
  <c r="AE325" i="5"/>
  <c r="AT325" i="5" s="1"/>
  <c r="T325" i="5"/>
  <c r="AI325" i="5" s="1"/>
  <c r="T221" i="5"/>
  <c r="AI221" i="5" s="1"/>
  <c r="R170" i="5"/>
  <c r="AG170" i="5" s="1"/>
  <c r="U132" i="5"/>
  <c r="AJ132" i="5" s="1"/>
  <c r="Q51" i="5"/>
  <c r="S51" i="5"/>
  <c r="AH51" i="5" s="1"/>
  <c r="S267" i="5"/>
  <c r="AH267" i="5" s="1"/>
  <c r="X272" i="5"/>
  <c r="AA272" i="5"/>
  <c r="AP272" i="5" s="1"/>
  <c r="Y344" i="5"/>
  <c r="AN344" i="5" s="1"/>
  <c r="AA344" i="5"/>
  <c r="AP344" i="5" s="1"/>
  <c r="Z344" i="5"/>
  <c r="AO344" i="5" s="1"/>
  <c r="AE344" i="5"/>
  <c r="AT344" i="5" s="1"/>
  <c r="W344" i="5"/>
  <c r="AL344" i="5" s="1"/>
  <c r="Z260" i="5"/>
  <c r="AO260" i="5" s="1"/>
  <c r="W260" i="5"/>
  <c r="AL260" i="5" s="1"/>
  <c r="R260" i="5"/>
  <c r="AG260" i="5" s="1"/>
  <c r="Z301" i="5"/>
  <c r="AO301" i="5" s="1"/>
  <c r="X301" i="5"/>
  <c r="Z36" i="5"/>
  <c r="AO36" i="5" s="1"/>
  <c r="V36" i="5"/>
  <c r="AK36" i="5" s="1"/>
  <c r="Q324" i="5"/>
  <c r="S324" i="5"/>
  <c r="AA324" i="5"/>
  <c r="AP324" i="5" s="1"/>
  <c r="V324" i="5"/>
  <c r="AK324" i="5" s="1"/>
  <c r="Q59" i="5"/>
  <c r="W59" i="5"/>
  <c r="AL59" i="5" s="1"/>
  <c r="Q205" i="5"/>
  <c r="S205" i="5"/>
  <c r="AH205" i="5" s="1"/>
  <c r="W205" i="5"/>
  <c r="AL205" i="5" s="1"/>
  <c r="Z51" i="5"/>
  <c r="AO51" i="5" s="1"/>
  <c r="Z154" i="5"/>
  <c r="AO154" i="5" s="1"/>
  <c r="AE222" i="5"/>
  <c r="AT222" i="5" s="1"/>
  <c r="T222" i="5"/>
  <c r="AI222" i="5" s="1"/>
  <c r="Z272" i="5"/>
  <c r="AO272" i="5" s="1"/>
  <c r="AE331" i="5"/>
  <c r="AT331" i="5" s="1"/>
  <c r="R331" i="5"/>
  <c r="U256" i="5"/>
  <c r="AJ256" i="5" s="1"/>
  <c r="AA256" i="5"/>
  <c r="AP256" i="5" s="1"/>
  <c r="R256" i="5"/>
  <c r="AG256" i="5" s="1"/>
  <c r="T331" i="5"/>
  <c r="Q288" i="5"/>
  <c r="V288" i="5"/>
  <c r="AK288" i="5" s="1"/>
  <c r="R288" i="5"/>
  <c r="AG288" i="5" s="1"/>
  <c r="AU288" i="5" s="1"/>
  <c r="Q319" i="5"/>
  <c r="Z319" i="5"/>
  <c r="AO319" i="5" s="1"/>
  <c r="Y319" i="5"/>
  <c r="AN319" i="5" s="1"/>
  <c r="AA319" i="5"/>
  <c r="AP319" i="5" s="1"/>
  <c r="Q15" i="5"/>
  <c r="AE15" i="5"/>
  <c r="AT15" i="5" s="1"/>
  <c r="AA15" i="5"/>
  <c r="AP15" i="5" s="1"/>
  <c r="T15" i="5"/>
  <c r="AI15" i="5" s="1"/>
  <c r="Y312" i="5"/>
  <c r="AN312" i="5" s="1"/>
  <c r="S260" i="5"/>
  <c r="AH260" i="5" s="1"/>
  <c r="Y301" i="5"/>
  <c r="AN301" i="5" s="1"/>
  <c r="U331" i="5"/>
  <c r="W319" i="5"/>
  <c r="V205" i="5"/>
  <c r="AK205" i="5" s="1"/>
  <c r="Q7" i="5"/>
  <c r="Y7" i="5"/>
  <c r="AN7" i="5" s="1"/>
  <c r="Z7" i="5"/>
  <c r="AO7" i="5" s="1"/>
  <c r="V229" i="5"/>
  <c r="AK229" i="5" s="1"/>
  <c r="Z229" i="5"/>
  <c r="AO229" i="5" s="1"/>
  <c r="S256" i="5"/>
  <c r="AH256" i="5" s="1"/>
  <c r="W15" i="5"/>
  <c r="AL15" i="5" s="1"/>
  <c r="U344" i="5"/>
  <c r="W324" i="5"/>
  <c r="Q225" i="5"/>
  <c r="AA225" i="5"/>
  <c r="AP225" i="5" s="1"/>
  <c r="X71" i="5"/>
  <c r="AM71" i="5" s="1"/>
  <c r="R71" i="5"/>
  <c r="AG71" i="5" s="1"/>
  <c r="W71" i="5"/>
  <c r="AL71" i="5" s="1"/>
  <c r="S245" i="5"/>
  <c r="AH245" i="5" s="1"/>
  <c r="Z298" i="5"/>
  <c r="AO298" i="5" s="1"/>
  <c r="Z308" i="5"/>
  <c r="AO308" i="5" s="1"/>
  <c r="AA308" i="5"/>
  <c r="AP308" i="5" s="1"/>
  <c r="W315" i="5"/>
  <c r="R328" i="5"/>
  <c r="AG328" i="5" s="1"/>
  <c r="W299" i="5"/>
  <c r="T252" i="5"/>
  <c r="AI252" i="5" s="1"/>
  <c r="AG66" i="5"/>
  <c r="T186" i="5"/>
  <c r="AI186" i="5" s="1"/>
  <c r="AE196" i="5"/>
  <c r="AT196" i="5" s="1"/>
  <c r="T202" i="5"/>
  <c r="AI202" i="5" s="1"/>
  <c r="Q332" i="5"/>
  <c r="R332" i="5"/>
  <c r="W332" i="5"/>
  <c r="V332" i="5"/>
  <c r="AK332" i="5" s="1"/>
  <c r="Z26" i="5"/>
  <c r="AO26" i="5" s="1"/>
  <c r="W81" i="5"/>
  <c r="AL81" i="5" s="1"/>
  <c r="AA26" i="5"/>
  <c r="AP26" i="5" s="1"/>
  <c r="S117" i="5"/>
  <c r="AH117" i="5" s="1"/>
  <c r="Q165" i="5"/>
  <c r="X165" i="5"/>
  <c r="AM165" i="5" s="1"/>
  <c r="W165" i="5"/>
  <c r="AL165" i="5" s="1"/>
  <c r="Q174" i="5"/>
  <c r="S174" i="5"/>
  <c r="AH174" i="5" s="1"/>
  <c r="U207" i="5"/>
  <c r="AJ207" i="5" s="1"/>
  <c r="Q277" i="5"/>
  <c r="Y277" i="5"/>
  <c r="AN277" i="5" s="1"/>
  <c r="Q285" i="5"/>
  <c r="S285" i="5"/>
  <c r="AH285" i="5" s="1"/>
  <c r="AA285" i="5"/>
  <c r="AP285" i="5" s="1"/>
  <c r="Q326" i="5"/>
  <c r="Y326" i="5"/>
  <c r="AN326" i="5" s="1"/>
  <c r="U326" i="5"/>
  <c r="Q329" i="5"/>
  <c r="AA329" i="5"/>
  <c r="AP329" i="5" s="1"/>
  <c r="U113" i="5"/>
  <c r="AJ113" i="5" s="1"/>
  <c r="Y141" i="5"/>
  <c r="AN141" i="5" s="1"/>
  <c r="V186" i="5"/>
  <c r="AK186" i="5" s="1"/>
  <c r="Q175" i="5"/>
  <c r="W175" i="5"/>
  <c r="AL175" i="5" s="1"/>
  <c r="AE81" i="5"/>
  <c r="AT81" i="5" s="1"/>
  <c r="T113" i="5"/>
  <c r="AI113" i="5" s="1"/>
  <c r="W126" i="5"/>
  <c r="AL126" i="5" s="1"/>
  <c r="V159" i="5"/>
  <c r="AK159" i="5" s="1"/>
  <c r="R201" i="5"/>
  <c r="W218" i="5"/>
  <c r="AL218" i="5" s="1"/>
  <c r="V251" i="5"/>
  <c r="AK251" i="5" s="1"/>
  <c r="Q261" i="5"/>
  <c r="Y261" i="5"/>
  <c r="AN261" i="5" s="1"/>
  <c r="Q276" i="5"/>
  <c r="T276" i="5"/>
  <c r="AE276" i="5"/>
  <c r="AT276" i="5" s="1"/>
  <c r="AA115" i="5"/>
  <c r="AP115" i="5" s="1"/>
  <c r="U156" i="5"/>
  <c r="AJ156" i="5" s="1"/>
  <c r="S201" i="5"/>
  <c r="AH201" i="5" s="1"/>
  <c r="V230" i="5"/>
  <c r="AK230" i="5" s="1"/>
  <c r="V269" i="5"/>
  <c r="AK269" i="5" s="1"/>
  <c r="AE277" i="5"/>
  <c r="AT277" i="5" s="1"/>
  <c r="Q348" i="5"/>
  <c r="V348" i="5"/>
  <c r="AK348" i="5" s="1"/>
  <c r="Z40" i="5"/>
  <c r="AO40" i="5" s="1"/>
  <c r="T47" i="5"/>
  <c r="AI47" i="5" s="1"/>
  <c r="Z234" i="5"/>
  <c r="AO234" i="5" s="1"/>
  <c r="S279" i="5"/>
  <c r="Q343" i="5"/>
  <c r="R343" i="5"/>
  <c r="Z343" i="5"/>
  <c r="AO343" i="5" s="1"/>
  <c r="U45" i="5"/>
  <c r="AJ45" i="5" s="1"/>
  <c r="U81" i="5"/>
  <c r="AJ81" i="5" s="1"/>
  <c r="W285" i="5"/>
  <c r="AL285" i="5" s="1"/>
  <c r="W305" i="5"/>
  <c r="AL305" i="5" s="1"/>
  <c r="AE111" i="5"/>
  <c r="AT111" i="5" s="1"/>
  <c r="W153" i="5"/>
  <c r="AL153" i="5" s="1"/>
  <c r="R171" i="5"/>
  <c r="V219" i="5"/>
  <c r="AK219" i="5" s="1"/>
  <c r="W250" i="5"/>
  <c r="Q318" i="5"/>
  <c r="U318" i="5"/>
  <c r="S318" i="5"/>
  <c r="Z174" i="5"/>
  <c r="AO174" i="5" s="1"/>
  <c r="Y348" i="5"/>
  <c r="AN348" i="5" s="1"/>
  <c r="AA174" i="5"/>
  <c r="AP174" i="5" s="1"/>
  <c r="V294" i="5"/>
  <c r="AK294" i="5" s="1"/>
  <c r="U313" i="5"/>
  <c r="AJ313" i="5" s="1"/>
  <c r="AA202" i="5"/>
  <c r="AP202" i="5" s="1"/>
  <c r="Z329" i="5"/>
  <c r="AO329" i="5" s="1"/>
  <c r="R196" i="5"/>
  <c r="AG208" i="5"/>
  <c r="X261" i="5"/>
  <c r="AM261" i="5" s="1"/>
  <c r="Q98" i="5"/>
  <c r="V98" i="5"/>
  <c r="AK98" i="5" s="1"/>
  <c r="Q125" i="5"/>
  <c r="Z125" i="5"/>
  <c r="AO125" i="5" s="1"/>
  <c r="Y125" i="5"/>
  <c r="AN125" i="5" s="1"/>
  <c r="Q262" i="5"/>
  <c r="U262" i="5"/>
  <c r="AJ262" i="5" s="1"/>
  <c r="Q106" i="5"/>
  <c r="AA106" i="5"/>
  <c r="AP106" i="5" s="1"/>
  <c r="Z106" i="5"/>
  <c r="AO106" i="5" s="1"/>
  <c r="Q208" i="5"/>
  <c r="AA208" i="5"/>
  <c r="AP208" i="5" s="1"/>
  <c r="Q240" i="5"/>
  <c r="U240" i="5"/>
  <c r="AJ240" i="5" s="1"/>
  <c r="Q133" i="5"/>
  <c r="Z133" i="5"/>
  <c r="AO133" i="5" s="1"/>
  <c r="Y133" i="5"/>
  <c r="AN133" i="5" s="1"/>
  <c r="Q215" i="5"/>
  <c r="V215" i="5"/>
  <c r="AK215" i="5" s="1"/>
  <c r="AG290" i="5"/>
  <c r="U26" i="5"/>
  <c r="AJ26" i="5" s="1"/>
  <c r="Q31" i="5"/>
  <c r="X31" i="5"/>
  <c r="AM31" i="5" s="1"/>
  <c r="S61" i="5"/>
  <c r="AH61" i="5" s="1"/>
  <c r="U64" i="5"/>
  <c r="AJ64" i="5" s="1"/>
  <c r="AE67" i="5"/>
  <c r="AT67" i="5" s="1"/>
  <c r="X126" i="5"/>
  <c r="AM126" i="5" s="1"/>
  <c r="Z156" i="5"/>
  <c r="AO156" i="5" s="1"/>
  <c r="AE158" i="5"/>
  <c r="AT158" i="5" s="1"/>
  <c r="AE159" i="5"/>
  <c r="AT159" i="5" s="1"/>
  <c r="Y165" i="5"/>
  <c r="AN165" i="5" s="1"/>
  <c r="AE174" i="5"/>
  <c r="AT174" i="5" s="1"/>
  <c r="Y176" i="5"/>
  <c r="AN176" i="5" s="1"/>
  <c r="Y208" i="5"/>
  <c r="AN208" i="5" s="1"/>
  <c r="U219" i="5"/>
  <c r="AJ219" i="5" s="1"/>
  <c r="S254" i="5"/>
  <c r="AH254" i="5" s="1"/>
  <c r="V274" i="5"/>
  <c r="Q290" i="5"/>
  <c r="V290" i="5"/>
  <c r="AK290" i="5" s="1"/>
  <c r="U72" i="5"/>
  <c r="AJ72" i="5" s="1"/>
  <c r="Z73" i="5"/>
  <c r="AO73" i="5" s="1"/>
  <c r="Y81" i="5"/>
  <c r="AN81" i="5" s="1"/>
  <c r="AA251" i="5"/>
  <c r="AP251" i="5" s="1"/>
  <c r="Z294" i="5"/>
  <c r="AO294" i="5" s="1"/>
  <c r="T149" i="5"/>
  <c r="AI149" i="5" s="1"/>
  <c r="AE154" i="5"/>
  <c r="AT154" i="5" s="1"/>
  <c r="AE182" i="5"/>
  <c r="AT182" i="5" s="1"/>
  <c r="R199" i="5"/>
  <c r="Q214" i="5"/>
  <c r="S214" i="5"/>
  <c r="AH214" i="5" s="1"/>
  <c r="S230" i="5"/>
  <c r="AH230" i="5" s="1"/>
  <c r="V248" i="5"/>
  <c r="AK248" i="5" s="1"/>
  <c r="T251" i="5"/>
  <c r="AI251" i="5" s="1"/>
  <c r="AE257" i="5"/>
  <c r="AT257" i="5" s="1"/>
  <c r="AA260" i="5"/>
  <c r="AP260" i="5" s="1"/>
  <c r="U282" i="5"/>
  <c r="V303" i="5"/>
  <c r="AK303" i="5" s="1"/>
  <c r="AE306" i="5"/>
  <c r="AT306" i="5" s="1"/>
  <c r="X325" i="5"/>
  <c r="AM325" i="5" s="1"/>
  <c r="Z332" i="5"/>
  <c r="AE340" i="5"/>
  <c r="AT340" i="5" s="1"/>
  <c r="S348" i="5"/>
  <c r="AH348" i="5" s="1"/>
  <c r="W63" i="5"/>
  <c r="AL63" i="5" s="1"/>
  <c r="AA110" i="5"/>
  <c r="AP110" i="5" s="1"/>
  <c r="S151" i="5"/>
  <c r="AH151" i="5" s="1"/>
  <c r="AA171" i="5"/>
  <c r="AP171" i="5" s="1"/>
  <c r="V195" i="5"/>
  <c r="AK195" i="5" s="1"/>
  <c r="S204" i="5"/>
  <c r="AH204" i="5" s="1"/>
  <c r="Y241" i="5"/>
  <c r="AN241" i="5" s="1"/>
  <c r="X269" i="5"/>
  <c r="AM269" i="5" s="1"/>
  <c r="Z283" i="5"/>
  <c r="W288" i="5"/>
  <c r="AL288" i="5" s="1"/>
  <c r="U306" i="5"/>
  <c r="Y318" i="5"/>
  <c r="AN318" i="5" s="1"/>
  <c r="V336" i="5"/>
  <c r="AK336" i="5" s="1"/>
  <c r="U340" i="5"/>
  <c r="S58" i="5"/>
  <c r="AH58" i="5" s="1"/>
  <c r="AA186" i="5"/>
  <c r="AP186" i="5" s="1"/>
  <c r="Z198" i="5"/>
  <c r="AO198" i="5" s="1"/>
  <c r="X247" i="5"/>
  <c r="AM247" i="5" s="1"/>
  <c r="AE264" i="5"/>
  <c r="AT264" i="5" s="1"/>
  <c r="Y269" i="5"/>
  <c r="AN269" i="5" s="1"/>
  <c r="V298" i="5"/>
  <c r="AK298" i="5" s="1"/>
  <c r="AA332" i="5"/>
  <c r="AP332" i="5" s="1"/>
  <c r="AA336" i="5"/>
  <c r="AP336" i="5" s="1"/>
  <c r="Z340" i="5"/>
  <c r="AO340" i="5" s="1"/>
  <c r="U347" i="5"/>
  <c r="AJ347" i="5" s="1"/>
  <c r="AA153" i="5"/>
  <c r="AP153" i="5" s="1"/>
  <c r="W181" i="5"/>
  <c r="AL181" i="5" s="1"/>
  <c r="V197" i="5"/>
  <c r="AK197" i="5" s="1"/>
  <c r="X221" i="5"/>
  <c r="AM221" i="5" s="1"/>
  <c r="U268" i="5"/>
  <c r="AJ268" i="5" s="1"/>
  <c r="Z313" i="5"/>
  <c r="AO313" i="5" s="1"/>
  <c r="U329" i="5"/>
  <c r="Y346" i="5"/>
  <c r="AN346" i="5" s="1"/>
  <c r="Z110" i="5"/>
  <c r="AO110" i="5" s="1"/>
  <c r="S188" i="5"/>
  <c r="AH188" i="5" s="1"/>
  <c r="Z208" i="5"/>
  <c r="AO208" i="5" s="1"/>
  <c r="T270" i="5"/>
  <c r="AI270" i="5" s="1"/>
  <c r="V320" i="5"/>
  <c r="Z346" i="5"/>
  <c r="AO346" i="5" s="1"/>
  <c r="X79" i="5"/>
  <c r="AM79" i="5" s="1"/>
  <c r="Z176" i="5"/>
  <c r="AO176" i="5" s="1"/>
  <c r="Z214" i="5"/>
  <c r="AO214" i="5" s="1"/>
  <c r="T238" i="5"/>
  <c r="AI238" i="5" s="1"/>
  <c r="Y247" i="5"/>
  <c r="AN247" i="5" s="1"/>
  <c r="U264" i="5"/>
  <c r="U280" i="5"/>
  <c r="V343" i="5"/>
  <c r="AK343" i="5" s="1"/>
  <c r="W148" i="5"/>
  <c r="AL148" i="5" s="1"/>
  <c r="AA176" i="5"/>
  <c r="AP176" i="5" s="1"/>
  <c r="W197" i="5"/>
  <c r="AL197" i="5" s="1"/>
  <c r="Y221" i="5"/>
  <c r="AN221" i="5" s="1"/>
  <c r="Y233" i="5"/>
  <c r="AN233" i="5" s="1"/>
  <c r="X253" i="5"/>
  <c r="AM253" i="5" s="1"/>
  <c r="Y307" i="5"/>
  <c r="AN307" i="5" s="1"/>
  <c r="Q30" i="5"/>
  <c r="T30" i="5"/>
  <c r="AI30" i="5" s="1"/>
  <c r="Q113" i="5"/>
  <c r="W113" i="5"/>
  <c r="AL113" i="5" s="1"/>
  <c r="Q156" i="5"/>
  <c r="V156" i="5"/>
  <c r="AK156" i="5" s="1"/>
  <c r="Q141" i="5"/>
  <c r="AA141" i="5"/>
  <c r="AP141" i="5" s="1"/>
  <c r="Q82" i="5"/>
  <c r="U82" i="5"/>
  <c r="AJ82" i="5" s="1"/>
  <c r="T82" i="5"/>
  <c r="AI82" i="5" s="1"/>
  <c r="Q187" i="5"/>
  <c r="W187" i="5"/>
  <c r="AL187" i="5" s="1"/>
  <c r="V187" i="5"/>
  <c r="AK187" i="5" s="1"/>
  <c r="Q169" i="5"/>
  <c r="AE169" i="5"/>
  <c r="AT169" i="5" s="1"/>
  <c r="S169" i="5"/>
  <c r="AH169" i="5" s="1"/>
  <c r="R169" i="5"/>
  <c r="AG169" i="5" s="1"/>
  <c r="Q202" i="5"/>
  <c r="S202" i="5"/>
  <c r="AH202" i="5" s="1"/>
  <c r="Q234" i="5"/>
  <c r="AE234" i="5"/>
  <c r="AT234" i="5" s="1"/>
  <c r="U234" i="5"/>
  <c r="AJ234" i="5" s="1"/>
  <c r="T234" i="5"/>
  <c r="AI234" i="5" s="1"/>
  <c r="Q239" i="5"/>
  <c r="Y239" i="5"/>
  <c r="AN239" i="5" s="1"/>
  <c r="X239" i="5"/>
  <c r="AM239" i="5" s="1"/>
  <c r="AA18" i="5"/>
  <c r="AP18" i="5" s="1"/>
  <c r="AA40" i="5"/>
  <c r="AP40" i="5" s="1"/>
  <c r="V113" i="5"/>
  <c r="AK113" i="5" s="1"/>
  <c r="U117" i="5"/>
  <c r="AJ117" i="5" s="1"/>
  <c r="T126" i="5"/>
  <c r="AI126" i="5" s="1"/>
  <c r="T169" i="5"/>
  <c r="AI169" i="5" s="1"/>
  <c r="Q275" i="5"/>
  <c r="Y275" i="5"/>
  <c r="AN275" i="5" s="1"/>
  <c r="U9" i="5"/>
  <c r="AJ9" i="5" s="1"/>
  <c r="R47" i="5"/>
  <c r="AA49" i="5"/>
  <c r="AP49" i="5" s="1"/>
  <c r="V90" i="5"/>
  <c r="AK90" i="5" s="1"/>
  <c r="AE104" i="5"/>
  <c r="AT104" i="5" s="1"/>
  <c r="X109" i="5"/>
  <c r="AM109" i="5" s="1"/>
  <c r="R111" i="5"/>
  <c r="AG111" i="5" s="1"/>
  <c r="R62" i="5"/>
  <c r="Z228" i="5"/>
  <c r="AO228" i="5" s="1"/>
  <c r="U251" i="5"/>
  <c r="AA274" i="5"/>
  <c r="AP274" i="5" s="1"/>
  <c r="Q296" i="5"/>
  <c r="W296" i="5"/>
  <c r="Q302" i="5"/>
  <c r="S302" i="5"/>
  <c r="AH302" i="5" s="1"/>
  <c r="Q305" i="5"/>
  <c r="V305" i="5"/>
  <c r="AK305" i="5" s="1"/>
  <c r="AA305" i="5"/>
  <c r="AP305" i="5" s="1"/>
  <c r="Z305" i="5"/>
  <c r="AO305" i="5" s="1"/>
  <c r="W338" i="5"/>
  <c r="AL338" i="5" s="1"/>
  <c r="T332" i="5"/>
  <c r="S346" i="5"/>
  <c r="AH346" i="5" s="1"/>
  <c r="W158" i="5"/>
  <c r="AL158" i="5" s="1"/>
  <c r="AA169" i="5"/>
  <c r="AP169" i="5" s="1"/>
  <c r="V196" i="5"/>
  <c r="AK196" i="5" s="1"/>
  <c r="AA207" i="5"/>
  <c r="AP207" i="5" s="1"/>
  <c r="Q230" i="5"/>
  <c r="U230" i="5"/>
  <c r="AJ230" i="5" s="1"/>
  <c r="Y234" i="5"/>
  <c r="AN234" i="5" s="1"/>
  <c r="R275" i="5"/>
  <c r="Q304" i="5"/>
  <c r="R304" i="5"/>
  <c r="Q309" i="5"/>
  <c r="V309" i="5"/>
  <c r="AK309" i="5" s="1"/>
  <c r="U309" i="5"/>
  <c r="Q334" i="5"/>
  <c r="U334" i="5"/>
  <c r="S334" i="5"/>
  <c r="Y338" i="5"/>
  <c r="R72" i="5"/>
  <c r="AG72" i="5" s="1"/>
  <c r="R109" i="5"/>
  <c r="AG109" i="5" s="1"/>
  <c r="Q135" i="5"/>
  <c r="R135" i="5"/>
  <c r="AG135" i="5" s="1"/>
  <c r="V141" i="5"/>
  <c r="AK141" i="5" s="1"/>
  <c r="X17" i="5"/>
  <c r="AM17" i="5" s="1"/>
  <c r="T49" i="5"/>
  <c r="AI49" i="5" s="1"/>
  <c r="X53" i="5"/>
  <c r="AM53" i="5" s="1"/>
  <c r="AA62" i="5"/>
  <c r="AP62" i="5" s="1"/>
  <c r="AE90" i="5"/>
  <c r="AT90" i="5" s="1"/>
  <c r="W94" i="5"/>
  <c r="AL94" i="5" s="1"/>
  <c r="X117" i="5"/>
  <c r="AM117" i="5" s="1"/>
  <c r="Y153" i="5"/>
  <c r="AN153" i="5" s="1"/>
  <c r="T156" i="5"/>
  <c r="AI156" i="5" s="1"/>
  <c r="X171" i="5"/>
  <c r="AM171" i="5" s="1"/>
  <c r="AG173" i="5"/>
  <c r="T175" i="5"/>
  <c r="AI175" i="5" s="1"/>
  <c r="Q182" i="5"/>
  <c r="S182" i="5"/>
  <c r="AH182" i="5" s="1"/>
  <c r="R182" i="5"/>
  <c r="Z187" i="5"/>
  <c r="AO187" i="5" s="1"/>
  <c r="R207" i="5"/>
  <c r="W277" i="5"/>
  <c r="Q279" i="5"/>
  <c r="Y279" i="5"/>
  <c r="Q286" i="5"/>
  <c r="W286" i="5"/>
  <c r="AL286" i="5" s="1"/>
  <c r="U304" i="5"/>
  <c r="Q310" i="5"/>
  <c r="Y310" i="5"/>
  <c r="AN310" i="5" s="1"/>
  <c r="U310" i="5"/>
  <c r="W326" i="5"/>
  <c r="V153" i="5"/>
  <c r="AK153" i="5" s="1"/>
  <c r="AA158" i="5"/>
  <c r="AP158" i="5" s="1"/>
  <c r="V250" i="5"/>
  <c r="AK250" i="5" s="1"/>
  <c r="Q295" i="5"/>
  <c r="R295" i="5"/>
  <c r="AA295" i="5"/>
  <c r="AP295" i="5" s="1"/>
  <c r="Z295" i="5"/>
  <c r="AO295" i="5" s="1"/>
  <c r="W329" i="5"/>
  <c r="V67" i="5"/>
  <c r="AK67" i="5" s="1"/>
  <c r="V104" i="5"/>
  <c r="AK104" i="5" s="1"/>
  <c r="Y126" i="5"/>
  <c r="AN126" i="5" s="1"/>
  <c r="X169" i="5"/>
  <c r="AM169" i="5" s="1"/>
  <c r="Z175" i="5"/>
  <c r="AO175" i="5" s="1"/>
  <c r="X182" i="5"/>
  <c r="AM182" i="5" s="1"/>
  <c r="T285" i="5"/>
  <c r="AI285" i="5" s="1"/>
  <c r="S294" i="5"/>
  <c r="AE305" i="5"/>
  <c r="AT305" i="5" s="1"/>
  <c r="S309" i="5"/>
  <c r="AH309" i="5" s="1"/>
  <c r="Z9" i="5"/>
  <c r="AO9" i="5" s="1"/>
  <c r="V18" i="5"/>
  <c r="AK18" i="5" s="1"/>
  <c r="AA19" i="5"/>
  <c r="AP19" i="5" s="1"/>
  <c r="Y49" i="5"/>
  <c r="AN49" i="5" s="1"/>
  <c r="T62" i="5"/>
  <c r="AI62" i="5" s="1"/>
  <c r="Z100" i="5"/>
  <c r="AO100" i="5" s="1"/>
  <c r="AE326" i="5"/>
  <c r="AT326" i="5" s="1"/>
  <c r="T286" i="5"/>
  <c r="AI286" i="5" s="1"/>
  <c r="T295" i="5"/>
  <c r="T310" i="5"/>
  <c r="AI310" i="5" s="1"/>
  <c r="X47" i="5"/>
  <c r="AM47" i="5" s="1"/>
  <c r="V109" i="5"/>
  <c r="AK109" i="5" s="1"/>
  <c r="AA218" i="5"/>
  <c r="AP218" i="5" s="1"/>
  <c r="U302" i="5"/>
  <c r="AA304" i="5"/>
  <c r="AP304" i="5" s="1"/>
  <c r="Z153" i="5"/>
  <c r="AO153" i="5" s="1"/>
  <c r="S186" i="5"/>
  <c r="AH186" i="5" s="1"/>
  <c r="R285" i="5"/>
  <c r="Z309" i="5"/>
  <c r="AO309" i="5" s="1"/>
  <c r="Z326" i="5"/>
  <c r="AO326" i="5" s="1"/>
  <c r="V296" i="5"/>
  <c r="R346" i="5"/>
  <c r="Q128" i="5"/>
  <c r="V128" i="5"/>
  <c r="AK128" i="5" s="1"/>
  <c r="U128" i="5"/>
  <c r="AJ128" i="5" s="1"/>
  <c r="Q160" i="5"/>
  <c r="W160" i="5"/>
  <c r="AL160" i="5" s="1"/>
  <c r="V160" i="5"/>
  <c r="AK160" i="5" s="1"/>
  <c r="Q227" i="5"/>
  <c r="Y227" i="5"/>
  <c r="AN227" i="5" s="1"/>
  <c r="Q192" i="5"/>
  <c r="AA192" i="5"/>
  <c r="AP192" i="5" s="1"/>
  <c r="Z192" i="5"/>
  <c r="AO192" i="5" s="1"/>
  <c r="Q224" i="5"/>
  <c r="U224" i="5"/>
  <c r="AJ224" i="5" s="1"/>
  <c r="Q183" i="5"/>
  <c r="W183" i="5"/>
  <c r="AL183" i="5" s="1"/>
  <c r="V183" i="5"/>
  <c r="AK183" i="5" s="1"/>
  <c r="Q282" i="5"/>
  <c r="W282" i="5"/>
  <c r="AL282" i="5" s="1"/>
  <c r="AA8" i="5"/>
  <c r="AP8" i="5" s="1"/>
  <c r="T19" i="5"/>
  <c r="AI19" i="5" s="1"/>
  <c r="X30" i="5"/>
  <c r="AM30" i="5" s="1"/>
  <c r="AA34" i="5"/>
  <c r="AP34" i="5" s="1"/>
  <c r="T41" i="5"/>
  <c r="AI41" i="5" s="1"/>
  <c r="Y42" i="5"/>
  <c r="AN42" i="5" s="1"/>
  <c r="S45" i="5"/>
  <c r="AH45" i="5" s="1"/>
  <c r="Z49" i="5"/>
  <c r="AO49" i="5" s="1"/>
  <c r="AE62" i="5"/>
  <c r="AT62" i="5" s="1"/>
  <c r="S82" i="5"/>
  <c r="AH82" i="5" s="1"/>
  <c r="Q95" i="5"/>
  <c r="Y95" i="5"/>
  <c r="AN95" i="5" s="1"/>
  <c r="Z95" i="5"/>
  <c r="AO95" i="5" s="1"/>
  <c r="T99" i="5"/>
  <c r="AI99" i="5" s="1"/>
  <c r="S104" i="5"/>
  <c r="AH104" i="5" s="1"/>
  <c r="S125" i="5"/>
  <c r="AH125" i="5" s="1"/>
  <c r="X186" i="5"/>
  <c r="AM186" i="5" s="1"/>
  <c r="Y192" i="5"/>
  <c r="AN192" i="5" s="1"/>
  <c r="T201" i="5"/>
  <c r="AI201" i="5" s="1"/>
  <c r="T207" i="5"/>
  <c r="AI207" i="5" s="1"/>
  <c r="Z236" i="5"/>
  <c r="AO236" i="5" s="1"/>
  <c r="R247" i="5"/>
  <c r="W275" i="5"/>
  <c r="AL275" i="5" s="1"/>
  <c r="Z279" i="5"/>
  <c r="Y294" i="5"/>
  <c r="AN294" i="5" s="1"/>
  <c r="AE313" i="5"/>
  <c r="AT313" i="5" s="1"/>
  <c r="Q322" i="5"/>
  <c r="Z322" i="5"/>
  <c r="AO322" i="5" s="1"/>
  <c r="Q339" i="5"/>
  <c r="Y339" i="5"/>
  <c r="T8" i="5"/>
  <c r="AI8" i="5" s="1"/>
  <c r="Y9" i="5"/>
  <c r="AN9" i="5" s="1"/>
  <c r="W12" i="5"/>
  <c r="AL12" i="5" s="1"/>
  <c r="Y19" i="5"/>
  <c r="AN19" i="5" s="1"/>
  <c r="Z31" i="5"/>
  <c r="AO31" i="5" s="1"/>
  <c r="AE34" i="5"/>
  <c r="AT34" i="5" s="1"/>
  <c r="Y41" i="5"/>
  <c r="AN41" i="5" s="1"/>
  <c r="AE45" i="5"/>
  <c r="AT45" i="5" s="1"/>
  <c r="V47" i="5"/>
  <c r="AK47" i="5" s="1"/>
  <c r="Z53" i="5"/>
  <c r="AO53" i="5" s="1"/>
  <c r="T61" i="5"/>
  <c r="AI61" i="5" s="1"/>
  <c r="R64" i="5"/>
  <c r="AG64" i="5" s="1"/>
  <c r="U67" i="5"/>
  <c r="AJ67" i="5" s="1"/>
  <c r="R69" i="5"/>
  <c r="X72" i="5"/>
  <c r="AM72" i="5" s="1"/>
  <c r="AA81" i="5"/>
  <c r="AP81" i="5" s="1"/>
  <c r="Z90" i="5"/>
  <c r="AO90" i="5" s="1"/>
  <c r="V95" i="5"/>
  <c r="AK95" i="5" s="1"/>
  <c r="X98" i="5"/>
  <c r="AM98" i="5" s="1"/>
  <c r="Y100" i="5"/>
  <c r="AN100" i="5" s="1"/>
  <c r="U105" i="5"/>
  <c r="AJ105" i="5" s="1"/>
  <c r="AE109" i="5"/>
  <c r="AT109" i="5" s="1"/>
  <c r="Z111" i="5"/>
  <c r="AO111" i="5" s="1"/>
  <c r="S113" i="5"/>
  <c r="AH113" i="5" s="1"/>
  <c r="AA118" i="5"/>
  <c r="AP118" i="5" s="1"/>
  <c r="T125" i="5"/>
  <c r="AI125" i="5" s="1"/>
  <c r="X22" i="5"/>
  <c r="AM22" i="5" s="1"/>
  <c r="R30" i="5"/>
  <c r="W31" i="5"/>
  <c r="AL31" i="5" s="1"/>
  <c r="AE32" i="5"/>
  <c r="AT32" i="5" s="1"/>
  <c r="V34" i="5"/>
  <c r="AK34" i="5" s="1"/>
  <c r="T54" i="5"/>
  <c r="AI54" i="5" s="1"/>
  <c r="S67" i="5"/>
  <c r="AH67" i="5" s="1"/>
  <c r="T86" i="5"/>
  <c r="AI86" i="5" s="1"/>
  <c r="S99" i="5"/>
  <c r="AH99" i="5" s="1"/>
  <c r="R126" i="5"/>
  <c r="AE128" i="5"/>
  <c r="AT128" i="5" s="1"/>
  <c r="Q136" i="5"/>
  <c r="V136" i="5"/>
  <c r="AK136" i="5" s="1"/>
  <c r="S156" i="5"/>
  <c r="AH156" i="5" s="1"/>
  <c r="V174" i="5"/>
  <c r="AK174" i="5" s="1"/>
  <c r="Q177" i="5"/>
  <c r="V177" i="5"/>
  <c r="AK177" i="5" s="1"/>
  <c r="Y207" i="5"/>
  <c r="AN207" i="5" s="1"/>
  <c r="Z218" i="5"/>
  <c r="AO218" i="5" s="1"/>
  <c r="Y236" i="5"/>
  <c r="AN236" i="5" s="1"/>
  <c r="S239" i="5"/>
  <c r="AH239" i="5" s="1"/>
  <c r="T269" i="5"/>
  <c r="AI269" i="5" s="1"/>
  <c r="R277" i="5"/>
  <c r="U295" i="5"/>
  <c r="V302" i="5"/>
  <c r="AK302" i="5" s="1"/>
  <c r="X304" i="5"/>
  <c r="AM304" i="5" s="1"/>
  <c r="X309" i="5"/>
  <c r="AM309" i="5" s="1"/>
  <c r="T348" i="5"/>
  <c r="AI348" i="5" s="1"/>
  <c r="AA346" i="5"/>
  <c r="AP346" i="5" s="1"/>
  <c r="U104" i="5"/>
  <c r="AJ104" i="5" s="1"/>
  <c r="W159" i="5"/>
  <c r="AL159" i="5" s="1"/>
  <c r="S187" i="5"/>
  <c r="AH187" i="5" s="1"/>
  <c r="X208" i="5"/>
  <c r="AM208" i="5" s="1"/>
  <c r="Y224" i="5"/>
  <c r="AN224" i="5" s="1"/>
  <c r="S276" i="5"/>
  <c r="AA286" i="5"/>
  <c r="AP286" i="5" s="1"/>
  <c r="W295" i="5"/>
  <c r="Q314" i="5"/>
  <c r="Z314" i="5"/>
  <c r="AO314" i="5" s="1"/>
  <c r="Y34" i="5"/>
  <c r="AN34" i="5" s="1"/>
  <c r="R67" i="5"/>
  <c r="AG67" i="5" s="1"/>
  <c r="Z72" i="5"/>
  <c r="AO72" i="5" s="1"/>
  <c r="U126" i="5"/>
  <c r="AJ126" i="5" s="1"/>
  <c r="S153" i="5"/>
  <c r="AH153" i="5" s="1"/>
  <c r="V171" i="5"/>
  <c r="AK171" i="5" s="1"/>
  <c r="R175" i="5"/>
  <c r="AA215" i="5"/>
  <c r="AP215" i="5" s="1"/>
  <c r="V23" i="5"/>
  <c r="AK23" i="5" s="1"/>
  <c r="T26" i="5"/>
  <c r="AI26" i="5" s="1"/>
  <c r="AA30" i="5"/>
  <c r="AP30" i="5" s="1"/>
  <c r="AE53" i="5"/>
  <c r="AT53" i="5" s="1"/>
  <c r="Y86" i="5"/>
  <c r="AN86" i="5" s="1"/>
  <c r="AA94" i="5"/>
  <c r="AP94" i="5" s="1"/>
  <c r="R125" i="5"/>
  <c r="AE147" i="5"/>
  <c r="AT147" i="5" s="1"/>
  <c r="X156" i="5"/>
  <c r="AM156" i="5" s="1"/>
  <c r="Z159" i="5"/>
  <c r="AO159" i="5" s="1"/>
  <c r="Q173" i="5"/>
  <c r="W173" i="5"/>
  <c r="AL173" i="5" s="1"/>
  <c r="X175" i="5"/>
  <c r="AM175" i="5" s="1"/>
  <c r="U186" i="5"/>
  <c r="AJ186" i="5" s="1"/>
  <c r="Z201" i="5"/>
  <c r="AO201" i="5" s="1"/>
  <c r="Z207" i="5"/>
  <c r="AO207" i="5" s="1"/>
  <c r="Q222" i="5"/>
  <c r="U222" i="5"/>
  <c r="AJ222" i="5" s="1"/>
  <c r="Q246" i="5"/>
  <c r="U246" i="5"/>
  <c r="AJ246" i="5" s="1"/>
  <c r="W247" i="5"/>
  <c r="R261" i="5"/>
  <c r="V276" i="5"/>
  <c r="AA277" i="5"/>
  <c r="AP277" i="5" s="1"/>
  <c r="T283" i="5"/>
  <c r="U290" i="5"/>
  <c r="AJ290" i="5" s="1"/>
  <c r="V295" i="5"/>
  <c r="AK295" i="5" s="1"/>
  <c r="Y304" i="5"/>
  <c r="AN304" i="5" s="1"/>
  <c r="AA326" i="5"/>
  <c r="AP326" i="5" s="1"/>
  <c r="W346" i="5"/>
  <c r="AL346" i="5" s="1"/>
  <c r="Y99" i="5"/>
  <c r="AN99" i="5" s="1"/>
  <c r="W106" i="5"/>
  <c r="AL106" i="5" s="1"/>
  <c r="U109" i="5"/>
  <c r="AJ109" i="5" s="1"/>
  <c r="Y113" i="5"/>
  <c r="AN113" i="5" s="1"/>
  <c r="Y147" i="5"/>
  <c r="AN147" i="5" s="1"/>
  <c r="S154" i="5"/>
  <c r="AH154" i="5" s="1"/>
  <c r="Z162" i="5"/>
  <c r="AO162" i="5" s="1"/>
  <c r="AE165" i="5"/>
  <c r="AT165" i="5" s="1"/>
  <c r="W169" i="5"/>
  <c r="AL169" i="5" s="1"/>
  <c r="S177" i="5"/>
  <c r="AH177" i="5" s="1"/>
  <c r="Q206" i="5"/>
  <c r="S206" i="5"/>
  <c r="AH206" i="5" s="1"/>
  <c r="AA206" i="5"/>
  <c r="AP206" i="5" s="1"/>
  <c r="T247" i="5"/>
  <c r="AI247" i="5" s="1"/>
  <c r="V249" i="5"/>
  <c r="AK249" i="5" s="1"/>
  <c r="Z250" i="5"/>
  <c r="AO250" i="5" s="1"/>
  <c r="S9" i="5"/>
  <c r="AH9" i="5" s="1"/>
  <c r="R45" i="5"/>
  <c r="X51" i="5"/>
  <c r="AM51" i="5" s="1"/>
  <c r="R99" i="5"/>
  <c r="AG99" i="5" s="1"/>
  <c r="X115" i="5"/>
  <c r="AM115" i="5" s="1"/>
  <c r="X154" i="5"/>
  <c r="AM154" i="5" s="1"/>
  <c r="AE177" i="5"/>
  <c r="AT177" i="5" s="1"/>
  <c r="Y183" i="5"/>
  <c r="AN183" i="5" s="1"/>
  <c r="AA279" i="5"/>
  <c r="AP279" i="5" s="1"/>
  <c r="AA294" i="5"/>
  <c r="AP294" i="5" s="1"/>
  <c r="Q301" i="5"/>
  <c r="S301" i="5"/>
  <c r="AH301" i="5" s="1"/>
  <c r="AA301" i="5"/>
  <c r="AP301" i="5" s="1"/>
  <c r="X310" i="5"/>
  <c r="AM310" i="5" s="1"/>
  <c r="W313" i="5"/>
  <c r="S339" i="5"/>
  <c r="AA343" i="5"/>
  <c r="AP343" i="5" s="1"/>
  <c r="U17" i="5"/>
  <c r="AJ17" i="5" s="1"/>
  <c r="T34" i="5"/>
  <c r="AI34" i="5" s="1"/>
  <c r="V41" i="5"/>
  <c r="AK41" i="5" s="1"/>
  <c r="AA42" i="5"/>
  <c r="AP42" i="5" s="1"/>
  <c r="W51" i="5"/>
  <c r="AL51" i="5" s="1"/>
  <c r="S69" i="5"/>
  <c r="AH69" i="5" s="1"/>
  <c r="Q46" i="5"/>
  <c r="T46" i="5"/>
  <c r="AI46" i="5" s="1"/>
  <c r="Q120" i="5"/>
  <c r="V120" i="5"/>
  <c r="AK120" i="5" s="1"/>
  <c r="U120" i="5"/>
  <c r="AJ120" i="5" s="1"/>
  <c r="Q129" i="5"/>
  <c r="Z129" i="5"/>
  <c r="AO129" i="5" s="1"/>
  <c r="Q172" i="5"/>
  <c r="Z172" i="5"/>
  <c r="AO172" i="5" s="1"/>
  <c r="Q10" i="5"/>
  <c r="S10" i="5"/>
  <c r="AH10" i="5" s="1"/>
  <c r="Q50" i="5"/>
  <c r="T50" i="5"/>
  <c r="AI50" i="5" s="1"/>
  <c r="S50" i="5"/>
  <c r="AH50" i="5" s="1"/>
  <c r="Q114" i="5"/>
  <c r="AE114" i="5"/>
  <c r="AT114" i="5" s="1"/>
  <c r="AA114" i="5"/>
  <c r="AP114" i="5" s="1"/>
  <c r="Q180" i="5"/>
  <c r="AA180" i="5"/>
  <c r="AP180" i="5" s="1"/>
  <c r="Q212" i="5"/>
  <c r="AA212" i="5"/>
  <c r="AP212" i="5" s="1"/>
  <c r="Q244" i="5"/>
  <c r="T244" i="5"/>
  <c r="AE244" i="5"/>
  <c r="AT244" i="5" s="1"/>
  <c r="Q145" i="5"/>
  <c r="Z145" i="5"/>
  <c r="AO145" i="5" s="1"/>
  <c r="Q203" i="5"/>
  <c r="W203" i="5"/>
  <c r="AL203" i="5" s="1"/>
  <c r="Q235" i="5"/>
  <c r="Y235" i="5"/>
  <c r="AN235" i="5" s="1"/>
  <c r="Q270" i="5"/>
  <c r="U270" i="5"/>
  <c r="AJ270" i="5" s="1"/>
  <c r="Q178" i="5"/>
  <c r="Z178" i="5"/>
  <c r="AO178" i="5" s="1"/>
  <c r="S178" i="5"/>
  <c r="AH178" i="5" s="1"/>
  <c r="R178" i="5"/>
  <c r="Q194" i="5"/>
  <c r="Z194" i="5"/>
  <c r="AO194" i="5" s="1"/>
  <c r="S194" i="5"/>
  <c r="AH194" i="5" s="1"/>
  <c r="R194" i="5"/>
  <c r="Q210" i="5"/>
  <c r="Z210" i="5"/>
  <c r="AO210" i="5" s="1"/>
  <c r="S210" i="5"/>
  <c r="AH210" i="5" s="1"/>
  <c r="R210" i="5"/>
  <c r="Q226" i="5"/>
  <c r="U226" i="5"/>
  <c r="AJ226" i="5" s="1"/>
  <c r="Q242" i="5"/>
  <c r="U242" i="5"/>
  <c r="AJ242" i="5" s="1"/>
  <c r="Q161" i="5"/>
  <c r="Z161" i="5"/>
  <c r="AO161" i="5" s="1"/>
  <c r="Q223" i="5"/>
  <c r="X223" i="5"/>
  <c r="AM223" i="5" s="1"/>
  <c r="T9" i="5"/>
  <c r="AI9" i="5" s="1"/>
  <c r="Y10" i="5"/>
  <c r="AN10" i="5" s="1"/>
  <c r="R12" i="5"/>
  <c r="W13" i="5"/>
  <c r="AL13" i="5" s="1"/>
  <c r="AE14" i="5"/>
  <c r="AT14" i="5" s="1"/>
  <c r="Y16" i="5"/>
  <c r="AN16" i="5" s="1"/>
  <c r="S18" i="5"/>
  <c r="AH18" i="5" s="1"/>
  <c r="X19" i="5"/>
  <c r="AM19" i="5" s="1"/>
  <c r="V22" i="5"/>
  <c r="AK22" i="5" s="1"/>
  <c r="AA23" i="5"/>
  <c r="AP23" i="5" s="1"/>
  <c r="T25" i="5"/>
  <c r="AI25" i="5" s="1"/>
  <c r="Y26" i="5"/>
  <c r="AN26" i="5" s="1"/>
  <c r="R28" i="5"/>
  <c r="S29" i="5"/>
  <c r="AH29" i="5" s="1"/>
  <c r="AE30" i="5"/>
  <c r="AT30" i="5" s="1"/>
  <c r="U32" i="5"/>
  <c r="AJ32" i="5" s="1"/>
  <c r="Z33" i="5"/>
  <c r="AO33" i="5" s="1"/>
  <c r="U37" i="5"/>
  <c r="AJ37" i="5" s="1"/>
  <c r="Z38" i="5"/>
  <c r="AO38" i="5" s="1"/>
  <c r="S40" i="5"/>
  <c r="AH40" i="5" s="1"/>
  <c r="X41" i="5"/>
  <c r="AM41" i="5" s="1"/>
  <c r="W45" i="5"/>
  <c r="AL45" i="5" s="1"/>
  <c r="U47" i="5"/>
  <c r="AJ47" i="5" s="1"/>
  <c r="Y48" i="5"/>
  <c r="AN48" i="5" s="1"/>
  <c r="W50" i="5"/>
  <c r="AL50" i="5" s="1"/>
  <c r="R54" i="5"/>
  <c r="AG54" i="5" s="1"/>
  <c r="X57" i="5"/>
  <c r="AM57" i="5" s="1"/>
  <c r="Q60" i="5"/>
  <c r="AE60" i="5"/>
  <c r="AT60" i="5" s="1"/>
  <c r="AA60" i="5"/>
  <c r="AP60" i="5" s="1"/>
  <c r="W61" i="5"/>
  <c r="AL61" i="5" s="1"/>
  <c r="U63" i="5"/>
  <c r="AJ63" i="5" s="1"/>
  <c r="Y64" i="5"/>
  <c r="AN64" i="5" s="1"/>
  <c r="W66" i="5"/>
  <c r="AL66" i="5" s="1"/>
  <c r="R70" i="5"/>
  <c r="T73" i="5"/>
  <c r="AI73" i="5" s="1"/>
  <c r="W77" i="5"/>
  <c r="AL77" i="5" s="1"/>
  <c r="U79" i="5"/>
  <c r="AJ79" i="5" s="1"/>
  <c r="R81" i="5"/>
  <c r="AG81" i="5" s="1"/>
  <c r="W82" i="5"/>
  <c r="AL82" i="5" s="1"/>
  <c r="R86" i="5"/>
  <c r="AA88" i="5"/>
  <c r="AP88" i="5" s="1"/>
  <c r="Y90" i="5"/>
  <c r="AN90" i="5" s="1"/>
  <c r="R92" i="5"/>
  <c r="AG92" i="5" s="1"/>
  <c r="S93" i="5"/>
  <c r="AH93" i="5" s="1"/>
  <c r="X94" i="5"/>
  <c r="AM94" i="5" s="1"/>
  <c r="U96" i="5"/>
  <c r="AJ96" i="5" s="1"/>
  <c r="S98" i="5"/>
  <c r="AH98" i="5" s="1"/>
  <c r="X99" i="5"/>
  <c r="AM99" i="5" s="1"/>
  <c r="AE100" i="5"/>
  <c r="AT100" i="5" s="1"/>
  <c r="Z102" i="5"/>
  <c r="AO102" i="5" s="1"/>
  <c r="W104" i="5"/>
  <c r="AL104" i="5" s="1"/>
  <c r="AE105" i="5"/>
  <c r="AT105" i="5" s="1"/>
  <c r="U111" i="5"/>
  <c r="AJ111" i="5" s="1"/>
  <c r="Y112" i="5"/>
  <c r="AN112" i="5" s="1"/>
  <c r="W114" i="5"/>
  <c r="AL114" i="5" s="1"/>
  <c r="Z118" i="5"/>
  <c r="AO118" i="5" s="1"/>
  <c r="S120" i="5"/>
  <c r="AH120" i="5" s="1"/>
  <c r="X121" i="5"/>
  <c r="AM121" i="5" s="1"/>
  <c r="W125" i="5"/>
  <c r="AL125" i="5" s="1"/>
  <c r="AE126" i="5"/>
  <c r="AT126" i="5" s="1"/>
  <c r="S130" i="5"/>
  <c r="AH130" i="5" s="1"/>
  <c r="AE132" i="5"/>
  <c r="AT132" i="5" s="1"/>
  <c r="V135" i="5"/>
  <c r="AK135" i="5" s="1"/>
  <c r="T137" i="5"/>
  <c r="AI137" i="5" s="1"/>
  <c r="Q140" i="5"/>
  <c r="V140" i="5"/>
  <c r="AK140" i="5" s="1"/>
  <c r="X142" i="5"/>
  <c r="AM142" i="5" s="1"/>
  <c r="X143" i="5"/>
  <c r="AM143" i="5" s="1"/>
  <c r="V145" i="5"/>
  <c r="AK145" i="5" s="1"/>
  <c r="W147" i="5"/>
  <c r="AL147" i="5" s="1"/>
  <c r="U149" i="5"/>
  <c r="AJ149" i="5" s="1"/>
  <c r="V151" i="5"/>
  <c r="AK151" i="5" s="1"/>
  <c r="X153" i="5"/>
  <c r="AM153" i="5" s="1"/>
  <c r="U155" i="5"/>
  <c r="AJ155" i="5" s="1"/>
  <c r="T159" i="5"/>
  <c r="AI159" i="5" s="1"/>
  <c r="U160" i="5"/>
  <c r="AJ160" i="5" s="1"/>
  <c r="AA162" i="5"/>
  <c r="AP162" i="5" s="1"/>
  <c r="X164" i="5"/>
  <c r="AM164" i="5" s="1"/>
  <c r="Q166" i="5"/>
  <c r="V166" i="5"/>
  <c r="AK166" i="5" s="1"/>
  <c r="W168" i="5"/>
  <c r="AL168" i="5" s="1"/>
  <c r="V172" i="5"/>
  <c r="AK172" i="5" s="1"/>
  <c r="U175" i="5"/>
  <c r="AJ175" i="5" s="1"/>
  <c r="T180" i="5"/>
  <c r="AI180" i="5" s="1"/>
  <c r="AE186" i="5"/>
  <c r="AT186" i="5" s="1"/>
  <c r="X191" i="5"/>
  <c r="AM191" i="5" s="1"/>
  <c r="T196" i="5"/>
  <c r="AI196" i="5" s="1"/>
  <c r="X201" i="5"/>
  <c r="AM201" i="5" s="1"/>
  <c r="AE202" i="5"/>
  <c r="AT202" i="5" s="1"/>
  <c r="X207" i="5"/>
  <c r="AM207" i="5" s="1"/>
  <c r="T212" i="5"/>
  <c r="AI212" i="5" s="1"/>
  <c r="Y219" i="5"/>
  <c r="AN219" i="5" s="1"/>
  <c r="W222" i="5"/>
  <c r="AL222" i="5" s="1"/>
  <c r="S227" i="5"/>
  <c r="AH227" i="5" s="1"/>
  <c r="V231" i="5"/>
  <c r="AK231" i="5" s="1"/>
  <c r="AA232" i="5"/>
  <c r="AP232" i="5" s="1"/>
  <c r="S243" i="5"/>
  <c r="AH243" i="5" s="1"/>
  <c r="V247" i="5"/>
  <c r="AK247" i="5" s="1"/>
  <c r="AA248" i="5"/>
  <c r="AP248" i="5" s="1"/>
  <c r="R253" i="5"/>
  <c r="W254" i="5"/>
  <c r="AL254" i="5" s="1"/>
  <c r="Z258" i="5"/>
  <c r="AO258" i="5" s="1"/>
  <c r="AA259" i="5"/>
  <c r="AP259" i="5" s="1"/>
  <c r="R264" i="5"/>
  <c r="S265" i="5"/>
  <c r="AH265" i="5" s="1"/>
  <c r="R268" i="5"/>
  <c r="S269" i="5"/>
  <c r="AH269" i="5" s="1"/>
  <c r="W270" i="5"/>
  <c r="AL270" i="5" s="1"/>
  <c r="Z274" i="5"/>
  <c r="AA275" i="5"/>
  <c r="AP275" i="5" s="1"/>
  <c r="R280" i="5"/>
  <c r="AG280" i="5" s="1"/>
  <c r="S281" i="5"/>
  <c r="T282" i="5"/>
  <c r="Y283" i="5"/>
  <c r="Q291" i="5"/>
  <c r="S291" i="5"/>
  <c r="AA291" i="5"/>
  <c r="AP291" i="5" s="1"/>
  <c r="Q300" i="5"/>
  <c r="V300" i="5"/>
  <c r="AK300" i="5" s="1"/>
  <c r="Q306" i="5"/>
  <c r="Z306" i="5"/>
  <c r="AO306" i="5" s="1"/>
  <c r="T314" i="5"/>
  <c r="Q323" i="5"/>
  <c r="S323" i="5"/>
  <c r="AH323" i="5" s="1"/>
  <c r="Y323" i="5"/>
  <c r="AN323" i="5" s="1"/>
  <c r="W323" i="5"/>
  <c r="T329" i="5"/>
  <c r="AI329" i="5" s="1"/>
  <c r="X335" i="5"/>
  <c r="AM335" i="5" s="1"/>
  <c r="X8" i="5"/>
  <c r="AM8" i="5" s="1"/>
  <c r="R10" i="5"/>
  <c r="AA12" i="5"/>
  <c r="AP12" i="5" s="1"/>
  <c r="U14" i="5"/>
  <c r="AJ14" i="5" s="1"/>
  <c r="S17" i="5"/>
  <c r="AH17" i="5" s="1"/>
  <c r="X18" i="5"/>
  <c r="AM18" i="5" s="1"/>
  <c r="Z21" i="5"/>
  <c r="AO21" i="5" s="1"/>
  <c r="T23" i="5"/>
  <c r="AI23" i="5" s="1"/>
  <c r="X24" i="5"/>
  <c r="AM24" i="5" s="1"/>
  <c r="R26" i="5"/>
  <c r="T29" i="5"/>
  <c r="AI29" i="5" s="1"/>
  <c r="Y30" i="5"/>
  <c r="AN30" i="5" s="1"/>
  <c r="R32" i="5"/>
  <c r="AG32" i="5" s="1"/>
  <c r="W33" i="5"/>
  <c r="AL33" i="5" s="1"/>
  <c r="R37" i="5"/>
  <c r="AG37" i="5" s="1"/>
  <c r="W38" i="5"/>
  <c r="AL38" i="5" s="1"/>
  <c r="T40" i="5"/>
  <c r="AI40" i="5" s="1"/>
  <c r="R42" i="5"/>
  <c r="AA44" i="5"/>
  <c r="AP44" i="5" s="1"/>
  <c r="U46" i="5"/>
  <c r="AJ46" i="5" s="1"/>
  <c r="Z47" i="5"/>
  <c r="AO47" i="5" s="1"/>
  <c r="S49" i="5"/>
  <c r="AH49" i="5" s="1"/>
  <c r="AE50" i="5"/>
  <c r="AT50" i="5" s="1"/>
  <c r="W54" i="5"/>
  <c r="AL54" i="5" s="1"/>
  <c r="T56" i="5"/>
  <c r="AI56" i="5" s="1"/>
  <c r="R58" i="5"/>
  <c r="X61" i="5"/>
  <c r="AM61" i="5" s="1"/>
  <c r="R63" i="5"/>
  <c r="V64" i="5"/>
  <c r="AK64" i="5" s="1"/>
  <c r="AA65" i="5"/>
  <c r="AP65" i="5" s="1"/>
  <c r="Y67" i="5"/>
  <c r="AN67" i="5" s="1"/>
  <c r="V69" i="5"/>
  <c r="AK69" i="5" s="1"/>
  <c r="U73" i="5"/>
  <c r="AJ73" i="5" s="1"/>
  <c r="Z74" i="5"/>
  <c r="AO74" i="5" s="1"/>
  <c r="S76" i="5"/>
  <c r="AH76" i="5" s="1"/>
  <c r="X77" i="5"/>
  <c r="AM77" i="5" s="1"/>
  <c r="V79" i="5"/>
  <c r="AK79" i="5" s="1"/>
  <c r="Z80" i="5"/>
  <c r="AO80" i="5" s="1"/>
  <c r="X82" i="5"/>
  <c r="AM82" i="5" s="1"/>
  <c r="S86" i="5"/>
  <c r="AH86" i="5" s="1"/>
  <c r="Y89" i="5"/>
  <c r="AN89" i="5" s="1"/>
  <c r="AE93" i="5"/>
  <c r="AT93" i="5" s="1"/>
  <c r="R96" i="5"/>
  <c r="W97" i="5"/>
  <c r="AL97" i="5" s="1"/>
  <c r="AE98" i="5"/>
  <c r="AT98" i="5" s="1"/>
  <c r="V101" i="5"/>
  <c r="AK101" i="5" s="1"/>
  <c r="AA102" i="5"/>
  <c r="AP102" i="5" s="1"/>
  <c r="T104" i="5"/>
  <c r="AI104" i="5" s="1"/>
  <c r="Y105" i="5"/>
  <c r="AN105" i="5" s="1"/>
  <c r="W108" i="5"/>
  <c r="AL108" i="5" s="1"/>
  <c r="U110" i="5"/>
  <c r="AJ110" i="5" s="1"/>
  <c r="R112" i="5"/>
  <c r="AG112" i="5" s="1"/>
  <c r="AA113" i="5"/>
  <c r="AP113" i="5" s="1"/>
  <c r="V117" i="5"/>
  <c r="AK117" i="5" s="1"/>
  <c r="X120" i="5"/>
  <c r="AM120" i="5" s="1"/>
  <c r="Z122" i="5"/>
  <c r="AO122" i="5" s="1"/>
  <c r="S124" i="5"/>
  <c r="AH124" i="5" s="1"/>
  <c r="X125" i="5"/>
  <c r="AM125" i="5" s="1"/>
  <c r="W21" i="5"/>
  <c r="AL21" i="5" s="1"/>
  <c r="AE22" i="5"/>
  <c r="AT22" i="5" s="1"/>
  <c r="U24" i="5"/>
  <c r="AJ24" i="5" s="1"/>
  <c r="S26" i="5"/>
  <c r="AH26" i="5" s="1"/>
  <c r="AE28" i="5"/>
  <c r="AT28" i="5" s="1"/>
  <c r="V30" i="5"/>
  <c r="AK30" i="5" s="1"/>
  <c r="AA31" i="5"/>
  <c r="AP31" i="5" s="1"/>
  <c r="U33" i="5"/>
  <c r="AJ33" i="5" s="1"/>
  <c r="Z34" i="5"/>
  <c r="AO34" i="5" s="1"/>
  <c r="S53" i="5"/>
  <c r="AH53" i="5" s="1"/>
  <c r="X54" i="5"/>
  <c r="AM54" i="5" s="1"/>
  <c r="U56" i="5"/>
  <c r="AJ56" i="5" s="1"/>
  <c r="Z57" i="5"/>
  <c r="AO57" i="5" s="1"/>
  <c r="U61" i="5"/>
  <c r="AJ61" i="5" s="1"/>
  <c r="Z62" i="5"/>
  <c r="AO62" i="5" s="1"/>
  <c r="X64" i="5"/>
  <c r="AM64" i="5" s="1"/>
  <c r="W67" i="5"/>
  <c r="AL67" i="5" s="1"/>
  <c r="S85" i="5"/>
  <c r="AH85" i="5" s="1"/>
  <c r="X86" i="5"/>
  <c r="AM86" i="5" s="1"/>
  <c r="Y88" i="5"/>
  <c r="AN88" i="5" s="1"/>
  <c r="S90" i="5"/>
  <c r="AH90" i="5" s="1"/>
  <c r="U93" i="5"/>
  <c r="AJ93" i="5" s="1"/>
  <c r="Z94" i="5"/>
  <c r="AO94" i="5" s="1"/>
  <c r="T96" i="5"/>
  <c r="AI96" i="5" s="1"/>
  <c r="Y97" i="5"/>
  <c r="AN97" i="5" s="1"/>
  <c r="W99" i="5"/>
  <c r="AL99" i="5" s="1"/>
  <c r="Z108" i="5"/>
  <c r="AO108" i="5" s="1"/>
  <c r="Q116" i="5"/>
  <c r="U116" i="5"/>
  <c r="AJ116" i="5" s="1"/>
  <c r="AA117" i="5"/>
  <c r="AP117" i="5" s="1"/>
  <c r="V121" i="5"/>
  <c r="AK121" i="5" s="1"/>
  <c r="V126" i="5"/>
  <c r="AK126" i="5" s="1"/>
  <c r="U129" i="5"/>
  <c r="AJ129" i="5" s="1"/>
  <c r="W132" i="5"/>
  <c r="AL132" i="5" s="1"/>
  <c r="AE133" i="5"/>
  <c r="AT133" i="5" s="1"/>
  <c r="U135" i="5"/>
  <c r="AJ135" i="5" s="1"/>
  <c r="Z136" i="5"/>
  <c r="AO136" i="5" s="1"/>
  <c r="R145" i="5"/>
  <c r="Z151" i="5"/>
  <c r="AO151" i="5" s="1"/>
  <c r="AA156" i="5"/>
  <c r="AP156" i="5" s="1"/>
  <c r="U158" i="5"/>
  <c r="AJ158" i="5" s="1"/>
  <c r="Y159" i="5"/>
  <c r="AN159" i="5" s="1"/>
  <c r="W161" i="5"/>
  <c r="AL161" i="5" s="1"/>
  <c r="T163" i="5"/>
  <c r="AI163" i="5" s="1"/>
  <c r="Y164" i="5"/>
  <c r="AN164" i="5" s="1"/>
  <c r="Z165" i="5"/>
  <c r="AO165" i="5" s="1"/>
  <c r="Y169" i="5"/>
  <c r="AN169" i="5" s="1"/>
  <c r="S171" i="5"/>
  <c r="AH171" i="5" s="1"/>
  <c r="U173" i="5"/>
  <c r="AJ173" i="5" s="1"/>
  <c r="S175" i="5"/>
  <c r="AH175" i="5" s="1"/>
  <c r="AE176" i="5"/>
  <c r="AT176" i="5" s="1"/>
  <c r="U178" i="5"/>
  <c r="AJ178" i="5" s="1"/>
  <c r="Z179" i="5"/>
  <c r="AO179" i="5" s="1"/>
  <c r="V188" i="5"/>
  <c r="AK188" i="5" s="1"/>
  <c r="AA195" i="5"/>
  <c r="AP195" i="5" s="1"/>
  <c r="AA199" i="5"/>
  <c r="AP199" i="5" s="1"/>
  <c r="U201" i="5"/>
  <c r="AJ201" i="5" s="1"/>
  <c r="Y202" i="5"/>
  <c r="AN202" i="5" s="1"/>
  <c r="X206" i="5"/>
  <c r="AM206" i="5" s="1"/>
  <c r="V208" i="5"/>
  <c r="AK208" i="5" s="1"/>
  <c r="T211" i="5"/>
  <c r="AI211" i="5" s="1"/>
  <c r="Y212" i="5"/>
  <c r="AN212" i="5" s="1"/>
  <c r="W214" i="5"/>
  <c r="AL214" i="5" s="1"/>
  <c r="S219" i="5"/>
  <c r="AH219" i="5" s="1"/>
  <c r="Z223" i="5"/>
  <c r="AO223" i="5" s="1"/>
  <c r="R228" i="5"/>
  <c r="R232" i="5"/>
  <c r="AA234" i="5"/>
  <c r="AP234" i="5" s="1"/>
  <c r="W239" i="5"/>
  <c r="AL239" i="5" s="1"/>
  <c r="Z243" i="5"/>
  <c r="AO243" i="5" s="1"/>
  <c r="AE249" i="5"/>
  <c r="AT249" i="5" s="1"/>
  <c r="U261" i="5"/>
  <c r="AJ261" i="5" s="1"/>
  <c r="W264" i="5"/>
  <c r="AL264" i="5" s="1"/>
  <c r="Y266" i="5"/>
  <c r="AN266" i="5" s="1"/>
  <c r="S268" i="5"/>
  <c r="AH268" i="5" s="1"/>
  <c r="AE269" i="5"/>
  <c r="AT269" i="5" s="1"/>
  <c r="S274" i="5"/>
  <c r="AE275" i="5"/>
  <c r="AT275" i="5" s="1"/>
  <c r="V277" i="5"/>
  <c r="AK277" i="5" s="1"/>
  <c r="AA278" i="5"/>
  <c r="AP278" i="5" s="1"/>
  <c r="U281" i="5"/>
  <c r="W283" i="5"/>
  <c r="U285" i="5"/>
  <c r="Y286" i="5"/>
  <c r="AN286" i="5" s="1"/>
  <c r="X290" i="5"/>
  <c r="AM290" i="5" s="1"/>
  <c r="T294" i="5"/>
  <c r="Y295" i="5"/>
  <c r="AN295" i="5" s="1"/>
  <c r="V301" i="5"/>
  <c r="AK301" i="5" s="1"/>
  <c r="Q303" i="5"/>
  <c r="S303" i="5"/>
  <c r="AH303" i="5" s="1"/>
  <c r="AE304" i="5"/>
  <c r="AT304" i="5" s="1"/>
  <c r="Z307" i="5"/>
  <c r="AO307" i="5" s="1"/>
  <c r="AE309" i="5"/>
  <c r="AT309" i="5" s="1"/>
  <c r="W318" i="5"/>
  <c r="Q327" i="5"/>
  <c r="S327" i="5"/>
  <c r="R327" i="5"/>
  <c r="X343" i="5"/>
  <c r="AM343" i="5" s="1"/>
  <c r="X348" i="5"/>
  <c r="AM348" i="5" s="1"/>
  <c r="AG330" i="5"/>
  <c r="X338" i="5"/>
  <c r="X347" i="5"/>
  <c r="AM347" i="5" s="1"/>
  <c r="R105" i="5"/>
  <c r="AG105" i="5" s="1"/>
  <c r="AA111" i="5"/>
  <c r="AP111" i="5" s="1"/>
  <c r="Z114" i="5"/>
  <c r="AO114" i="5" s="1"/>
  <c r="AE130" i="5"/>
  <c r="AT130" i="5" s="1"/>
  <c r="S135" i="5"/>
  <c r="AH135" i="5" s="1"/>
  <c r="T140" i="5"/>
  <c r="AI140" i="5" s="1"/>
  <c r="Z143" i="5"/>
  <c r="AO143" i="5" s="1"/>
  <c r="R153" i="5"/>
  <c r="Y156" i="5"/>
  <c r="AN156" i="5" s="1"/>
  <c r="T160" i="5"/>
  <c r="AI160" i="5" s="1"/>
  <c r="Z163" i="5"/>
  <c r="AO163" i="5" s="1"/>
  <c r="R168" i="5"/>
  <c r="S173" i="5"/>
  <c r="AH173" i="5" s="1"/>
  <c r="R191" i="5"/>
  <c r="AE194" i="5"/>
  <c r="AT194" i="5" s="1"/>
  <c r="X203" i="5"/>
  <c r="AM203" i="5" s="1"/>
  <c r="V206" i="5"/>
  <c r="AK206" i="5" s="1"/>
  <c r="W231" i="5"/>
  <c r="AL231" i="5" s="1"/>
  <c r="S236" i="5"/>
  <c r="AH236" i="5" s="1"/>
  <c r="V240" i="5"/>
  <c r="AK240" i="5" s="1"/>
  <c r="W257" i="5"/>
  <c r="AA261" i="5"/>
  <c r="AP261" i="5" s="1"/>
  <c r="S271" i="5"/>
  <c r="T277" i="5"/>
  <c r="T296" i="5"/>
  <c r="AE301" i="5"/>
  <c r="AT301" i="5" s="1"/>
  <c r="T307" i="5"/>
  <c r="AI307" i="5" s="1"/>
  <c r="U327" i="5"/>
  <c r="Y332" i="5"/>
  <c r="AA340" i="5"/>
  <c r="AP340" i="5" s="1"/>
  <c r="T346" i="5"/>
  <c r="AI346" i="5" s="1"/>
  <c r="AA9" i="5"/>
  <c r="AP9" i="5" s="1"/>
  <c r="V13" i="5"/>
  <c r="AK13" i="5" s="1"/>
  <c r="S32" i="5"/>
  <c r="AH32" i="5" s="1"/>
  <c r="U38" i="5"/>
  <c r="AJ38" i="5" s="1"/>
  <c r="S41" i="5"/>
  <c r="AH41" i="5" s="1"/>
  <c r="Y44" i="5"/>
  <c r="AN44" i="5" s="1"/>
  <c r="AE47" i="5"/>
  <c r="AT47" i="5" s="1"/>
  <c r="X65" i="5"/>
  <c r="AM65" i="5" s="1"/>
  <c r="Z67" i="5"/>
  <c r="AO67" i="5" s="1"/>
  <c r="Y70" i="5"/>
  <c r="AN70" i="5" s="1"/>
  <c r="W73" i="5"/>
  <c r="AL73" i="5" s="1"/>
  <c r="AA100" i="5"/>
  <c r="AP100" i="5" s="1"/>
  <c r="R104" i="5"/>
  <c r="AG104" i="5" s="1"/>
  <c r="W110" i="5"/>
  <c r="AL110" i="5" s="1"/>
  <c r="U130" i="5"/>
  <c r="AJ130" i="5" s="1"/>
  <c r="X134" i="5"/>
  <c r="AM134" i="5" s="1"/>
  <c r="Y136" i="5"/>
  <c r="AN136" i="5" s="1"/>
  <c r="Q139" i="5"/>
  <c r="S139" i="5"/>
  <c r="AH139" i="5" s="1"/>
  <c r="R139" i="5"/>
  <c r="W143" i="5"/>
  <c r="AL143" i="5" s="1"/>
  <c r="X149" i="5"/>
  <c r="AM149" i="5" s="1"/>
  <c r="T154" i="5"/>
  <c r="AI154" i="5" s="1"/>
  <c r="AA172" i="5"/>
  <c r="AP172" i="5" s="1"/>
  <c r="T177" i="5"/>
  <c r="AI177" i="5" s="1"/>
  <c r="T182" i="5"/>
  <c r="AI182" i="5" s="1"/>
  <c r="AE187" i="5"/>
  <c r="AT187" i="5" s="1"/>
  <c r="Y194" i="5"/>
  <c r="AN194" i="5" s="1"/>
  <c r="AA16" i="5"/>
  <c r="AP16" i="5" s="1"/>
  <c r="U18" i="5"/>
  <c r="AJ18" i="5" s="1"/>
  <c r="V19" i="5"/>
  <c r="AK19" i="5" s="1"/>
  <c r="AA20" i="5"/>
  <c r="AP20" i="5" s="1"/>
  <c r="U22" i="5"/>
  <c r="AJ22" i="5" s="1"/>
  <c r="Z23" i="5"/>
  <c r="AO23" i="5" s="1"/>
  <c r="S25" i="5"/>
  <c r="AH25" i="5" s="1"/>
  <c r="X26" i="5"/>
  <c r="AM26" i="5" s="1"/>
  <c r="U28" i="5"/>
  <c r="AJ28" i="5" s="1"/>
  <c r="Z29" i="5"/>
  <c r="AO29" i="5" s="1"/>
  <c r="T31" i="5"/>
  <c r="AI31" i="5" s="1"/>
  <c r="W48" i="5"/>
  <c r="AL48" i="5" s="1"/>
  <c r="AE49" i="5"/>
  <c r="AT49" i="5" s="1"/>
  <c r="R51" i="5"/>
  <c r="AG51" i="5" s="1"/>
  <c r="U54" i="5"/>
  <c r="AJ54" i="5" s="1"/>
  <c r="S57" i="5"/>
  <c r="AH57" i="5" s="1"/>
  <c r="AE58" i="5"/>
  <c r="AT58" i="5" s="1"/>
  <c r="Y60" i="5"/>
  <c r="AN60" i="5" s="1"/>
  <c r="S62" i="5"/>
  <c r="AH62" i="5" s="1"/>
  <c r="AE63" i="5"/>
  <c r="AT63" i="5" s="1"/>
  <c r="U78" i="5"/>
  <c r="AJ78" i="5" s="1"/>
  <c r="T81" i="5"/>
  <c r="AI81" i="5" s="1"/>
  <c r="X85" i="5"/>
  <c r="AM85" i="5" s="1"/>
  <c r="V88" i="5"/>
  <c r="AK88" i="5" s="1"/>
  <c r="AA89" i="5"/>
  <c r="AP89" i="5" s="1"/>
  <c r="T95" i="5"/>
  <c r="AI95" i="5" s="1"/>
  <c r="R106" i="5"/>
  <c r="AG106" i="5" s="1"/>
  <c r="U114" i="5"/>
  <c r="AJ114" i="5" s="1"/>
  <c r="V115" i="5"/>
  <c r="AK115" i="5" s="1"/>
  <c r="AA116" i="5"/>
  <c r="AP116" i="5" s="1"/>
  <c r="U118" i="5"/>
  <c r="AJ118" i="5" s="1"/>
  <c r="R120" i="5"/>
  <c r="AG120" i="5" s="1"/>
  <c r="V125" i="5"/>
  <c r="AK125" i="5" s="1"/>
  <c r="T127" i="5"/>
  <c r="AI127" i="5" s="1"/>
  <c r="V134" i="5"/>
  <c r="AK134" i="5" s="1"/>
  <c r="S140" i="5"/>
  <c r="AH140" i="5" s="1"/>
  <c r="AE141" i="5"/>
  <c r="AT141" i="5" s="1"/>
  <c r="U143" i="5"/>
  <c r="AJ143" i="5" s="1"/>
  <c r="S145" i="5"/>
  <c r="AH145" i="5" s="1"/>
  <c r="U148" i="5"/>
  <c r="AJ148" i="5" s="1"/>
  <c r="V149" i="5"/>
  <c r="AK149" i="5" s="1"/>
  <c r="W151" i="5"/>
  <c r="AL151" i="5" s="1"/>
  <c r="R154" i="5"/>
  <c r="AE156" i="5"/>
  <c r="AT156" i="5" s="1"/>
  <c r="V158" i="5"/>
  <c r="AK158" i="5" s="1"/>
  <c r="S160" i="5"/>
  <c r="AH160" i="5" s="1"/>
  <c r="AE161" i="5"/>
  <c r="AT161" i="5" s="1"/>
  <c r="U163" i="5"/>
  <c r="AJ163" i="5" s="1"/>
  <c r="S165" i="5"/>
  <c r="AH165" i="5" s="1"/>
  <c r="AE166" i="5"/>
  <c r="AT166" i="5" s="1"/>
  <c r="W170" i="5"/>
  <c r="AL170" i="5" s="1"/>
  <c r="U172" i="5"/>
  <c r="AJ172" i="5" s="1"/>
  <c r="Z173" i="5"/>
  <c r="AO173" i="5" s="1"/>
  <c r="AE175" i="5"/>
  <c r="AT175" i="5" s="1"/>
  <c r="S183" i="5"/>
  <c r="AH183" i="5" s="1"/>
  <c r="AE184" i="5"/>
  <c r="AT184" i="5" s="1"/>
  <c r="Y186" i="5"/>
  <c r="AN186" i="5" s="1"/>
  <c r="V192" i="5"/>
  <c r="AK192" i="5" s="1"/>
  <c r="Y196" i="5"/>
  <c r="AN196" i="5" s="1"/>
  <c r="W198" i="5"/>
  <c r="AL198" i="5" s="1"/>
  <c r="U200" i="5"/>
  <c r="AJ200" i="5" s="1"/>
  <c r="V202" i="5"/>
  <c r="AK202" i="5" s="1"/>
  <c r="U206" i="5"/>
  <c r="AJ206" i="5" s="1"/>
  <c r="W208" i="5"/>
  <c r="AL208" i="5" s="1"/>
  <c r="T210" i="5"/>
  <c r="AI210" i="5" s="1"/>
  <c r="Y211" i="5"/>
  <c r="AN211" i="5" s="1"/>
  <c r="T214" i="5"/>
  <c r="AI214" i="5" s="1"/>
  <c r="Y215" i="5"/>
  <c r="AE219" i="5"/>
  <c r="AT219" i="5" s="1"/>
  <c r="V221" i="5"/>
  <c r="AK221" i="5" s="1"/>
  <c r="V222" i="5"/>
  <c r="AK222" i="5" s="1"/>
  <c r="AA223" i="5"/>
  <c r="AP223" i="5" s="1"/>
  <c r="R227" i="5"/>
  <c r="W228" i="5"/>
  <c r="AL228" i="5" s="1"/>
  <c r="Y230" i="5"/>
  <c r="AN230" i="5" s="1"/>
  <c r="U235" i="5"/>
  <c r="AJ235" i="5" s="1"/>
  <c r="X244" i="5"/>
  <c r="AM244" i="5" s="1"/>
  <c r="V246" i="5"/>
  <c r="AK246" i="5" s="1"/>
  <c r="AA247" i="5"/>
  <c r="AP247" i="5" s="1"/>
  <c r="Y250" i="5"/>
  <c r="AN250" i="5" s="1"/>
  <c r="W253" i="5"/>
  <c r="AL253" i="5" s="1"/>
  <c r="S258" i="5"/>
  <c r="AE259" i="5"/>
  <c r="AT259" i="5" s="1"/>
  <c r="V261" i="5"/>
  <c r="AK261" i="5" s="1"/>
  <c r="AA262" i="5"/>
  <c r="AP262" i="5" s="1"/>
  <c r="U265" i="5"/>
  <c r="X268" i="5"/>
  <c r="AM268" i="5" s="1"/>
  <c r="R271" i="5"/>
  <c r="Q272" i="5"/>
  <c r="T272" i="5"/>
  <c r="AI272" i="5" s="1"/>
  <c r="AE272" i="5"/>
  <c r="AT272" i="5" s="1"/>
  <c r="Q273" i="5"/>
  <c r="Y273" i="5"/>
  <c r="U275" i="5"/>
  <c r="AJ275" i="5" s="1"/>
  <c r="Z276" i="5"/>
  <c r="AO276" i="5" s="1"/>
  <c r="V281" i="5"/>
  <c r="AK281" i="5" s="1"/>
  <c r="X283" i="5"/>
  <c r="AM283" i="5" s="1"/>
  <c r="V285" i="5"/>
  <c r="AK285" i="5" s="1"/>
  <c r="Q287" i="5"/>
  <c r="AA287" i="5"/>
  <c r="AP287" i="5" s="1"/>
  <c r="AE288" i="5"/>
  <c r="AT288" i="5" s="1"/>
  <c r="Y290" i="5"/>
  <c r="AN290" i="5" s="1"/>
  <c r="S296" i="5"/>
  <c r="W302" i="5"/>
  <c r="AL302" i="5" s="1"/>
  <c r="R305" i="5"/>
  <c r="Y309" i="5"/>
  <c r="AN309" i="5" s="1"/>
  <c r="Q311" i="5"/>
  <c r="S311" i="5"/>
  <c r="R311" i="5"/>
  <c r="X323" i="5"/>
  <c r="AM323" i="5" s="1"/>
  <c r="Q325" i="5"/>
  <c r="V325" i="5"/>
  <c r="AK325" i="5" s="1"/>
  <c r="U325" i="5"/>
  <c r="X327" i="5"/>
  <c r="AM327" i="5" s="1"/>
  <c r="V330" i="5"/>
  <c r="AK330" i="5" s="1"/>
  <c r="Q333" i="5"/>
  <c r="V333" i="5"/>
  <c r="AK333" i="5" s="1"/>
  <c r="AA333" i="5"/>
  <c r="AP333" i="5" s="1"/>
  <c r="AE338" i="5"/>
  <c r="AT338" i="5" s="1"/>
  <c r="Q344" i="5"/>
  <c r="V344" i="5"/>
  <c r="T347" i="5"/>
  <c r="AI347" i="5" s="1"/>
  <c r="V100" i="5"/>
  <c r="AK100" i="5" s="1"/>
  <c r="R110" i="5"/>
  <c r="AG110" i="5" s="1"/>
  <c r="V114" i="5"/>
  <c r="AK114" i="5" s="1"/>
  <c r="R128" i="5"/>
  <c r="AG128" i="5" s="1"/>
  <c r="AA134" i="5"/>
  <c r="AP134" i="5" s="1"/>
  <c r="V138" i="5"/>
  <c r="AK138" i="5" s="1"/>
  <c r="R142" i="5"/>
  <c r="T145" i="5"/>
  <c r="AI145" i="5" s="1"/>
  <c r="S149" i="5"/>
  <c r="AH149" i="5" s="1"/>
  <c r="AA154" i="5"/>
  <c r="AP154" i="5" s="1"/>
  <c r="Q157" i="5"/>
  <c r="AA157" i="5"/>
  <c r="AP157" i="5" s="1"/>
  <c r="X160" i="5"/>
  <c r="AM160" i="5" s="1"/>
  <c r="V163" i="5"/>
  <c r="AK163" i="5" s="1"/>
  <c r="Y166" i="5"/>
  <c r="AN166" i="5" s="1"/>
  <c r="W178" i="5"/>
  <c r="AL178" i="5" s="1"/>
  <c r="Z181" i="5"/>
  <c r="AO181" i="5" s="1"/>
  <c r="Y184" i="5"/>
  <c r="AN184" i="5" s="1"/>
  <c r="X194" i="5"/>
  <c r="AM194" i="5" s="1"/>
  <c r="Y199" i="5"/>
  <c r="AN199" i="5" s="1"/>
  <c r="T203" i="5"/>
  <c r="AI203" i="5" s="1"/>
  <c r="T208" i="5"/>
  <c r="AI208" i="5" s="1"/>
  <c r="R211" i="5"/>
  <c r="R215" i="5"/>
  <c r="AG215" i="5" s="1"/>
  <c r="T223" i="5"/>
  <c r="AI223" i="5" s="1"/>
  <c r="Z235" i="5"/>
  <c r="AO235" i="5" s="1"/>
  <c r="R240" i="5"/>
  <c r="AA242" i="5"/>
  <c r="AP242" i="5" s="1"/>
  <c r="Q245" i="5"/>
  <c r="Y245" i="5"/>
  <c r="AN245" i="5" s="1"/>
  <c r="S246" i="5"/>
  <c r="AH246" i="5" s="1"/>
  <c r="AE247" i="5"/>
  <c r="AT247" i="5" s="1"/>
  <c r="Z249" i="5"/>
  <c r="AO249" i="5" s="1"/>
  <c r="S251" i="5"/>
  <c r="AH251" i="5" s="1"/>
  <c r="AE253" i="5"/>
  <c r="AT253" i="5" s="1"/>
  <c r="Q256" i="5"/>
  <c r="T256" i="5"/>
  <c r="AI256" i="5" s="1"/>
  <c r="AE256" i="5"/>
  <c r="AT256" i="5" s="1"/>
  <c r="AA257" i="5"/>
  <c r="AP257" i="5" s="1"/>
  <c r="Z275" i="5"/>
  <c r="AO275" i="5" s="1"/>
  <c r="Z290" i="5"/>
  <c r="AO290" i="5" s="1"/>
  <c r="U303" i="5"/>
  <c r="V314" i="5"/>
  <c r="T322" i="5"/>
  <c r="AI322" i="5" s="1"/>
  <c r="X326" i="5"/>
  <c r="AM326" i="5" s="1"/>
  <c r="U332" i="5"/>
  <c r="V339" i="5"/>
  <c r="T10" i="5"/>
  <c r="AI10" i="5" s="1"/>
  <c r="R13" i="5"/>
  <c r="U34" i="5"/>
  <c r="AJ34" i="5" s="1"/>
  <c r="AE42" i="5"/>
  <c r="AT42" i="5" s="1"/>
  <c r="Z45" i="5"/>
  <c r="AO45" i="5" s="1"/>
  <c r="S54" i="5"/>
  <c r="AH54" i="5" s="1"/>
  <c r="AE65" i="5"/>
  <c r="AT65" i="5" s="1"/>
  <c r="X69" i="5"/>
  <c r="AM69" i="5" s="1"/>
  <c r="V72" i="5"/>
  <c r="AK72" i="5" s="1"/>
  <c r="AE74" i="5"/>
  <c r="AT74" i="5" s="1"/>
  <c r="Y76" i="5"/>
  <c r="AN76" i="5" s="1"/>
  <c r="S78" i="5"/>
  <c r="AH78" i="5" s="1"/>
  <c r="AE79" i="5"/>
  <c r="AT79" i="5" s="1"/>
  <c r="S96" i="5"/>
  <c r="AH96" i="5" s="1"/>
  <c r="X97" i="5"/>
  <c r="AM97" i="5" s="1"/>
  <c r="Z99" i="5"/>
  <c r="AO99" i="5" s="1"/>
  <c r="Y102" i="5"/>
  <c r="AN102" i="5" s="1"/>
  <c r="AA105" i="5"/>
  <c r="AP105" i="5" s="1"/>
  <c r="S110" i="5"/>
  <c r="AH110" i="5" s="1"/>
  <c r="S128" i="5"/>
  <c r="AH128" i="5" s="1"/>
  <c r="Y130" i="5"/>
  <c r="AN130" i="5" s="1"/>
  <c r="Z132" i="5"/>
  <c r="AO132" i="5" s="1"/>
  <c r="X135" i="5"/>
  <c r="AM135" i="5" s="1"/>
  <c r="U140" i="5"/>
  <c r="AJ140" i="5" s="1"/>
  <c r="U145" i="5"/>
  <c r="AJ145" i="5" s="1"/>
  <c r="R161" i="5"/>
  <c r="T173" i="5"/>
  <c r="AI173" i="5" s="1"/>
  <c r="X178" i="5"/>
  <c r="AM178" i="5" s="1"/>
  <c r="W186" i="5"/>
  <c r="AL186" i="5" s="1"/>
  <c r="U194" i="5"/>
  <c r="AJ194" i="5" s="1"/>
  <c r="V210" i="5"/>
  <c r="AK210" i="5" s="1"/>
  <c r="S215" i="5"/>
  <c r="AH215" i="5" s="1"/>
  <c r="Z219" i="5"/>
  <c r="AO219" i="5" s="1"/>
  <c r="Z224" i="5"/>
  <c r="AO224" i="5" s="1"/>
  <c r="AE227" i="5"/>
  <c r="AT227" i="5" s="1"/>
  <c r="W230" i="5"/>
  <c r="AL230" i="5" s="1"/>
  <c r="Y238" i="5"/>
  <c r="AN238" i="5" s="1"/>
  <c r="X242" i="5"/>
  <c r="AM242" i="5" s="1"/>
  <c r="R248" i="5"/>
  <c r="Z254" i="5"/>
  <c r="AO254" i="5" s="1"/>
  <c r="R259" i="5"/>
  <c r="AE261" i="5"/>
  <c r="AT261" i="5" s="1"/>
  <c r="U277" i="5"/>
  <c r="W280" i="5"/>
  <c r="V283" i="5"/>
  <c r="X286" i="5"/>
  <c r="Z288" i="5"/>
  <c r="AO288" i="5" s="1"/>
  <c r="U292" i="5"/>
  <c r="X295" i="5"/>
  <c r="AM295" i="5" s="1"/>
  <c r="Z303" i="5"/>
  <c r="AO303" i="5" s="1"/>
  <c r="U307" i="5"/>
  <c r="U311" i="5"/>
  <c r="AJ311" i="5" s="1"/>
  <c r="AA314" i="5"/>
  <c r="AP314" i="5" s="1"/>
  <c r="V318" i="5"/>
  <c r="W333" i="5"/>
  <c r="W339" i="5"/>
  <c r="AL339" i="5" s="1"/>
  <c r="Q342" i="5"/>
  <c r="U342" i="5"/>
  <c r="X344" i="5"/>
  <c r="AM344" i="5" s="1"/>
  <c r="R9" i="5"/>
  <c r="AG9" i="5" s="1"/>
  <c r="AA10" i="5"/>
  <c r="AP10" i="5" s="1"/>
  <c r="T12" i="5"/>
  <c r="AI12" i="5" s="1"/>
  <c r="Y13" i="5"/>
  <c r="AN13" i="5" s="1"/>
  <c r="T16" i="5"/>
  <c r="AI16" i="5" s="1"/>
  <c r="Y17" i="5"/>
  <c r="AN17" i="5" s="1"/>
  <c r="S19" i="5"/>
  <c r="AH19" i="5" s="1"/>
  <c r="S37" i="5"/>
  <c r="AH37" i="5" s="1"/>
  <c r="X38" i="5"/>
  <c r="AM38" i="5" s="1"/>
  <c r="Z41" i="5"/>
  <c r="AO41" i="5" s="1"/>
  <c r="X44" i="5"/>
  <c r="AM44" i="5" s="1"/>
  <c r="R46" i="5"/>
  <c r="W47" i="5"/>
  <c r="AL47" i="5" s="1"/>
  <c r="AE48" i="5"/>
  <c r="AT48" i="5" s="1"/>
  <c r="V50" i="5"/>
  <c r="AK50" i="5" s="1"/>
  <c r="AA51" i="5"/>
  <c r="AP51" i="5" s="1"/>
  <c r="Q68" i="5"/>
  <c r="AE68" i="5"/>
  <c r="AT68" i="5" s="1"/>
  <c r="W69" i="5"/>
  <c r="AL69" i="5" s="1"/>
  <c r="AE70" i="5"/>
  <c r="AT70" i="5" s="1"/>
  <c r="Y72" i="5"/>
  <c r="AN72" i="5" s="1"/>
  <c r="Y77" i="5"/>
  <c r="AN77" i="5" s="1"/>
  <c r="X80" i="5"/>
  <c r="AM80" i="5" s="1"/>
  <c r="R82" i="5"/>
  <c r="X262" i="5"/>
  <c r="AM262" i="5" s="1"/>
  <c r="Z270" i="5"/>
  <c r="AO270" i="5" s="1"/>
  <c r="V275" i="5"/>
  <c r="AE296" i="5"/>
  <c r="AT296" i="5" s="1"/>
  <c r="T301" i="5"/>
  <c r="AI301" i="5" s="1"/>
  <c r="Q315" i="5"/>
  <c r="Y315" i="5"/>
  <c r="AN315" i="5" s="1"/>
  <c r="AE322" i="5"/>
  <c r="AT322" i="5" s="1"/>
  <c r="R339" i="5"/>
  <c r="AG339" i="5" s="1"/>
  <c r="Y140" i="5"/>
  <c r="AN140" i="5" s="1"/>
  <c r="Y145" i="5"/>
  <c r="AN145" i="5" s="1"/>
  <c r="W162" i="5"/>
  <c r="AL162" i="5" s="1"/>
  <c r="X173" i="5"/>
  <c r="AM173" i="5" s="1"/>
  <c r="AE178" i="5"/>
  <c r="AT178" i="5" s="1"/>
  <c r="AE192" i="5"/>
  <c r="AT192" i="5" s="1"/>
  <c r="AE221" i="5"/>
  <c r="AT221" i="5" s="1"/>
  <c r="AA226" i="5"/>
  <c r="AP226" i="5" s="1"/>
  <c r="AA230" i="5"/>
  <c r="AP230" i="5" s="1"/>
  <c r="S235" i="5"/>
  <c r="AH235" i="5" s="1"/>
  <c r="R239" i="5"/>
  <c r="AE241" i="5"/>
  <c r="AT241" i="5" s="1"/>
  <c r="AA245" i="5"/>
  <c r="AP245" i="5" s="1"/>
  <c r="Y258" i="5"/>
  <c r="AN258" i="5" s="1"/>
  <c r="Y262" i="5"/>
  <c r="AN262" i="5" s="1"/>
  <c r="X276" i="5"/>
  <c r="AM276" i="5" s="1"/>
  <c r="S280" i="5"/>
  <c r="AA284" i="5"/>
  <c r="AP284" i="5" s="1"/>
  <c r="Y287" i="5"/>
  <c r="AN287" i="5" s="1"/>
  <c r="Y292" i="5"/>
  <c r="Y296" i="5"/>
  <c r="T300" i="5"/>
  <c r="S304" i="5"/>
  <c r="AH304" i="5" s="1"/>
  <c r="S313" i="5"/>
  <c r="V327" i="5"/>
  <c r="AK327" i="5" s="1"/>
  <c r="S333" i="5"/>
  <c r="W343" i="5"/>
  <c r="AL343" i="5" s="1"/>
  <c r="AA348" i="5"/>
  <c r="AP348" i="5" s="1"/>
  <c r="Y129" i="5"/>
  <c r="AN129" i="5" s="1"/>
  <c r="S159" i="5"/>
  <c r="AH159" i="5" s="1"/>
  <c r="X172" i="5"/>
  <c r="AM172" i="5" s="1"/>
  <c r="R186" i="5"/>
  <c r="S196" i="5"/>
  <c r="AH196" i="5" s="1"/>
  <c r="W213" i="5"/>
  <c r="AL213" i="5" s="1"/>
  <c r="U236" i="5"/>
  <c r="AJ236" i="5" s="1"/>
  <c r="T248" i="5"/>
  <c r="AI248" i="5" s="1"/>
  <c r="X273" i="5"/>
  <c r="AM273" i="5" s="1"/>
  <c r="R291" i="5"/>
  <c r="Z299" i="5"/>
  <c r="AO299" i="5" s="1"/>
  <c r="R303" i="5"/>
  <c r="Y306" i="5"/>
  <c r="AN306" i="5" s="1"/>
  <c r="Y314" i="5"/>
  <c r="AN314" i="5" s="1"/>
  <c r="AA325" i="5"/>
  <c r="AP325" i="5" s="1"/>
  <c r="T339" i="5"/>
  <c r="X63" i="5"/>
  <c r="AM63" i="5" s="1"/>
  <c r="Z137" i="5"/>
  <c r="AO137" i="5" s="1"/>
  <c r="W166" i="5"/>
  <c r="AL166" i="5" s="1"/>
  <c r="V181" i="5"/>
  <c r="AK181" i="5" s="1"/>
  <c r="R202" i="5"/>
  <c r="Y223" i="5"/>
  <c r="AN223" i="5" s="1"/>
  <c r="AE230" i="5"/>
  <c r="AT230" i="5" s="1"/>
  <c r="U248" i="5"/>
  <c r="AJ248" i="5" s="1"/>
  <c r="Y265" i="5"/>
  <c r="T280" i="5"/>
  <c r="AA299" i="5"/>
  <c r="AP299" i="5" s="1"/>
  <c r="Z310" i="5"/>
  <c r="AO310" i="5" s="1"/>
  <c r="Y322" i="5"/>
  <c r="AN322" i="5" s="1"/>
  <c r="Y334" i="5"/>
  <c r="AN334" i="5" s="1"/>
  <c r="U343" i="5"/>
  <c r="Y347" i="5"/>
  <c r="AN347" i="5" s="1"/>
  <c r="AA161" i="5"/>
  <c r="AP161" i="5" s="1"/>
  <c r="T254" i="5"/>
  <c r="AI254" i="5" s="1"/>
  <c r="U276" i="5"/>
  <c r="AJ276" i="5" s="1"/>
  <c r="U333" i="5"/>
  <c r="V347" i="5"/>
  <c r="AK347" i="5" s="1"/>
  <c r="R127" i="5"/>
  <c r="AG127" i="5" s="1"/>
  <c r="R159" i="5"/>
  <c r="S192" i="5"/>
  <c r="AH192" i="5" s="1"/>
  <c r="AE274" i="5"/>
  <c r="AT274" i="5" s="1"/>
  <c r="S322" i="5"/>
  <c r="AH322" i="5" s="1"/>
  <c r="V342" i="5"/>
  <c r="AK342" i="5" s="1"/>
  <c r="Z25" i="5"/>
  <c r="AO25" i="5" s="1"/>
  <c r="X113" i="5"/>
  <c r="AM113" i="5" s="1"/>
  <c r="V148" i="5"/>
  <c r="AK148" i="5" s="1"/>
  <c r="W177" i="5"/>
  <c r="AL177" i="5" s="1"/>
  <c r="W215" i="5"/>
  <c r="AL215" i="5" s="1"/>
  <c r="AE238" i="5"/>
  <c r="AT238" i="5" s="1"/>
  <c r="W294" i="5"/>
  <c r="S310" i="5"/>
  <c r="AH310" i="5" s="1"/>
  <c r="W327" i="5"/>
  <c r="S180" i="5"/>
  <c r="AH180" i="5" s="1"/>
  <c r="V213" i="5"/>
  <c r="AK213" i="5" s="1"/>
  <c r="T224" i="5"/>
  <c r="AI224" i="5" s="1"/>
  <c r="AE236" i="5"/>
  <c r="AT236" i="5" s="1"/>
  <c r="Y311" i="5"/>
  <c r="AN311" i="5" s="1"/>
  <c r="V329" i="5"/>
  <c r="AK329" i="5" s="1"/>
  <c r="Q40" i="5"/>
  <c r="AE40" i="5"/>
  <c r="AT40" i="5" s="1"/>
  <c r="Q228" i="5"/>
  <c r="T228" i="5"/>
  <c r="AI228" i="5" s="1"/>
  <c r="AE228" i="5"/>
  <c r="AT228" i="5" s="1"/>
  <c r="Q109" i="5"/>
  <c r="W109" i="5"/>
  <c r="AL109" i="5" s="1"/>
  <c r="Q219" i="5"/>
  <c r="X219" i="5"/>
  <c r="AM219" i="5" s="1"/>
  <c r="Q251" i="5"/>
  <c r="Y251" i="5"/>
  <c r="AN251" i="5" s="1"/>
  <c r="Q90" i="5"/>
  <c r="U90" i="5"/>
  <c r="AJ90" i="5" s="1"/>
  <c r="Q218" i="5"/>
  <c r="AE218" i="5"/>
  <c r="AT218" i="5" s="1"/>
  <c r="T218" i="5"/>
  <c r="AI218" i="5" s="1"/>
  <c r="Q250" i="5"/>
  <c r="AE250" i="5"/>
  <c r="AT250" i="5" s="1"/>
  <c r="U250" i="5"/>
  <c r="AJ250" i="5" s="1"/>
  <c r="T250" i="5"/>
  <c r="AI250" i="5" s="1"/>
  <c r="Q117" i="5"/>
  <c r="Z117" i="5"/>
  <c r="AO117" i="5" s="1"/>
  <c r="Y117" i="5"/>
  <c r="AN117" i="5" s="1"/>
  <c r="Q207" i="5"/>
  <c r="W207" i="5"/>
  <c r="AL207" i="5" s="1"/>
  <c r="Q274" i="5"/>
  <c r="U274" i="5"/>
  <c r="AE9" i="5"/>
  <c r="AT9" i="5" s="1"/>
  <c r="V17" i="5"/>
  <c r="AK17" i="5" s="1"/>
  <c r="V49" i="5"/>
  <c r="AK49" i="5" s="1"/>
  <c r="U53" i="5"/>
  <c r="AJ53" i="5" s="1"/>
  <c r="X62" i="5"/>
  <c r="AM62" i="5" s="1"/>
  <c r="W72" i="5"/>
  <c r="AL72" i="5" s="1"/>
  <c r="Z81" i="5"/>
  <c r="AO81" i="5" s="1"/>
  <c r="W141" i="5"/>
  <c r="AL141" i="5" s="1"/>
  <c r="R156" i="5"/>
  <c r="Y171" i="5"/>
  <c r="AN171" i="5" s="1"/>
  <c r="Y187" i="5"/>
  <c r="AN187" i="5" s="1"/>
  <c r="Q259" i="5"/>
  <c r="Y259" i="5"/>
  <c r="AN259" i="5" s="1"/>
  <c r="R274" i="5"/>
  <c r="Q338" i="5"/>
  <c r="AA338" i="5"/>
  <c r="AP338" i="5" s="1"/>
  <c r="V338" i="5"/>
  <c r="AK338" i="5" s="1"/>
  <c r="Z338" i="5"/>
  <c r="AO338" i="5" s="1"/>
  <c r="AA17" i="5"/>
  <c r="AP17" i="5" s="1"/>
  <c r="X45" i="5"/>
  <c r="AM45" i="5" s="1"/>
  <c r="V53" i="5"/>
  <c r="AK53" i="5" s="1"/>
  <c r="U62" i="5"/>
  <c r="AJ62" i="5" s="1"/>
  <c r="Z63" i="5"/>
  <c r="AO63" i="5" s="1"/>
  <c r="T72" i="5"/>
  <c r="AI72" i="5" s="1"/>
  <c r="AA53" i="5"/>
  <c r="AP53" i="5" s="1"/>
  <c r="AA63" i="5"/>
  <c r="AP63" i="5" s="1"/>
  <c r="AA90" i="5"/>
  <c r="AP90" i="5" s="1"/>
  <c r="R94" i="5"/>
  <c r="V218" i="5"/>
  <c r="AK218" i="5" s="1"/>
  <c r="S234" i="5"/>
  <c r="AH234" i="5" s="1"/>
  <c r="Q346" i="5"/>
  <c r="V346" i="5"/>
  <c r="AK346" i="5" s="1"/>
  <c r="Q204" i="5"/>
  <c r="R204" i="5"/>
  <c r="AA204" i="5"/>
  <c r="AP204" i="5" s="1"/>
  <c r="Z204" i="5"/>
  <c r="AO204" i="5" s="1"/>
  <c r="Q195" i="5"/>
  <c r="W195" i="5"/>
  <c r="AL195" i="5" s="1"/>
  <c r="Q254" i="5"/>
  <c r="U254" i="5"/>
  <c r="AJ254" i="5" s="1"/>
  <c r="Z17" i="5"/>
  <c r="AO17" i="5" s="1"/>
  <c r="R22" i="5"/>
  <c r="AG22" i="5" s="1"/>
  <c r="Y53" i="5"/>
  <c r="AN53" i="5" s="1"/>
  <c r="Y69" i="5"/>
  <c r="AN69" i="5" s="1"/>
  <c r="AA72" i="5"/>
  <c r="AP72" i="5" s="1"/>
  <c r="T94" i="5"/>
  <c r="AI94" i="5" s="1"/>
  <c r="X100" i="5"/>
  <c r="AM100" i="5" s="1"/>
  <c r="X105" i="5"/>
  <c r="AM105" i="5" s="1"/>
  <c r="S109" i="5"/>
  <c r="AH109" i="5" s="1"/>
  <c r="R118" i="5"/>
  <c r="Q147" i="5"/>
  <c r="S147" i="5"/>
  <c r="AH147" i="5" s="1"/>
  <c r="T153" i="5"/>
  <c r="AI153" i="5" s="1"/>
  <c r="T164" i="5"/>
  <c r="AI164" i="5" s="1"/>
  <c r="W259" i="5"/>
  <c r="AL259" i="5" s="1"/>
  <c r="Q316" i="5"/>
  <c r="R316" i="5"/>
  <c r="W316" i="5"/>
  <c r="V316" i="5"/>
  <c r="T18" i="5"/>
  <c r="AI18" i="5" s="1"/>
  <c r="AA22" i="5"/>
  <c r="AP22" i="5" s="1"/>
  <c r="U30" i="5"/>
  <c r="AJ30" i="5" s="1"/>
  <c r="Y62" i="5"/>
  <c r="AN62" i="5" s="1"/>
  <c r="V62" i="5"/>
  <c r="AK62" i="5" s="1"/>
  <c r="T64" i="5"/>
  <c r="AI64" i="5" s="1"/>
  <c r="V94" i="5"/>
  <c r="AK94" i="5" s="1"/>
  <c r="AA95" i="5"/>
  <c r="AP95" i="5" s="1"/>
  <c r="W117" i="5"/>
  <c r="AL117" i="5" s="1"/>
  <c r="AE118" i="5"/>
  <c r="AT118" i="5" s="1"/>
  <c r="X133" i="5"/>
  <c r="AM133" i="5" s="1"/>
  <c r="S141" i="5"/>
  <c r="AH141" i="5" s="1"/>
  <c r="U159" i="5"/>
  <c r="AJ159" i="5" s="1"/>
  <c r="U164" i="5"/>
  <c r="AJ164" i="5" s="1"/>
  <c r="V165" i="5"/>
  <c r="AK165" i="5" s="1"/>
  <c r="U169" i="5"/>
  <c r="AJ169" i="5" s="1"/>
  <c r="X176" i="5"/>
  <c r="AM176" i="5" s="1"/>
  <c r="Q179" i="5"/>
  <c r="W179" i="5"/>
  <c r="AL179" i="5" s="1"/>
  <c r="S195" i="5"/>
  <c r="AH195" i="5" s="1"/>
  <c r="U202" i="5"/>
  <c r="AJ202" i="5" s="1"/>
  <c r="W204" i="5"/>
  <c r="AL204" i="5" s="1"/>
  <c r="AE215" i="5"/>
  <c r="AT215" i="5" s="1"/>
  <c r="AA224" i="5"/>
  <c r="AP224" i="5" s="1"/>
  <c r="U227" i="5"/>
  <c r="AJ227" i="5" s="1"/>
  <c r="W234" i="5"/>
  <c r="AL234" i="5" s="1"/>
  <c r="Z262" i="5"/>
  <c r="AO262" i="5" s="1"/>
  <c r="Q271" i="5"/>
  <c r="Y271" i="5"/>
  <c r="X271" i="5"/>
  <c r="AM271" i="5" s="1"/>
  <c r="T275" i="5"/>
  <c r="Q283" i="5"/>
  <c r="AA283" i="5"/>
  <c r="AP283" i="5" s="1"/>
  <c r="U286" i="5"/>
  <c r="AJ286" i="5" s="1"/>
  <c r="T290" i="5"/>
  <c r="AI290" i="5" s="1"/>
  <c r="Z296" i="5"/>
  <c r="V326" i="5"/>
  <c r="AK326" i="5" s="1"/>
  <c r="AE334" i="5"/>
  <c r="AT334" i="5" s="1"/>
  <c r="Q341" i="5"/>
  <c r="U341" i="5"/>
  <c r="R341" i="5"/>
  <c r="Z341" i="5"/>
  <c r="AO341" i="5" s="1"/>
  <c r="Y341" i="5"/>
  <c r="AN341" i="5" s="1"/>
  <c r="T343" i="5"/>
  <c r="AI343" i="5" s="1"/>
  <c r="AE332" i="5"/>
  <c r="AT332" i="5" s="1"/>
  <c r="AA341" i="5"/>
  <c r="AP341" i="5" s="1"/>
  <c r="Z82" i="5"/>
  <c r="AO82" i="5" s="1"/>
  <c r="S111" i="5"/>
  <c r="AH111" i="5" s="1"/>
  <c r="W134" i="5"/>
  <c r="AL134" i="5" s="1"/>
  <c r="W202" i="5"/>
  <c r="AL202" i="5" s="1"/>
  <c r="Z230" i="5"/>
  <c r="AO230" i="5" s="1"/>
  <c r="U239" i="5"/>
  <c r="AJ239" i="5" s="1"/>
  <c r="S261" i="5"/>
  <c r="AH261" i="5" s="1"/>
  <c r="S305" i="5"/>
  <c r="AH305" i="5" s="1"/>
  <c r="R309" i="5"/>
  <c r="T326" i="5"/>
  <c r="AI326" i="5" s="1"/>
  <c r="Q335" i="5"/>
  <c r="S335" i="5"/>
  <c r="Z339" i="5"/>
  <c r="W9" i="5"/>
  <c r="AL9" i="5" s="1"/>
  <c r="Y12" i="5"/>
  <c r="AN12" i="5" s="1"/>
  <c r="V40" i="5"/>
  <c r="AK40" i="5" s="1"/>
  <c r="AA64" i="5"/>
  <c r="AP64" i="5" s="1"/>
  <c r="AE69" i="5"/>
  <c r="AT69" i="5" s="1"/>
  <c r="S100" i="5"/>
  <c r="AH100" i="5" s="1"/>
  <c r="AE106" i="5"/>
  <c r="AT106" i="5" s="1"/>
  <c r="Z109" i="5"/>
  <c r="AO109" i="5" s="1"/>
  <c r="AA133" i="5"/>
  <c r="AP133" i="5" s="1"/>
  <c r="AE135" i="5"/>
  <c r="AT135" i="5" s="1"/>
  <c r="AE17" i="5"/>
  <c r="AT17" i="5" s="1"/>
  <c r="R19" i="5"/>
  <c r="X49" i="5"/>
  <c r="AM49" i="5" s="1"/>
  <c r="Z61" i="5"/>
  <c r="AO61" i="5" s="1"/>
  <c r="T63" i="5"/>
  <c r="AI63" i="5" s="1"/>
  <c r="AE72" i="5"/>
  <c r="AT72" i="5" s="1"/>
  <c r="Y82" i="5"/>
  <c r="AN82" i="5" s="1"/>
  <c r="V111" i="5"/>
  <c r="AK111" i="5" s="1"/>
  <c r="AE113" i="5"/>
  <c r="AT113" i="5" s="1"/>
  <c r="R115" i="5"/>
  <c r="AG115" i="5" s="1"/>
  <c r="AE117" i="5"/>
  <c r="AT117" i="5" s="1"/>
  <c r="AA126" i="5"/>
  <c r="AP126" i="5" s="1"/>
  <c r="X141" i="5"/>
  <c r="AM141" i="5" s="1"/>
  <c r="Q149" i="5"/>
  <c r="AA149" i="5"/>
  <c r="AP149" i="5" s="1"/>
  <c r="Z149" i="5"/>
  <c r="AO149" i="5" s="1"/>
  <c r="Q155" i="5"/>
  <c r="S155" i="5"/>
  <c r="AH155" i="5" s="1"/>
  <c r="R155" i="5"/>
  <c r="AG155" i="5" s="1"/>
  <c r="R158" i="5"/>
  <c r="Z164" i="5"/>
  <c r="AO164" i="5" s="1"/>
  <c r="AE171" i="5"/>
  <c r="AT171" i="5" s="1"/>
  <c r="V182" i="5"/>
  <c r="AK182" i="5" s="1"/>
  <c r="U196" i="5"/>
  <c r="AJ196" i="5" s="1"/>
  <c r="T204" i="5"/>
  <c r="AI204" i="5" s="1"/>
  <c r="U215" i="5"/>
  <c r="AJ215" i="5" s="1"/>
  <c r="T219" i="5"/>
  <c r="AI219" i="5" s="1"/>
  <c r="S228" i="5"/>
  <c r="AH228" i="5" s="1"/>
  <c r="X234" i="5"/>
  <c r="AM234" i="5" s="1"/>
  <c r="Y240" i="5"/>
  <c r="AN240" i="5" s="1"/>
  <c r="Q249" i="5"/>
  <c r="X249" i="5"/>
  <c r="AM249" i="5" s="1"/>
  <c r="Z251" i="5"/>
  <c r="AO251" i="5" s="1"/>
  <c r="T259" i="5"/>
  <c r="AI259" i="5" s="1"/>
  <c r="W262" i="5"/>
  <c r="AL262" i="5" s="1"/>
  <c r="X274" i="5"/>
  <c r="Z286" i="5"/>
  <c r="AO286" i="5" s="1"/>
  <c r="V310" i="5"/>
  <c r="AK310" i="5" s="1"/>
  <c r="AE318" i="5"/>
  <c r="AT318" i="5" s="1"/>
  <c r="R329" i="5"/>
  <c r="X332" i="5"/>
  <c r="S134" i="5"/>
  <c r="AH134" i="5" s="1"/>
  <c r="AE136" i="5"/>
  <c r="AT136" i="5" s="1"/>
  <c r="U141" i="5"/>
  <c r="AJ141" i="5" s="1"/>
  <c r="Q151" i="5"/>
  <c r="R151" i="5"/>
  <c r="AA159" i="5"/>
  <c r="AP159" i="5" s="1"/>
  <c r="AE183" i="5"/>
  <c r="AT183" i="5" s="1"/>
  <c r="AA201" i="5"/>
  <c r="AP201" i="5" s="1"/>
  <c r="Q257" i="5"/>
  <c r="Y257" i="5"/>
  <c r="AN257" i="5" s="1"/>
  <c r="Q260" i="5"/>
  <c r="T260" i="5"/>
  <c r="AI260" i="5" s="1"/>
  <c r="AE260" i="5"/>
  <c r="AT260" i="5" s="1"/>
  <c r="Y274" i="5"/>
  <c r="S286" i="5"/>
  <c r="AH286" i="5" s="1"/>
  <c r="X296" i="5"/>
  <c r="AM296" i="5" s="1"/>
  <c r="X302" i="5"/>
  <c r="AM302" i="5" s="1"/>
  <c r="R313" i="5"/>
  <c r="U338" i="5"/>
  <c r="U12" i="5"/>
  <c r="AJ12" i="5" s="1"/>
  <c r="W41" i="5"/>
  <c r="AL41" i="5" s="1"/>
  <c r="U94" i="5"/>
  <c r="AJ94" i="5" s="1"/>
  <c r="S105" i="5"/>
  <c r="AH105" i="5" s="1"/>
  <c r="AE134" i="5"/>
  <c r="AT134" i="5" s="1"/>
  <c r="R219" i="5"/>
  <c r="AG219" i="5" s="1"/>
  <c r="R224" i="5"/>
  <c r="T227" i="5"/>
  <c r="AI227" i="5" s="1"/>
  <c r="AA240" i="5"/>
  <c r="AP240" i="5" s="1"/>
  <c r="S250" i="5"/>
  <c r="AH250" i="5" s="1"/>
  <c r="R254" i="5"/>
  <c r="T261" i="5"/>
  <c r="AI261" i="5" s="1"/>
  <c r="Y282" i="5"/>
  <c r="AN282" i="5" s="1"/>
  <c r="AE285" i="5"/>
  <c r="AT285" i="5" s="1"/>
  <c r="Q298" i="5"/>
  <c r="W298" i="5"/>
  <c r="Y8" i="5"/>
  <c r="AN8" i="5" s="1"/>
  <c r="Z18" i="5"/>
  <c r="AO18" i="5" s="1"/>
  <c r="Y45" i="5"/>
  <c r="AN45" i="5" s="1"/>
  <c r="S47" i="5"/>
  <c r="AH47" i="5" s="1"/>
  <c r="R269" i="5"/>
  <c r="Q112" i="5"/>
  <c r="T112" i="5"/>
  <c r="AI112" i="5" s="1"/>
  <c r="S112" i="5"/>
  <c r="AH112" i="5" s="1"/>
  <c r="Q121" i="5"/>
  <c r="Y121" i="5"/>
  <c r="AN121" i="5" s="1"/>
  <c r="Q66" i="5"/>
  <c r="T66" i="5"/>
  <c r="AI66" i="5" s="1"/>
  <c r="S66" i="5"/>
  <c r="AH66" i="5" s="1"/>
  <c r="Q188" i="5"/>
  <c r="R188" i="5"/>
  <c r="AA188" i="5"/>
  <c r="AP188" i="5" s="1"/>
  <c r="Z188" i="5"/>
  <c r="AO188" i="5" s="1"/>
  <c r="Q220" i="5"/>
  <c r="AE220" i="5"/>
  <c r="AT220" i="5" s="1"/>
  <c r="Q93" i="5"/>
  <c r="R93" i="5"/>
  <c r="Q152" i="5"/>
  <c r="W152" i="5"/>
  <c r="AL152" i="5" s="1"/>
  <c r="Q211" i="5"/>
  <c r="W211" i="5"/>
  <c r="AL211" i="5" s="1"/>
  <c r="Q278" i="5"/>
  <c r="U278" i="5"/>
  <c r="Q74" i="5"/>
  <c r="U74" i="5"/>
  <c r="AJ74" i="5" s="1"/>
  <c r="Q144" i="5"/>
  <c r="W144" i="5"/>
  <c r="AL144" i="5" s="1"/>
  <c r="V144" i="5"/>
  <c r="AK144" i="5" s="1"/>
  <c r="Q184" i="5"/>
  <c r="AA184" i="5"/>
  <c r="AP184" i="5" s="1"/>
  <c r="S184" i="5"/>
  <c r="AH184" i="5" s="1"/>
  <c r="Q200" i="5"/>
  <c r="AA200" i="5"/>
  <c r="AP200" i="5" s="1"/>
  <c r="S200" i="5"/>
  <c r="AH200" i="5" s="1"/>
  <c r="Q216" i="5"/>
  <c r="S216" i="5"/>
  <c r="AH216" i="5" s="1"/>
  <c r="AA216" i="5"/>
  <c r="AP216" i="5" s="1"/>
  <c r="Q101" i="5"/>
  <c r="R101" i="5"/>
  <c r="Q168" i="5"/>
  <c r="S168" i="5"/>
  <c r="AH168" i="5" s="1"/>
  <c r="Q199" i="5"/>
  <c r="W199" i="5"/>
  <c r="AL199" i="5" s="1"/>
  <c r="V199" i="5"/>
  <c r="AK199" i="5" s="1"/>
  <c r="Q231" i="5"/>
  <c r="Y231" i="5"/>
  <c r="AN231" i="5" s="1"/>
  <c r="Q266" i="5"/>
  <c r="AE266" i="5"/>
  <c r="AT266" i="5" s="1"/>
  <c r="U266" i="5"/>
  <c r="AJ266" i="5" s="1"/>
  <c r="T266" i="5"/>
  <c r="AI266" i="5" s="1"/>
  <c r="R338" i="5"/>
  <c r="AG338" i="5" s="1"/>
  <c r="S8" i="5"/>
  <c r="AH8" i="5" s="1"/>
  <c r="X9" i="5"/>
  <c r="AM9" i="5" s="1"/>
  <c r="V12" i="5"/>
  <c r="AK12" i="5" s="1"/>
  <c r="AA13" i="5"/>
  <c r="AP13" i="5" s="1"/>
  <c r="R17" i="5"/>
  <c r="AG17" i="5" s="1"/>
  <c r="W18" i="5"/>
  <c r="AL18" i="5" s="1"/>
  <c r="AE19" i="5"/>
  <c r="AT19" i="5" s="1"/>
  <c r="Z22" i="5"/>
  <c r="AO22" i="5" s="1"/>
  <c r="S24" i="5"/>
  <c r="AH24" i="5" s="1"/>
  <c r="X25" i="5"/>
  <c r="AM25" i="5" s="1"/>
  <c r="W29" i="5"/>
  <c r="AL29" i="5" s="1"/>
  <c r="U31" i="5"/>
  <c r="AJ31" i="5" s="1"/>
  <c r="Y32" i="5"/>
  <c r="AN32" i="5" s="1"/>
  <c r="S34" i="5"/>
  <c r="AH34" i="5" s="1"/>
  <c r="Y37" i="5"/>
  <c r="AN37" i="5" s="1"/>
  <c r="W40" i="5"/>
  <c r="AL40" i="5" s="1"/>
  <c r="AE41" i="5"/>
  <c r="AT41" i="5" s="1"/>
  <c r="AA45" i="5"/>
  <c r="AP45" i="5" s="1"/>
  <c r="Y47" i="5"/>
  <c r="AN47" i="5" s="1"/>
  <c r="R49" i="5"/>
  <c r="AG49" i="5" s="1"/>
  <c r="AA50" i="5"/>
  <c r="AP50" i="5" s="1"/>
  <c r="V54" i="5"/>
  <c r="AK54" i="5" s="1"/>
  <c r="S56" i="5"/>
  <c r="AH56" i="5" s="1"/>
  <c r="AE57" i="5"/>
  <c r="AT57" i="5" s="1"/>
  <c r="AA61" i="5"/>
  <c r="AP61" i="5" s="1"/>
  <c r="Y63" i="5"/>
  <c r="AN63" i="5" s="1"/>
  <c r="R65" i="5"/>
  <c r="AA66" i="5"/>
  <c r="AP66" i="5" s="1"/>
  <c r="V70" i="5"/>
  <c r="AK70" i="5" s="1"/>
  <c r="S72" i="5"/>
  <c r="AH72" i="5" s="1"/>
  <c r="X73" i="5"/>
  <c r="AM73" i="5" s="1"/>
  <c r="AA77" i="5"/>
  <c r="AP77" i="5" s="1"/>
  <c r="Q79" i="5"/>
  <c r="Y79" i="5"/>
  <c r="AN79" i="5" s="1"/>
  <c r="V81" i="5"/>
  <c r="AK81" i="5" s="1"/>
  <c r="AA82" i="5"/>
  <c r="AP82" i="5" s="1"/>
  <c r="V86" i="5"/>
  <c r="AK86" i="5" s="1"/>
  <c r="T89" i="5"/>
  <c r="AI89" i="5" s="1"/>
  <c r="Q92" i="5"/>
  <c r="AE92" i="5"/>
  <c r="AT92" i="5" s="1"/>
  <c r="W93" i="5"/>
  <c r="AL93" i="5" s="1"/>
  <c r="AE94" i="5"/>
  <c r="AT94" i="5" s="1"/>
  <c r="Y96" i="5"/>
  <c r="AN96" i="5" s="1"/>
  <c r="W98" i="5"/>
  <c r="AL98" i="5" s="1"/>
  <c r="AE99" i="5"/>
  <c r="AT99" i="5" s="1"/>
  <c r="U101" i="5"/>
  <c r="AJ101" i="5" s="1"/>
  <c r="AA104" i="5"/>
  <c r="AP104" i="5" s="1"/>
  <c r="U106" i="5"/>
  <c r="AJ106" i="5" s="1"/>
  <c r="Q108" i="5"/>
  <c r="R108" i="5"/>
  <c r="S108" i="5"/>
  <c r="AH108" i="5" s="1"/>
  <c r="T110" i="5"/>
  <c r="AI110" i="5" s="1"/>
  <c r="Y111" i="5"/>
  <c r="R113" i="5"/>
  <c r="T115" i="5"/>
  <c r="AI115" i="5" s="1"/>
  <c r="W120" i="5"/>
  <c r="AL120" i="5" s="1"/>
  <c r="AE121" i="5"/>
  <c r="AT121" i="5" s="1"/>
  <c r="Q124" i="5"/>
  <c r="V124" i="5"/>
  <c r="AK124" i="5" s="1"/>
  <c r="AA125" i="5"/>
  <c r="AP125" i="5" s="1"/>
  <c r="W130" i="5"/>
  <c r="AL130" i="5" s="1"/>
  <c r="U133" i="5"/>
  <c r="AJ133" i="5" s="1"/>
  <c r="S136" i="5"/>
  <c r="AH136" i="5" s="1"/>
  <c r="X137" i="5"/>
  <c r="AM137" i="5" s="1"/>
  <c r="Z140" i="5"/>
  <c r="AO140" i="5" s="1"/>
  <c r="AE142" i="5"/>
  <c r="AT142" i="5" s="1"/>
  <c r="AE143" i="5"/>
  <c r="AT143" i="5" s="1"/>
  <c r="T148" i="5"/>
  <c r="AI148" i="5" s="1"/>
  <c r="Y149" i="5"/>
  <c r="AN149" i="5" s="1"/>
  <c r="S152" i="5"/>
  <c r="AH152" i="5" s="1"/>
  <c r="AE153" i="5"/>
  <c r="AT153" i="5" s="1"/>
  <c r="Y155" i="5"/>
  <c r="AN155" i="5" s="1"/>
  <c r="T158" i="5"/>
  <c r="AI158" i="5" s="1"/>
  <c r="X159" i="5"/>
  <c r="AM159" i="5" s="1"/>
  <c r="Y160" i="5"/>
  <c r="AN160" i="5" s="1"/>
  <c r="Q163" i="5"/>
  <c r="S163" i="5"/>
  <c r="AH163" i="5" s="1"/>
  <c r="AE164" i="5"/>
  <c r="AT164" i="5" s="1"/>
  <c r="Z166" i="5"/>
  <c r="AO166" i="5" s="1"/>
  <c r="AA168" i="5"/>
  <c r="AP168" i="5" s="1"/>
  <c r="U171" i="5"/>
  <c r="AJ171" i="5" s="1"/>
  <c r="T174" i="5"/>
  <c r="AI174" i="5" s="1"/>
  <c r="Y175" i="5"/>
  <c r="AN175" i="5" s="1"/>
  <c r="X180" i="5"/>
  <c r="AM180" i="5" s="1"/>
  <c r="U182" i="5"/>
  <c r="AJ182" i="5" s="1"/>
  <c r="U187" i="5"/>
  <c r="AJ187" i="5" s="1"/>
  <c r="AE191" i="5"/>
  <c r="AT191" i="5" s="1"/>
  <c r="X196" i="5"/>
  <c r="AM196" i="5" s="1"/>
  <c r="AE201" i="5"/>
  <c r="AT201" i="5" s="1"/>
  <c r="U203" i="5"/>
  <c r="AJ203" i="5" s="1"/>
  <c r="AE207" i="5"/>
  <c r="AT207" i="5" s="1"/>
  <c r="X212" i="5"/>
  <c r="AM212" i="5" s="1"/>
  <c r="U214" i="5"/>
  <c r="AJ214" i="5" s="1"/>
  <c r="R220" i="5"/>
  <c r="AG220" i="5" s="1"/>
  <c r="AA222" i="5"/>
  <c r="AP222" i="5" s="1"/>
  <c r="R226" i="5"/>
  <c r="W227" i="5"/>
  <c r="AL227" i="5" s="1"/>
  <c r="Z231" i="5"/>
  <c r="AO231" i="5" s="1"/>
  <c r="R236" i="5"/>
  <c r="R242" i="5"/>
  <c r="AG242" i="5" s="1"/>
  <c r="W243" i="5"/>
  <c r="AL243" i="5" s="1"/>
  <c r="Z247" i="5"/>
  <c r="AO247" i="5" s="1"/>
  <c r="V253" i="5"/>
  <c r="AK253" i="5" s="1"/>
  <c r="AA254" i="5"/>
  <c r="AP254" i="5" s="1"/>
  <c r="S259" i="5"/>
  <c r="AH259" i="5" s="1"/>
  <c r="W269" i="5"/>
  <c r="AL269" i="5" s="1"/>
  <c r="AA270" i="5"/>
  <c r="AP270" i="5" s="1"/>
  <c r="S275" i="5"/>
  <c r="R279" i="5"/>
  <c r="Q281" i="5"/>
  <c r="R281" i="5"/>
  <c r="AG281" i="5" s="1"/>
  <c r="X282" i="5"/>
  <c r="AM282" i="5" s="1"/>
  <c r="Q284" i="5"/>
  <c r="V284" i="5"/>
  <c r="U288" i="5"/>
  <c r="AJ288" i="5" s="1"/>
  <c r="AE298" i="5"/>
  <c r="AT298" i="5" s="1"/>
  <c r="Q307" i="5"/>
  <c r="S307" i="5"/>
  <c r="AH307" i="5" s="1"/>
  <c r="W307" i="5"/>
  <c r="AL307" i="5" s="1"/>
  <c r="T313" i="5"/>
  <c r="X314" i="5"/>
  <c r="AM314" i="5" s="1"/>
  <c r="X329" i="5"/>
  <c r="AM329" i="5" s="1"/>
  <c r="AE335" i="5"/>
  <c r="AT335" i="5" s="1"/>
  <c r="AE8" i="5"/>
  <c r="AT8" i="5" s="1"/>
  <c r="V10" i="5"/>
  <c r="AK10" i="5" s="1"/>
  <c r="T13" i="5"/>
  <c r="AI13" i="5" s="1"/>
  <c r="Y14" i="5"/>
  <c r="AN14" i="5" s="1"/>
  <c r="R16" i="5"/>
  <c r="W17" i="5"/>
  <c r="AL17" i="5" s="1"/>
  <c r="AE18" i="5"/>
  <c r="AT18" i="5" s="1"/>
  <c r="S22" i="5"/>
  <c r="AH22" i="5" s="1"/>
  <c r="X23" i="5"/>
  <c r="AM23" i="5" s="1"/>
  <c r="AE24" i="5"/>
  <c r="AT24" i="5" s="1"/>
  <c r="V26" i="5"/>
  <c r="AK26" i="5" s="1"/>
  <c r="S28" i="5"/>
  <c r="AH28" i="5" s="1"/>
  <c r="X29" i="5"/>
  <c r="AM29" i="5" s="1"/>
  <c r="R31" i="5"/>
  <c r="AG31" i="5" s="1"/>
  <c r="AU31" i="5" s="1"/>
  <c r="V32" i="5"/>
  <c r="AK32" i="5" s="1"/>
  <c r="AA33" i="5"/>
  <c r="AP33" i="5" s="1"/>
  <c r="V37" i="5"/>
  <c r="AK37" i="5" s="1"/>
  <c r="AA38" i="5"/>
  <c r="AP38" i="5" s="1"/>
  <c r="X40" i="5"/>
  <c r="AM40" i="5" s="1"/>
  <c r="V42" i="5"/>
  <c r="AK42" i="5" s="1"/>
  <c r="T45" i="5"/>
  <c r="AI45" i="5" s="1"/>
  <c r="Y46" i="5"/>
  <c r="AN46" i="5" s="1"/>
  <c r="R48" i="5"/>
  <c r="AG48" i="5" s="1"/>
  <c r="W49" i="5"/>
  <c r="AL49" i="5" s="1"/>
  <c r="U51" i="5"/>
  <c r="AJ51" i="5" s="1"/>
  <c r="R53" i="5"/>
  <c r="AA54" i="5"/>
  <c r="AP54" i="5" s="1"/>
  <c r="X56" i="5"/>
  <c r="AM56" i="5" s="1"/>
  <c r="V58" i="5"/>
  <c r="AK58" i="5" s="1"/>
  <c r="S60" i="5"/>
  <c r="AH60" i="5" s="1"/>
  <c r="AE61" i="5"/>
  <c r="AT61" i="5" s="1"/>
  <c r="V63" i="5"/>
  <c r="AK63" i="5" s="1"/>
  <c r="Z64" i="5"/>
  <c r="AO64" i="5" s="1"/>
  <c r="X66" i="5"/>
  <c r="AM66" i="5" s="1"/>
  <c r="Z69" i="5"/>
  <c r="AO69" i="5" s="1"/>
  <c r="Y73" i="5"/>
  <c r="AN73" i="5" s="1"/>
  <c r="W76" i="5"/>
  <c r="AL76" i="5" s="1"/>
  <c r="AE77" i="5"/>
  <c r="AT77" i="5" s="1"/>
  <c r="Z79" i="5"/>
  <c r="AO79" i="5" s="1"/>
  <c r="S81" i="5"/>
  <c r="AH81" i="5" s="1"/>
  <c r="AE82" i="5"/>
  <c r="AT82" i="5" s="1"/>
  <c r="R85" i="5"/>
  <c r="W86" i="5"/>
  <c r="AL86" i="5" s="1"/>
  <c r="T88" i="5"/>
  <c r="AI88" i="5" s="1"/>
  <c r="R90" i="5"/>
  <c r="AA92" i="5"/>
  <c r="AP92" i="5" s="1"/>
  <c r="Y94" i="5"/>
  <c r="AN94" i="5" s="1"/>
  <c r="V96" i="5"/>
  <c r="AK96" i="5" s="1"/>
  <c r="AA97" i="5"/>
  <c r="AP97" i="5" s="1"/>
  <c r="U99" i="5"/>
  <c r="AJ99" i="5" s="1"/>
  <c r="Z101" i="5"/>
  <c r="AO101" i="5" s="1"/>
  <c r="X104" i="5"/>
  <c r="AM104" i="5" s="1"/>
  <c r="V106" i="5"/>
  <c r="AK106" i="5" s="1"/>
  <c r="T109" i="5"/>
  <c r="AI109" i="5" s="1"/>
  <c r="Y110" i="5"/>
  <c r="AN110" i="5" s="1"/>
  <c r="V112" i="5"/>
  <c r="AK112" i="5" s="1"/>
  <c r="X114" i="5"/>
  <c r="AM114" i="5" s="1"/>
  <c r="S118" i="5"/>
  <c r="AH118" i="5" s="1"/>
  <c r="AE120" i="5"/>
  <c r="AT120" i="5" s="1"/>
  <c r="W124" i="5"/>
  <c r="AL124" i="5" s="1"/>
  <c r="V20" i="5"/>
  <c r="AK20" i="5" s="1"/>
  <c r="AA21" i="5"/>
  <c r="AP21" i="5" s="1"/>
  <c r="U23" i="5"/>
  <c r="AJ23" i="5" s="1"/>
  <c r="Y24" i="5"/>
  <c r="AN24" i="5" s="1"/>
  <c r="W26" i="5"/>
  <c r="AL26" i="5" s="1"/>
  <c r="U29" i="5"/>
  <c r="AJ29" i="5" s="1"/>
  <c r="Z30" i="5"/>
  <c r="AO30" i="5" s="1"/>
  <c r="T32" i="5"/>
  <c r="AI32" i="5" s="1"/>
  <c r="Y33" i="5"/>
  <c r="AN33" i="5" s="1"/>
  <c r="Q52" i="5"/>
  <c r="AE52" i="5"/>
  <c r="AT52" i="5" s="1"/>
  <c r="W53" i="5"/>
  <c r="AL53" i="5" s="1"/>
  <c r="AE54" i="5"/>
  <c r="AT54" i="5" s="1"/>
  <c r="Y56" i="5"/>
  <c r="AN56" i="5" s="1"/>
  <c r="W58" i="5"/>
  <c r="AL58" i="5" s="1"/>
  <c r="Y61" i="5"/>
  <c r="AN61" i="5" s="1"/>
  <c r="S63" i="5"/>
  <c r="AH63" i="5" s="1"/>
  <c r="AE64" i="5"/>
  <c r="AT64" i="5" s="1"/>
  <c r="V66" i="5"/>
  <c r="AK66" i="5" s="1"/>
  <c r="AA67" i="5"/>
  <c r="AP67" i="5" s="1"/>
  <c r="Q84" i="5"/>
  <c r="AE84" i="5"/>
  <c r="AT84" i="5" s="1"/>
  <c r="W85" i="5"/>
  <c r="AL85" i="5" s="1"/>
  <c r="AE86" i="5"/>
  <c r="AT86" i="5" s="1"/>
  <c r="R89" i="5"/>
  <c r="W90" i="5"/>
  <c r="AL90" i="5" s="1"/>
  <c r="Y93" i="5"/>
  <c r="AN93" i="5" s="1"/>
  <c r="S95" i="5"/>
  <c r="AH95" i="5" s="1"/>
  <c r="X96" i="5"/>
  <c r="AM96" i="5" s="1"/>
  <c r="R98" i="5"/>
  <c r="AG98" i="5" s="1"/>
  <c r="AA99" i="5"/>
  <c r="AP99" i="5" s="1"/>
  <c r="T114" i="5"/>
  <c r="AI114" i="5" s="1"/>
  <c r="Z116" i="5"/>
  <c r="AO116" i="5" s="1"/>
  <c r="T118" i="5"/>
  <c r="AI118" i="5" s="1"/>
  <c r="S122" i="5"/>
  <c r="AH122" i="5" s="1"/>
  <c r="AE124" i="5"/>
  <c r="AT124" i="5" s="1"/>
  <c r="Z126" i="5"/>
  <c r="AO126" i="5" s="1"/>
  <c r="T128" i="5"/>
  <c r="AI128" i="5" s="1"/>
  <c r="R130" i="5"/>
  <c r="AA132" i="5"/>
  <c r="AP132" i="5" s="1"/>
  <c r="U134" i="5"/>
  <c r="AJ134" i="5" s="1"/>
  <c r="Y135" i="5"/>
  <c r="AN135" i="5" s="1"/>
  <c r="S137" i="5"/>
  <c r="AH137" i="5" s="1"/>
  <c r="V155" i="5"/>
  <c r="AK155" i="5" s="1"/>
  <c r="Y158" i="5"/>
  <c r="AN158" i="5" s="1"/>
  <c r="R160" i="5"/>
  <c r="T162" i="5"/>
  <c r="AI162" i="5" s="1"/>
  <c r="X163" i="5"/>
  <c r="AM163" i="5" s="1"/>
  <c r="R165" i="5"/>
  <c r="S166" i="5"/>
  <c r="AH166" i="5" s="1"/>
  <c r="X168" i="5"/>
  <c r="AM168" i="5" s="1"/>
  <c r="Q170" i="5"/>
  <c r="AE170" i="5"/>
  <c r="AT170" i="5" s="1"/>
  <c r="AA170" i="5"/>
  <c r="AP170" i="5" s="1"/>
  <c r="W171" i="5"/>
  <c r="AL171" i="5" s="1"/>
  <c r="Y173" i="5"/>
  <c r="AN173" i="5" s="1"/>
  <c r="AA175" i="5"/>
  <c r="AP175" i="5" s="1"/>
  <c r="U177" i="5"/>
  <c r="AJ177" i="5" s="1"/>
  <c r="Y178" i="5"/>
  <c r="AN178" i="5" s="1"/>
  <c r="W180" i="5"/>
  <c r="AL180" i="5" s="1"/>
  <c r="R183" i="5"/>
  <c r="Q198" i="5"/>
  <c r="S198" i="5"/>
  <c r="AH198" i="5" s="1"/>
  <c r="T200" i="5"/>
  <c r="AI200" i="5" s="1"/>
  <c r="Y201" i="5"/>
  <c r="AN201" i="5" s="1"/>
  <c r="R203" i="5"/>
  <c r="AE206" i="5"/>
  <c r="AT206" i="5" s="1"/>
  <c r="X211" i="5"/>
  <c r="AM211" i="5" s="1"/>
  <c r="T215" i="5"/>
  <c r="AI215" i="5" s="1"/>
  <c r="Y216" i="5"/>
  <c r="AN216" i="5" s="1"/>
  <c r="R218" i="5"/>
  <c r="AA219" i="5"/>
  <c r="AP219" i="5" s="1"/>
  <c r="Y222" i="5"/>
  <c r="AN222" i="5" s="1"/>
  <c r="S224" i="5"/>
  <c r="AH224" i="5" s="1"/>
  <c r="V228" i="5"/>
  <c r="AK228" i="5" s="1"/>
  <c r="V232" i="5"/>
  <c r="AK232" i="5" s="1"/>
  <c r="T235" i="5"/>
  <c r="AI235" i="5" s="1"/>
  <c r="V238" i="5"/>
  <c r="AK238" i="5" s="1"/>
  <c r="AA239" i="5"/>
  <c r="AP239" i="5" s="1"/>
  <c r="Y242" i="5"/>
  <c r="AN242" i="5" s="1"/>
  <c r="S244" i="5"/>
  <c r="X250" i="5"/>
  <c r="AM250" i="5" s="1"/>
  <c r="R262" i="5"/>
  <c r="AA264" i="5"/>
  <c r="AP264" i="5" s="1"/>
  <c r="W268" i="5"/>
  <c r="AL268" i="5" s="1"/>
  <c r="X270" i="5"/>
  <c r="AM270" i="5" s="1"/>
  <c r="W274" i="5"/>
  <c r="Y276" i="5"/>
  <c r="AN276" i="5" s="1"/>
  <c r="Z277" i="5"/>
  <c r="AO277" i="5" s="1"/>
  <c r="T279" i="5"/>
  <c r="R282" i="5"/>
  <c r="T284" i="5"/>
  <c r="Y285" i="5"/>
  <c r="AN285" i="5" s="1"/>
  <c r="AE290" i="5"/>
  <c r="AT290" i="5" s="1"/>
  <c r="X294" i="5"/>
  <c r="AM294" i="5" s="1"/>
  <c r="R296" i="5"/>
  <c r="S298" i="5"/>
  <c r="AH298" i="5" s="1"/>
  <c r="R302" i="5"/>
  <c r="AA303" i="5"/>
  <c r="AP303" i="5" s="1"/>
  <c r="Y305" i="5"/>
  <c r="AN305" i="5" s="1"/>
  <c r="Z316" i="5"/>
  <c r="AO316" i="5" s="1"/>
  <c r="AA318" i="5"/>
  <c r="AP318" i="5" s="1"/>
  <c r="R322" i="5"/>
  <c r="R326" i="5"/>
  <c r="AA327" i="5"/>
  <c r="AP327" i="5" s="1"/>
  <c r="Y329" i="5"/>
  <c r="AN329" i="5" s="1"/>
  <c r="S332" i="5"/>
  <c r="T334" i="5"/>
  <c r="Q336" i="5"/>
  <c r="R336" i="5"/>
  <c r="S338" i="5"/>
  <c r="AH338" i="5" s="1"/>
  <c r="AE343" i="5"/>
  <c r="AT343" i="5" s="1"/>
  <c r="W347" i="5"/>
  <c r="AL347" i="5" s="1"/>
  <c r="AE348" i="5"/>
  <c r="AT348" i="5" s="1"/>
  <c r="Q330" i="5"/>
  <c r="Z330" i="5"/>
  <c r="AO330" i="5" s="1"/>
  <c r="Z335" i="5"/>
  <c r="Q340" i="5"/>
  <c r="V340" i="5"/>
  <c r="AK340" i="5" s="1"/>
  <c r="AE347" i="5"/>
  <c r="AT347" i="5" s="1"/>
  <c r="R100" i="5"/>
  <c r="AG100" i="5" s="1"/>
  <c r="X102" i="5"/>
  <c r="AM102" i="5" s="1"/>
  <c r="S106" i="5"/>
  <c r="AH106" i="5" s="1"/>
  <c r="Y109" i="5"/>
  <c r="AN109" i="5" s="1"/>
  <c r="X112" i="5"/>
  <c r="AM112" i="5" s="1"/>
  <c r="W115" i="5"/>
  <c r="AL115" i="5" s="1"/>
  <c r="Z128" i="5"/>
  <c r="AO128" i="5" s="1"/>
  <c r="AA135" i="5"/>
  <c r="AP135" i="5" s="1"/>
  <c r="R138" i="5"/>
  <c r="AG138" i="5" s="1"/>
  <c r="AE140" i="5"/>
  <c r="AT140" i="5" s="1"/>
  <c r="AA144" i="5"/>
  <c r="AP144" i="5" s="1"/>
  <c r="R148" i="5"/>
  <c r="W154" i="5"/>
  <c r="AL154" i="5" s="1"/>
  <c r="AE160" i="5"/>
  <c r="AT160" i="5" s="1"/>
  <c r="T165" i="5"/>
  <c r="AI165" i="5" s="1"/>
  <c r="Z168" i="5"/>
  <c r="AO168" i="5" s="1"/>
  <c r="AA177" i="5"/>
  <c r="AP177" i="5" s="1"/>
  <c r="R181" i="5"/>
  <c r="AG181" i="5" s="1"/>
  <c r="AU181" i="5" s="1"/>
  <c r="AE188" i="5"/>
  <c r="AT188" i="5" s="1"/>
  <c r="W192" i="5"/>
  <c r="AL192" i="5" s="1"/>
  <c r="Y195" i="5"/>
  <c r="AN195" i="5" s="1"/>
  <c r="X198" i="5"/>
  <c r="AM198" i="5" s="1"/>
  <c r="U204" i="5"/>
  <c r="AJ204" i="5" s="1"/>
  <c r="S207" i="5"/>
  <c r="AH207" i="5" s="1"/>
  <c r="Y210" i="5"/>
  <c r="AN210" i="5" s="1"/>
  <c r="X218" i="5"/>
  <c r="AM218" i="5" s="1"/>
  <c r="R230" i="5"/>
  <c r="Q233" i="5"/>
  <c r="X233" i="5"/>
  <c r="AM233" i="5" s="1"/>
  <c r="AA236" i="5"/>
  <c r="AP236" i="5" s="1"/>
  <c r="S241" i="5"/>
  <c r="AH241" i="5" s="1"/>
  <c r="U259" i="5"/>
  <c r="AJ259" i="5" s="1"/>
  <c r="Y268" i="5"/>
  <c r="AN268" i="5" s="1"/>
  <c r="Y278" i="5"/>
  <c r="AN278" i="5" s="1"/>
  <c r="R294" i="5"/>
  <c r="AE302" i="5"/>
  <c r="AT302" i="5" s="1"/>
  <c r="AE316" i="5"/>
  <c r="AT316" i="5" s="1"/>
  <c r="X322" i="5"/>
  <c r="AM322" i="5" s="1"/>
  <c r="S329" i="5"/>
  <c r="AH329" i="5" s="1"/>
  <c r="R334" i="5"/>
  <c r="X341" i="5"/>
  <c r="AM341" i="5" s="1"/>
  <c r="R8" i="5"/>
  <c r="AG8" i="5" s="1"/>
  <c r="AU8" i="5" s="1"/>
  <c r="AE10" i="5"/>
  <c r="AT10" i="5" s="1"/>
  <c r="S14" i="5"/>
  <c r="AH14" i="5" s="1"/>
  <c r="T33" i="5"/>
  <c r="AI33" i="5" s="1"/>
  <c r="AA41" i="5"/>
  <c r="AP41" i="5" s="1"/>
  <c r="V45" i="5"/>
  <c r="AK45" i="5" s="1"/>
  <c r="AE56" i="5"/>
  <c r="AT56" i="5" s="1"/>
  <c r="U66" i="5"/>
  <c r="AJ66" i="5" s="1"/>
  <c r="AE97" i="5"/>
  <c r="AT97" i="5" s="1"/>
  <c r="X101" i="5"/>
  <c r="AM101" i="5" s="1"/>
  <c r="Z104" i="5"/>
  <c r="AO104" i="5" s="1"/>
  <c r="U108" i="5"/>
  <c r="AJ108" i="5" s="1"/>
  <c r="X111" i="5"/>
  <c r="AM111" i="5" s="1"/>
  <c r="Z127" i="5"/>
  <c r="AO127" i="5" s="1"/>
  <c r="T135" i="5"/>
  <c r="AI135" i="5" s="1"/>
  <c r="V137" i="5"/>
  <c r="AK137" i="5" s="1"/>
  <c r="AE139" i="5"/>
  <c r="AT139" i="5" s="1"/>
  <c r="X144" i="5"/>
  <c r="AM144" i="5" s="1"/>
  <c r="AE173" i="5"/>
  <c r="AT173" i="5" s="1"/>
  <c r="T178" i="5"/>
  <c r="AI178" i="5" s="1"/>
  <c r="U183" i="5"/>
  <c r="AJ183" i="5" s="1"/>
  <c r="Z195" i="5"/>
  <c r="AO195" i="5" s="1"/>
  <c r="X222" i="5"/>
  <c r="AM222" i="5" s="1"/>
  <c r="R348" i="5"/>
  <c r="T17" i="5"/>
  <c r="AI17" i="5" s="1"/>
  <c r="Y18" i="5"/>
  <c r="AN18" i="5" s="1"/>
  <c r="Z19" i="5"/>
  <c r="AO19" i="5" s="1"/>
  <c r="T21" i="5"/>
  <c r="AI21" i="5" s="1"/>
  <c r="Y22" i="5"/>
  <c r="AN22" i="5" s="1"/>
  <c r="R24" i="5"/>
  <c r="AG24" i="5" s="1"/>
  <c r="W25" i="5"/>
  <c r="AL25" i="5" s="1"/>
  <c r="AE26" i="5"/>
  <c r="AT26" i="5" s="1"/>
  <c r="Y28" i="5"/>
  <c r="AN28" i="5" s="1"/>
  <c r="S30" i="5"/>
  <c r="AH30" i="5" s="1"/>
  <c r="AE31" i="5"/>
  <c r="AT31" i="5" s="1"/>
  <c r="AA48" i="5"/>
  <c r="AP48" i="5" s="1"/>
  <c r="U50" i="5"/>
  <c r="AJ50" i="5" s="1"/>
  <c r="V51" i="5"/>
  <c r="AK51" i="5" s="1"/>
  <c r="T53" i="5"/>
  <c r="AI53" i="5" s="1"/>
  <c r="Y54" i="5"/>
  <c r="AN54" i="5" s="1"/>
  <c r="R56" i="5"/>
  <c r="W57" i="5"/>
  <c r="AL57" i="5" s="1"/>
  <c r="R61" i="5"/>
  <c r="W62" i="5"/>
  <c r="AL62" i="5" s="1"/>
  <c r="X67" i="5"/>
  <c r="AM67" i="5" s="1"/>
  <c r="S80" i="5"/>
  <c r="AH80" i="5" s="1"/>
  <c r="X81" i="5"/>
  <c r="AM81" i="5" s="1"/>
  <c r="R83" i="5"/>
  <c r="W84" i="5"/>
  <c r="AL84" i="5" s="1"/>
  <c r="AE85" i="5"/>
  <c r="AT85" i="5" s="1"/>
  <c r="Z88" i="5"/>
  <c r="AO88" i="5" s="1"/>
  <c r="X90" i="5"/>
  <c r="AM90" i="5" s="1"/>
  <c r="U92" i="5"/>
  <c r="AJ92" i="5" s="1"/>
  <c r="S94" i="5"/>
  <c r="AH94" i="5" s="1"/>
  <c r="X95" i="5"/>
  <c r="AM95" i="5" s="1"/>
  <c r="AA112" i="5"/>
  <c r="AP112" i="5" s="1"/>
  <c r="Y114" i="5"/>
  <c r="Z115" i="5"/>
  <c r="AO115" i="5" s="1"/>
  <c r="T117" i="5"/>
  <c r="AI117" i="5" s="1"/>
  <c r="Y118" i="5"/>
  <c r="AN118" i="5" s="1"/>
  <c r="Z120" i="5"/>
  <c r="AO120" i="5" s="1"/>
  <c r="T122" i="5"/>
  <c r="AI122" i="5" s="1"/>
  <c r="S126" i="5"/>
  <c r="AH126" i="5" s="1"/>
  <c r="X127" i="5"/>
  <c r="AM127" i="5" s="1"/>
  <c r="Z135" i="5"/>
  <c r="AO135" i="5" s="1"/>
  <c r="AA140" i="5"/>
  <c r="AP140" i="5" s="1"/>
  <c r="U142" i="5"/>
  <c r="AJ142" i="5" s="1"/>
  <c r="Y143" i="5"/>
  <c r="AN143" i="5" s="1"/>
  <c r="W145" i="5"/>
  <c r="AL145" i="5" s="1"/>
  <c r="T147" i="5"/>
  <c r="AI147" i="5" s="1"/>
  <c r="Y148" i="5"/>
  <c r="AN148" i="5" s="1"/>
  <c r="AA151" i="5"/>
  <c r="AP151" i="5" s="1"/>
  <c r="U153" i="5"/>
  <c r="AJ153" i="5" s="1"/>
  <c r="V154" i="5"/>
  <c r="AK154" i="5" s="1"/>
  <c r="AA155" i="5"/>
  <c r="AP155" i="5" s="1"/>
  <c r="Z158" i="5"/>
  <c r="AO158" i="5" s="1"/>
  <c r="AA160" i="5"/>
  <c r="AP160" i="5" s="1"/>
  <c r="U162" i="5"/>
  <c r="AJ162" i="5" s="1"/>
  <c r="Y163" i="5"/>
  <c r="AN163" i="5" s="1"/>
  <c r="AA165" i="5"/>
  <c r="AP165" i="5" s="1"/>
  <c r="V169" i="5"/>
  <c r="AK169" i="5" s="1"/>
  <c r="T171" i="5"/>
  <c r="AI171" i="5" s="1"/>
  <c r="Y172" i="5"/>
  <c r="AN172" i="5" s="1"/>
  <c r="W174" i="5"/>
  <c r="AL174" i="5" s="1"/>
  <c r="R177" i="5"/>
  <c r="AA179" i="5"/>
  <c r="AP179" i="5" s="1"/>
  <c r="AA183" i="5"/>
  <c r="AP183" i="5" s="1"/>
  <c r="R187" i="5"/>
  <c r="X195" i="5"/>
  <c r="AM195" i="5" s="1"/>
  <c r="T199" i="5"/>
  <c r="AI199" i="5" s="1"/>
  <c r="Y200" i="5"/>
  <c r="AN200" i="5" s="1"/>
  <c r="S203" i="5"/>
  <c r="AH203" i="5" s="1"/>
  <c r="AE204" i="5"/>
  <c r="AT204" i="5" s="1"/>
  <c r="Y206" i="5"/>
  <c r="AN206" i="5" s="1"/>
  <c r="X210" i="5"/>
  <c r="AM210" i="5" s="1"/>
  <c r="V212" i="5"/>
  <c r="AK212" i="5" s="1"/>
  <c r="X214" i="5"/>
  <c r="AM214" i="5" s="1"/>
  <c r="R216" i="5"/>
  <c r="U220" i="5"/>
  <c r="AJ220" i="5" s="1"/>
  <c r="Z221" i="5"/>
  <c r="AO221" i="5" s="1"/>
  <c r="Z222" i="5"/>
  <c r="AO222" i="5" s="1"/>
  <c r="X224" i="5"/>
  <c r="AM224" i="5" s="1"/>
  <c r="V227" i="5"/>
  <c r="AK227" i="5" s="1"/>
  <c r="AA228" i="5"/>
  <c r="AP228" i="5" s="1"/>
  <c r="T233" i="5"/>
  <c r="AI233" i="5" s="1"/>
  <c r="T239" i="5"/>
  <c r="AI239" i="5" s="1"/>
  <c r="U245" i="5"/>
  <c r="AJ245" i="5" s="1"/>
  <c r="Z246" i="5"/>
  <c r="AO246" i="5" s="1"/>
  <c r="X248" i="5"/>
  <c r="AM248" i="5" s="1"/>
  <c r="R251" i="5"/>
  <c r="AA253" i="5"/>
  <c r="AP253" i="5" s="1"/>
  <c r="R257" i="5"/>
  <c r="W258" i="5"/>
  <c r="AL258" i="5" s="1"/>
  <c r="Y260" i="5"/>
  <c r="AN260" i="5" s="1"/>
  <c r="Z261" i="5"/>
  <c r="AO261" i="5" s="1"/>
  <c r="R266" i="5"/>
  <c r="Q267" i="5"/>
  <c r="Y267" i="5"/>
  <c r="AN267" i="5" s="1"/>
  <c r="U269" i="5"/>
  <c r="AJ269" i="5" s="1"/>
  <c r="V271" i="5"/>
  <c r="AK271" i="5" s="1"/>
  <c r="V272" i="5"/>
  <c r="AK272" i="5" s="1"/>
  <c r="W273" i="5"/>
  <c r="AL273" i="5" s="1"/>
  <c r="R276" i="5"/>
  <c r="S277" i="5"/>
  <c r="U279" i="5"/>
  <c r="S282" i="5"/>
  <c r="AE283" i="5"/>
  <c r="AT283" i="5" s="1"/>
  <c r="R286" i="5"/>
  <c r="W287" i="5"/>
  <c r="AL287" i="5" s="1"/>
  <c r="V291" i="5"/>
  <c r="AK291" i="5" s="1"/>
  <c r="AA296" i="5"/>
  <c r="AP296" i="5" s="1"/>
  <c r="AA302" i="5"/>
  <c r="AP302" i="5" s="1"/>
  <c r="R306" i="5"/>
  <c r="R310" i="5"/>
  <c r="AA311" i="5"/>
  <c r="AP311" i="5" s="1"/>
  <c r="Y313" i="5"/>
  <c r="AN313" i="5" s="1"/>
  <c r="S316" i="5"/>
  <c r="T318" i="5"/>
  <c r="Q320" i="5"/>
  <c r="R320" i="5"/>
  <c r="W322" i="5"/>
  <c r="AE323" i="5"/>
  <c r="AT323" i="5" s="1"/>
  <c r="R325" i="5"/>
  <c r="AE327" i="5"/>
  <c r="AT327" i="5" s="1"/>
  <c r="Q331" i="5"/>
  <c r="Y331" i="5"/>
  <c r="V335" i="5"/>
  <c r="AK335" i="5" s="1"/>
  <c r="AU335" i="5" s="1"/>
  <c r="W341" i="5"/>
  <c r="V82" i="5"/>
  <c r="AK82" i="5" s="1"/>
  <c r="W101" i="5"/>
  <c r="AL101" i="5" s="1"/>
  <c r="Y104" i="5"/>
  <c r="W111" i="5"/>
  <c r="AL111" i="5" s="1"/>
  <c r="S115" i="5"/>
  <c r="AH115" i="5" s="1"/>
  <c r="S129" i="5"/>
  <c r="AH129" i="5" s="1"/>
  <c r="Y132" i="5"/>
  <c r="AN132" i="5" s="1"/>
  <c r="W135" i="5"/>
  <c r="AL135" i="5" s="1"/>
  <c r="AA139" i="5"/>
  <c r="AP139" i="5" s="1"/>
  <c r="Z142" i="5"/>
  <c r="AO142" i="5" s="1"/>
  <c r="AE145" i="5"/>
  <c r="AT145" i="5" s="1"/>
  <c r="U152" i="5"/>
  <c r="AJ152" i="5" s="1"/>
  <c r="X155" i="5"/>
  <c r="AM155" i="5" s="1"/>
  <c r="S158" i="5"/>
  <c r="AH158" i="5" s="1"/>
  <c r="U161" i="5"/>
  <c r="AJ161" i="5" s="1"/>
  <c r="S164" i="5"/>
  <c r="AH164" i="5" s="1"/>
  <c r="AA173" i="5"/>
  <c r="AP173" i="5" s="1"/>
  <c r="T179" i="5"/>
  <c r="AI179" i="5" s="1"/>
  <c r="W182" i="5"/>
  <c r="AL182" i="5" s="1"/>
  <c r="AA187" i="5"/>
  <c r="AP187" i="5" s="1"/>
  <c r="Z191" i="5"/>
  <c r="AO191" i="5" s="1"/>
  <c r="U195" i="5"/>
  <c r="AJ195" i="5" s="1"/>
  <c r="V200" i="5"/>
  <c r="AK200" i="5" s="1"/>
  <c r="AE203" i="5"/>
  <c r="AT203" i="5" s="1"/>
  <c r="AE208" i="5"/>
  <c r="AT208" i="5" s="1"/>
  <c r="Z211" i="5"/>
  <c r="AO211" i="5" s="1"/>
  <c r="Z215" i="5"/>
  <c r="AO215" i="5" s="1"/>
  <c r="X228" i="5"/>
  <c r="AM228" i="5" s="1"/>
  <c r="X232" i="5"/>
  <c r="AM232" i="5" s="1"/>
  <c r="W236" i="5"/>
  <c r="AL236" i="5" s="1"/>
  <c r="Z240" i="5"/>
  <c r="AO240" i="5" s="1"/>
  <c r="T243" i="5"/>
  <c r="AI243" i="5" s="1"/>
  <c r="R245" i="5"/>
  <c r="W246" i="5"/>
  <c r="Y248" i="5"/>
  <c r="AN248" i="5" s="1"/>
  <c r="R250" i="5"/>
  <c r="W251" i="5"/>
  <c r="AL251" i="5" s="1"/>
  <c r="Y254" i="5"/>
  <c r="AN254" i="5" s="1"/>
  <c r="V256" i="5"/>
  <c r="X258" i="5"/>
  <c r="AM258" i="5" s="1"/>
  <c r="W261" i="5"/>
  <c r="AL261" i="5" s="1"/>
  <c r="AE267" i="5"/>
  <c r="AT267" i="5" s="1"/>
  <c r="W272" i="5"/>
  <c r="AL272" i="5" s="1"/>
  <c r="AA276" i="5"/>
  <c r="AP276" i="5" s="1"/>
  <c r="W291" i="5"/>
  <c r="Y298" i="5"/>
  <c r="AN298" i="5" s="1"/>
  <c r="Z304" i="5"/>
  <c r="AO304" i="5" s="1"/>
  <c r="AA310" i="5"/>
  <c r="AP310" i="5" s="1"/>
  <c r="T316" i="5"/>
  <c r="U323" i="5"/>
  <c r="V334" i="5"/>
  <c r="AK334" i="5" s="1"/>
  <c r="S340" i="5"/>
  <c r="AE346" i="5"/>
  <c r="AT346" i="5" s="1"/>
  <c r="X10" i="5"/>
  <c r="AM10" i="5" s="1"/>
  <c r="Z13" i="5"/>
  <c r="AO13" i="5" s="1"/>
  <c r="W32" i="5"/>
  <c r="AL32" i="5" s="1"/>
  <c r="Q35" i="5"/>
  <c r="X35" i="5"/>
  <c r="AM35" i="5" s="1"/>
  <c r="T37" i="5"/>
  <c r="AI37" i="5" s="1"/>
  <c r="R40" i="5"/>
  <c r="W46" i="5"/>
  <c r="AL46" i="5" s="1"/>
  <c r="Y66" i="5"/>
  <c r="AN66" i="5" s="1"/>
  <c r="U70" i="5"/>
  <c r="AJ70" i="5" s="1"/>
  <c r="S73" i="5"/>
  <c r="AH73" i="5" s="1"/>
  <c r="R77" i="5"/>
  <c r="AG77" i="5" s="1"/>
  <c r="AU77" i="5" s="1"/>
  <c r="W78" i="5"/>
  <c r="AL78" i="5" s="1"/>
  <c r="X83" i="5"/>
  <c r="AM83" i="5" s="1"/>
  <c r="W96" i="5"/>
  <c r="AL96" i="5" s="1"/>
  <c r="Y98" i="5"/>
  <c r="AN98" i="5" s="1"/>
  <c r="W100" i="5"/>
  <c r="AL100" i="5" s="1"/>
  <c r="X106" i="5"/>
  <c r="AM106" i="5" s="1"/>
  <c r="T111" i="5"/>
  <c r="AI111" i="5" s="1"/>
  <c r="AE125" i="5"/>
  <c r="AT125" i="5" s="1"/>
  <c r="AA128" i="5"/>
  <c r="AP128" i="5" s="1"/>
  <c r="W133" i="5"/>
  <c r="AL133" i="5" s="1"/>
  <c r="R137" i="5"/>
  <c r="AG137" i="5" s="1"/>
  <c r="R141" i="5"/>
  <c r="U151" i="5"/>
  <c r="AJ151" i="5" s="1"/>
  <c r="AA163" i="5"/>
  <c r="AP163" i="5" s="1"/>
  <c r="U174" i="5"/>
  <c r="AJ174" i="5" s="1"/>
  <c r="Y179" i="5"/>
  <c r="AN179" i="5" s="1"/>
  <c r="X187" i="5"/>
  <c r="AM187" i="5" s="1"/>
  <c r="S191" i="5"/>
  <c r="AH191" i="5" s="1"/>
  <c r="W196" i="5"/>
  <c r="AL196" i="5" s="1"/>
  <c r="S211" i="5"/>
  <c r="AH211" i="5" s="1"/>
  <c r="X216" i="5"/>
  <c r="AM216" i="5" s="1"/>
  <c r="W220" i="5"/>
  <c r="AL220" i="5" s="1"/>
  <c r="Q229" i="5"/>
  <c r="Y229" i="5"/>
  <c r="AN229" i="5" s="1"/>
  <c r="T231" i="5"/>
  <c r="AI231" i="5" s="1"/>
  <c r="R234" i="5"/>
  <c r="V239" i="5"/>
  <c r="AK239" i="5" s="1"/>
  <c r="R244" i="5"/>
  <c r="Z248" i="5"/>
  <c r="AO248" i="5" s="1"/>
  <c r="Z259" i="5"/>
  <c r="AO259" i="5" s="1"/>
  <c r="U267" i="5"/>
  <c r="AJ267" i="5" s="1"/>
  <c r="R278" i="5"/>
  <c r="T281" i="5"/>
  <c r="S284" i="5"/>
  <c r="U287" i="5"/>
  <c r="Q293" i="5"/>
  <c r="S293" i="5"/>
  <c r="U296" i="5"/>
  <c r="X300" i="5"/>
  <c r="T305" i="5"/>
  <c r="AI305" i="5" s="1"/>
  <c r="Q308" i="5"/>
  <c r="W308" i="5"/>
  <c r="AL308" i="5" s="1"/>
  <c r="Q312" i="5"/>
  <c r="W312" i="5"/>
  <c r="AA312" i="5"/>
  <c r="AP312" i="5" s="1"/>
  <c r="X315" i="5"/>
  <c r="AM315" i="5" s="1"/>
  <c r="Z323" i="5"/>
  <c r="AO323" i="5" s="1"/>
  <c r="AA334" i="5"/>
  <c r="AP334" i="5" s="1"/>
  <c r="AA339" i="5"/>
  <c r="AP339" i="5" s="1"/>
  <c r="S343" i="5"/>
  <c r="AH343" i="5" s="1"/>
  <c r="W348" i="5"/>
  <c r="AL348" i="5" s="1"/>
  <c r="V9" i="5"/>
  <c r="AK9" i="5" s="1"/>
  <c r="X12" i="5"/>
  <c r="AM12" i="5" s="1"/>
  <c r="R14" i="5"/>
  <c r="S15" i="5"/>
  <c r="AH15" i="5" s="1"/>
  <c r="X16" i="5"/>
  <c r="AM16" i="5" s="1"/>
  <c r="R18" i="5"/>
  <c r="AG18" i="5" s="1"/>
  <c r="W19" i="5"/>
  <c r="AL19" i="5" s="1"/>
  <c r="Q36" i="5"/>
  <c r="AE36" i="5"/>
  <c r="AT36" i="5" s="1"/>
  <c r="W37" i="5"/>
  <c r="AL37" i="5" s="1"/>
  <c r="AE38" i="5"/>
  <c r="AT38" i="5" s="1"/>
  <c r="Y40" i="5"/>
  <c r="AN40" i="5" s="1"/>
  <c r="S42" i="5"/>
  <c r="AH42" i="5" s="1"/>
  <c r="AE44" i="5"/>
  <c r="AT44" i="5" s="1"/>
  <c r="V46" i="5"/>
  <c r="AK46" i="5" s="1"/>
  <c r="AA47" i="5"/>
  <c r="AP47" i="5" s="1"/>
  <c r="U49" i="5"/>
  <c r="AJ49" i="5" s="1"/>
  <c r="Z50" i="5"/>
  <c r="AO50" i="5" s="1"/>
  <c r="AA56" i="5"/>
  <c r="AP56" i="5" s="1"/>
  <c r="V68" i="5"/>
  <c r="AK68" i="5" s="1"/>
  <c r="AA69" i="5"/>
  <c r="AP69" i="5" s="1"/>
  <c r="R73" i="5"/>
  <c r="AG73" i="5" s="1"/>
  <c r="W74" i="5"/>
  <c r="AL74" i="5" s="1"/>
  <c r="R78" i="5"/>
  <c r="AG78" i="5" s="1"/>
  <c r="W79" i="5"/>
  <c r="AL79" i="5" s="1"/>
  <c r="AE80" i="5"/>
  <c r="AT80" i="5" s="1"/>
  <c r="W83" i="5"/>
  <c r="AL83" i="5" s="1"/>
  <c r="Y264" i="5"/>
  <c r="AN264" i="5" s="1"/>
  <c r="AA271" i="5"/>
  <c r="AP271" i="5" s="1"/>
  <c r="W276" i="5"/>
  <c r="Q297" i="5"/>
  <c r="S297" i="5"/>
  <c r="AH297" i="5" s="1"/>
  <c r="T302" i="5"/>
  <c r="AI302" i="5" s="1"/>
  <c r="W310" i="5"/>
  <c r="AL310" i="5" s="1"/>
  <c r="X316" i="5"/>
  <c r="AM316" i="5" s="1"/>
  <c r="R333" i="5"/>
  <c r="W340" i="5"/>
  <c r="X346" i="5"/>
  <c r="AM346" i="5" s="1"/>
  <c r="AA142" i="5"/>
  <c r="AP142" i="5" s="1"/>
  <c r="Y151" i="5"/>
  <c r="AN151" i="5" s="1"/>
  <c r="R166" i="5"/>
  <c r="Y174" i="5"/>
  <c r="AN174" i="5" s="1"/>
  <c r="V180" i="5"/>
  <c r="AK180" i="5" s="1"/>
  <c r="T187" i="5"/>
  <c r="AI187" i="5" s="1"/>
  <c r="R195" i="5"/>
  <c r="V204" i="5"/>
  <c r="AK204" i="5" s="1"/>
  <c r="Y218" i="5"/>
  <c r="AN218" i="5" s="1"/>
  <c r="V224" i="5"/>
  <c r="AK224" i="5" s="1"/>
  <c r="Y228" i="5"/>
  <c r="AN228" i="5" s="1"/>
  <c r="R233" i="5"/>
  <c r="AA235" i="5"/>
  <c r="AP235" i="5" s="1"/>
  <c r="Z239" i="5"/>
  <c r="AO239" i="5" s="1"/>
  <c r="U243" i="5"/>
  <c r="AJ243" i="5" s="1"/>
  <c r="X246" i="5"/>
  <c r="AM246" i="5" s="1"/>
  <c r="AA249" i="5"/>
  <c r="AP249" i="5" s="1"/>
  <c r="Y252" i="5"/>
  <c r="AN252" i="5" s="1"/>
  <c r="W256" i="5"/>
  <c r="V259" i="5"/>
  <c r="AK259" i="5" s="1"/>
  <c r="X266" i="5"/>
  <c r="V278" i="5"/>
  <c r="AK278" i="5" s="1"/>
  <c r="AA280" i="5"/>
  <c r="AP280" i="5" s="1"/>
  <c r="X285" i="5"/>
  <c r="AM285" i="5" s="1"/>
  <c r="S290" i="5"/>
  <c r="AH290" i="5" s="1"/>
  <c r="V293" i="5"/>
  <c r="V297" i="5"/>
  <c r="AK297" i="5" s="1"/>
  <c r="AE300" i="5"/>
  <c r="AT300" i="5" s="1"/>
  <c r="X305" i="5"/>
  <c r="AM305" i="5" s="1"/>
  <c r="W309" i="5"/>
  <c r="AL309" i="5" s="1"/>
  <c r="W314" i="5"/>
  <c r="AL314" i="5" s="1"/>
  <c r="R318" i="5"/>
  <c r="V323" i="5"/>
  <c r="AK323" i="5" s="1"/>
  <c r="Z327" i="5"/>
  <c r="AO327" i="5" s="1"/>
  <c r="W334" i="5"/>
  <c r="AL334" i="5" s="1"/>
  <c r="T344" i="5"/>
  <c r="T42" i="5"/>
  <c r="AI42" i="5" s="1"/>
  <c r="W105" i="5"/>
  <c r="AL105" i="5" s="1"/>
  <c r="Y137" i="5"/>
  <c r="T168" i="5"/>
  <c r="AI168" i="5" s="1"/>
  <c r="R174" i="5"/>
  <c r="Z186" i="5"/>
  <c r="AO186" i="5" s="1"/>
  <c r="AA196" i="5"/>
  <c r="AP196" i="5" s="1"/>
  <c r="S208" i="5"/>
  <c r="AH208" i="5" s="1"/>
  <c r="S218" i="5"/>
  <c r="AH218" i="5" s="1"/>
  <c r="X231" i="5"/>
  <c r="AM231" i="5" s="1"/>
  <c r="T240" i="5"/>
  <c r="AI240" i="5" s="1"/>
  <c r="AE248" i="5"/>
  <c r="AT248" i="5" s="1"/>
  <c r="Y253" i="5"/>
  <c r="AN253" i="5" s="1"/>
  <c r="X277" i="5"/>
  <c r="AM277" i="5" s="1"/>
  <c r="R287" i="5"/>
  <c r="Z291" i="5"/>
  <c r="AO291" i="5" s="1"/>
  <c r="W300" i="5"/>
  <c r="W304" i="5"/>
  <c r="AL304" i="5" s="1"/>
  <c r="R307" i="5"/>
  <c r="R315" i="5"/>
  <c r="W320" i="5"/>
  <c r="Y327" i="5"/>
  <c r="AN327" i="5" s="1"/>
  <c r="X339" i="5"/>
  <c r="V341" i="5"/>
  <c r="AK341" i="5" s="1"/>
  <c r="AU341" i="5" s="1"/>
  <c r="U348" i="5"/>
  <c r="AJ348" i="5" s="1"/>
  <c r="AE76" i="5"/>
  <c r="AT76" i="5" s="1"/>
  <c r="V116" i="5"/>
  <c r="AK116" i="5" s="1"/>
  <c r="U124" i="5"/>
  <c r="AJ124" i="5" s="1"/>
  <c r="Z141" i="5"/>
  <c r="AO141" i="5" s="1"/>
  <c r="V173" i="5"/>
  <c r="AK173" i="5" s="1"/>
  <c r="AA182" i="5"/>
  <c r="AP182" i="5" s="1"/>
  <c r="Z202" i="5"/>
  <c r="AO202" i="5" s="1"/>
  <c r="S212" i="5"/>
  <c r="AH212" i="5" s="1"/>
  <c r="T226" i="5"/>
  <c r="AI226" i="5" s="1"/>
  <c r="X243" i="5"/>
  <c r="AM243" i="5" s="1"/>
  <c r="X251" i="5"/>
  <c r="AM251" i="5" s="1"/>
  <c r="U260" i="5"/>
  <c r="T268" i="5"/>
  <c r="AI268" i="5" s="1"/>
  <c r="AE280" i="5"/>
  <c r="AT280" i="5" s="1"/>
  <c r="V286" i="5"/>
  <c r="AK286" i="5" s="1"/>
  <c r="Z302" i="5"/>
  <c r="AO302" i="5" s="1"/>
  <c r="W311" i="5"/>
  <c r="Z318" i="5"/>
  <c r="AO318" i="5" s="1"/>
  <c r="R323" i="5"/>
  <c r="Y330" i="5"/>
  <c r="AN330" i="5" s="1"/>
  <c r="R335" i="5"/>
  <c r="U339" i="5"/>
  <c r="Y343" i="5"/>
  <c r="AN343" i="5" s="1"/>
  <c r="Z348" i="5"/>
  <c r="AO348" i="5" s="1"/>
  <c r="R176" i="5"/>
  <c r="R192" i="5"/>
  <c r="V201" i="5"/>
  <c r="AK201" i="5" s="1"/>
  <c r="AE216" i="5"/>
  <c r="AT216" i="5" s="1"/>
  <c r="T242" i="5"/>
  <c r="AI242" i="5" s="1"/>
  <c r="AE258" i="5"/>
  <c r="AT258" i="5" s="1"/>
  <c r="X279" i="5"/>
  <c r="R301" i="5"/>
  <c r="W335" i="5"/>
  <c r="Z347" i="5"/>
  <c r="AO347" i="5" s="1"/>
  <c r="R143" i="5"/>
  <c r="W164" i="5"/>
  <c r="AL164" i="5" s="1"/>
  <c r="V175" i="5"/>
  <c r="AK175" i="5" s="1"/>
  <c r="Z196" i="5"/>
  <c r="AO196" i="5" s="1"/>
  <c r="AE224" i="5"/>
  <c r="AT224" i="5" s="1"/>
  <c r="T278" i="5"/>
  <c r="V292" i="5"/>
  <c r="AA309" i="5"/>
  <c r="AP309" i="5" s="1"/>
  <c r="S326" i="5"/>
  <c r="AH326" i="5" s="1"/>
  <c r="T58" i="5"/>
  <c r="AI58" i="5" s="1"/>
  <c r="V152" i="5"/>
  <c r="AK152" i="5" s="1"/>
  <c r="Z180" i="5"/>
  <c r="AO180" i="5" s="1"/>
  <c r="T216" i="5"/>
  <c r="AI216" i="5" s="1"/>
  <c r="AE242" i="5"/>
  <c r="AT242" i="5" s="1"/>
  <c r="T258" i="5"/>
  <c r="U272" i="5"/>
  <c r="AJ272" i="5" s="1"/>
  <c r="Z285" i="5"/>
  <c r="AO285" i="5" s="1"/>
  <c r="Z297" i="5"/>
  <c r="AO297" i="5" s="1"/>
  <c r="V313" i="5"/>
  <c r="W331" i="5"/>
  <c r="R347" i="5"/>
  <c r="V105" i="5"/>
  <c r="AK105" i="5" s="1"/>
  <c r="Z171" i="5"/>
  <c r="AO171" i="5" s="1"/>
  <c r="V191" i="5"/>
  <c r="AK191" i="5" s="1"/>
  <c r="W201" i="5"/>
  <c r="AL201" i="5" s="1"/>
  <c r="AA214" i="5"/>
  <c r="AP214" i="5" s="1"/>
  <c r="T232" i="5"/>
  <c r="AI232" i="5" s="1"/>
  <c r="U238" i="5"/>
  <c r="AJ238" i="5" s="1"/>
  <c r="U258" i="5"/>
  <c r="AJ258" i="5" s="1"/>
  <c r="AE278" i="5"/>
  <c r="AT278" i="5" s="1"/>
  <c r="AA297" i="5"/>
  <c r="AP297" i="5" s="1"/>
  <c r="AA313" i="5"/>
  <c r="AP313" i="5" s="1"/>
  <c r="S330" i="5"/>
  <c r="AH330" i="5" s="1"/>
  <c r="V8" i="4"/>
  <c r="AU299" i="5" l="1"/>
  <c r="AU164" i="5"/>
  <c r="AU51" i="5"/>
  <c r="AU274" i="5"/>
  <c r="AU265" i="5"/>
  <c r="AU249" i="5"/>
  <c r="AU68" i="5"/>
  <c r="AU198" i="5"/>
  <c r="AU209" i="5"/>
  <c r="AU267" i="5"/>
  <c r="AU55" i="5"/>
  <c r="AU241" i="5"/>
  <c r="AU7" i="5"/>
  <c r="AU324" i="5"/>
  <c r="AU15" i="5"/>
  <c r="AU272" i="5"/>
  <c r="T272" i="4" s="1"/>
  <c r="AU76" i="5"/>
  <c r="AU79" i="5"/>
  <c r="AU297" i="5"/>
  <c r="AU319" i="5"/>
  <c r="T319" i="4" s="1"/>
  <c r="AU140" i="5"/>
  <c r="AU237" i="5"/>
  <c r="AU59" i="5"/>
  <c r="AU98" i="5"/>
  <c r="AU128" i="5"/>
  <c r="AU105" i="5"/>
  <c r="AU169" i="5"/>
  <c r="AU332" i="5"/>
  <c r="AU256" i="5"/>
  <c r="AU243" i="5"/>
  <c r="AU144" i="5"/>
  <c r="AU116" i="5"/>
  <c r="AU235" i="5"/>
  <c r="AU78" i="5"/>
  <c r="AU271" i="5"/>
  <c r="AU138" i="5"/>
  <c r="AU100" i="5"/>
  <c r="AU242" i="5"/>
  <c r="AU49" i="5"/>
  <c r="AU155" i="5"/>
  <c r="AU339" i="5"/>
  <c r="AU9" i="5"/>
  <c r="AU246" i="5"/>
  <c r="AU333" i="5"/>
  <c r="T333" i="4" s="1"/>
  <c r="AU283" i="5"/>
  <c r="AU112" i="5"/>
  <c r="AU99" i="5"/>
  <c r="AU67" i="5"/>
  <c r="AU71" i="5"/>
  <c r="AU170" i="5"/>
  <c r="AU221" i="5"/>
  <c r="AU238" i="5"/>
  <c r="T238" i="4" s="1"/>
  <c r="AU284" i="5"/>
  <c r="AU57" i="5"/>
  <c r="AU282" i="5"/>
  <c r="T282" i="4" s="1"/>
  <c r="AU133" i="5"/>
  <c r="AU184" i="5"/>
  <c r="AU293" i="5"/>
  <c r="AU34" i="5"/>
  <c r="AU39" i="5"/>
  <c r="AU264" i="5"/>
  <c r="AU124" i="5"/>
  <c r="AU20" i="5"/>
  <c r="AU258" i="5"/>
  <c r="AU223" i="5"/>
  <c r="AU21" i="5"/>
  <c r="AU244" i="5"/>
  <c r="T244" i="4" s="1"/>
  <c r="AU212" i="5"/>
  <c r="AU129" i="5"/>
  <c r="AU88" i="5"/>
  <c r="AU317" i="5"/>
  <c r="T317" i="4" s="1"/>
  <c r="AU217" i="5"/>
  <c r="T217" i="4" s="1"/>
  <c r="AU252" i="5"/>
  <c r="AU60" i="5"/>
  <c r="AU131" i="5"/>
  <c r="AU331" i="5"/>
  <c r="T331" i="4" s="1"/>
  <c r="AU179" i="5"/>
  <c r="AU289" i="5"/>
  <c r="AU146" i="5"/>
  <c r="AU255" i="5"/>
  <c r="T255" i="4" s="1"/>
  <c r="AU214" i="5"/>
  <c r="AU44" i="5"/>
  <c r="AU263" i="5"/>
  <c r="T263" i="4" s="1"/>
  <c r="AU222" i="5"/>
  <c r="AU52" i="5"/>
  <c r="AU123" i="5"/>
  <c r="AU136" i="5"/>
  <c r="AU25" i="5"/>
  <c r="AU32" i="5"/>
  <c r="AU54" i="5"/>
  <c r="AU173" i="5"/>
  <c r="AU270" i="5"/>
  <c r="T270" i="4" s="1"/>
  <c r="AU281" i="5"/>
  <c r="AU250" i="5"/>
  <c r="AU219" i="5"/>
  <c r="AU115" i="5"/>
  <c r="AU22" i="5"/>
  <c r="AU342" i="5"/>
  <c r="AU276" i="5"/>
  <c r="AU110" i="5"/>
  <c r="AU120" i="5"/>
  <c r="AU37" i="5"/>
  <c r="AU280" i="5"/>
  <c r="AU92" i="5"/>
  <c r="AU109" i="5"/>
  <c r="AU290" i="5"/>
  <c r="AU328" i="5"/>
  <c r="T328" i="4" s="1"/>
  <c r="AU132" i="5"/>
  <c r="AU149" i="5"/>
  <c r="AU157" i="5"/>
  <c r="AU38" i="5"/>
  <c r="AU247" i="5"/>
  <c r="T247" i="4" s="1"/>
  <c r="AU121" i="5"/>
  <c r="AU152" i="5"/>
  <c r="AU84" i="5"/>
  <c r="AU197" i="5"/>
  <c r="AU80" i="5"/>
  <c r="AU147" i="5"/>
  <c r="AU200" i="5"/>
  <c r="AU29" i="5"/>
  <c r="AU185" i="5"/>
  <c r="AU50" i="5"/>
  <c r="AU314" i="5"/>
  <c r="T314" i="4" s="1"/>
  <c r="AU292" i="5"/>
  <c r="AU300" i="5"/>
  <c r="AU162" i="5"/>
  <c r="AU231" i="5"/>
  <c r="AU298" i="5"/>
  <c r="T298" i="4" s="1"/>
  <c r="AU248" i="5"/>
  <c r="AU41" i="5"/>
  <c r="AU119" i="5"/>
  <c r="AU150" i="5"/>
  <c r="AU11" i="5"/>
  <c r="AU87" i="5"/>
  <c r="AU308" i="5"/>
  <c r="AU117" i="5"/>
  <c r="AU189" i="5"/>
  <c r="AU36" i="5"/>
  <c r="AU205" i="5"/>
  <c r="AU17" i="5"/>
  <c r="AU64" i="5"/>
  <c r="AU135" i="5"/>
  <c r="AU73" i="5"/>
  <c r="AU18" i="5"/>
  <c r="AU291" i="5"/>
  <c r="AU273" i="5"/>
  <c r="AU24" i="5"/>
  <c r="AU340" i="5"/>
  <c r="T340" i="4" s="1"/>
  <c r="AU48" i="5"/>
  <c r="AU220" i="5"/>
  <c r="AU296" i="5"/>
  <c r="AU127" i="5"/>
  <c r="AU106" i="5"/>
  <c r="AU330" i="5"/>
  <c r="AU81" i="5"/>
  <c r="AU72" i="5"/>
  <c r="AU208" i="5"/>
  <c r="AU66" i="5"/>
  <c r="AU245" i="5"/>
  <c r="T245" i="4" s="1"/>
  <c r="AU260" i="5"/>
  <c r="T260" i="4" s="1"/>
  <c r="AU206" i="5"/>
  <c r="AU95" i="5"/>
  <c r="AU134" i="5"/>
  <c r="AU102" i="5"/>
  <c r="AU23" i="5"/>
  <c r="AU213" i="5"/>
  <c r="AU122" i="5"/>
  <c r="AU180" i="5"/>
  <c r="AU172" i="5"/>
  <c r="AU97" i="5"/>
  <c r="AU33" i="5"/>
  <c r="AU321" i="5"/>
  <c r="T321" i="4" s="1"/>
  <c r="AU229" i="5"/>
  <c r="AU344" i="5"/>
  <c r="T344" i="4" s="1"/>
  <c r="AU312" i="5"/>
  <c r="T312" i="4" s="1"/>
  <c r="AU74" i="5"/>
  <c r="AU193" i="5"/>
  <c r="AU107" i="5"/>
  <c r="AU337" i="5"/>
  <c r="T337" i="4" s="1"/>
  <c r="AU225" i="5"/>
  <c r="T225" i="4" s="1"/>
  <c r="AU27" i="5"/>
  <c r="AU163" i="5"/>
  <c r="AU35" i="5"/>
  <c r="AU75" i="5"/>
  <c r="AU43" i="5"/>
  <c r="AB6" i="5"/>
  <c r="AQ6" i="5" s="1"/>
  <c r="AD6" i="5"/>
  <c r="AS6" i="5" s="1"/>
  <c r="R6" i="5"/>
  <c r="Q6" i="5"/>
  <c r="T237" i="4"/>
  <c r="AF43" i="5"/>
  <c r="AF237" i="5"/>
  <c r="AF263" i="5"/>
  <c r="AF27" i="5"/>
  <c r="AF167" i="5"/>
  <c r="T345" i="4"/>
  <c r="AF189" i="5"/>
  <c r="AG167" i="5"/>
  <c r="AU167" i="5" s="1"/>
  <c r="AF150" i="5"/>
  <c r="AF107" i="5"/>
  <c r="AF345" i="5"/>
  <c r="AF59" i="5"/>
  <c r="AF11" i="5"/>
  <c r="T289" i="4"/>
  <c r="AF123" i="5"/>
  <c r="AF146" i="5"/>
  <c r="AF193" i="5"/>
  <c r="AF75" i="5"/>
  <c r="AF289" i="5"/>
  <c r="AF87" i="5"/>
  <c r="AF119" i="5"/>
  <c r="AF328" i="5"/>
  <c r="AF255" i="5"/>
  <c r="AF91" i="5"/>
  <c r="AF73" i="5"/>
  <c r="AF103" i="5"/>
  <c r="T284" i="4"/>
  <c r="AF317" i="5"/>
  <c r="T324" i="4"/>
  <c r="T209" i="4"/>
  <c r="AF344" i="5"/>
  <c r="AF293" i="5"/>
  <c r="AF205" i="5"/>
  <c r="AF273" i="5"/>
  <c r="AF152" i="5"/>
  <c r="AF331" i="5"/>
  <c r="AF231" i="5"/>
  <c r="T213" i="4"/>
  <c r="AF319" i="5"/>
  <c r="AF330" i="5"/>
  <c r="T293" i="4"/>
  <c r="AF256" i="5"/>
  <c r="AF220" i="5"/>
  <c r="AF133" i="5"/>
  <c r="AF15" i="5"/>
  <c r="AF321" i="5"/>
  <c r="T249" i="4"/>
  <c r="AF209" i="5"/>
  <c r="AF217" i="5"/>
  <c r="T256" i="4"/>
  <c r="AF213" i="5"/>
  <c r="T308" i="4"/>
  <c r="AF18" i="5"/>
  <c r="AF138" i="5"/>
  <c r="T252" i="4"/>
  <c r="T335" i="4"/>
  <c r="AF337" i="5"/>
  <c r="AF258" i="5"/>
  <c r="AF185" i="5"/>
  <c r="AF131" i="5"/>
  <c r="AF55" i="5"/>
  <c r="T288" i="4"/>
  <c r="AF314" i="5"/>
  <c r="AF36" i="5"/>
  <c r="AF340" i="5"/>
  <c r="AF39" i="5"/>
  <c r="AF60" i="5"/>
  <c r="AF225" i="5"/>
  <c r="T342" i="4"/>
  <c r="AF7" i="5"/>
  <c r="AF25" i="5"/>
  <c r="AF124" i="5"/>
  <c r="AF121" i="5"/>
  <c r="AF147" i="5"/>
  <c r="T220" i="4"/>
  <c r="AF241" i="5"/>
  <c r="AF134" i="5"/>
  <c r="AF252" i="5"/>
  <c r="AF34" i="5"/>
  <c r="AF342" i="5"/>
  <c r="T276" i="4"/>
  <c r="T299" i="4"/>
  <c r="AF172" i="5"/>
  <c r="AF38" i="5"/>
  <c r="AF105" i="5"/>
  <c r="AF23" i="5"/>
  <c r="AF79" i="5"/>
  <c r="T300" i="4"/>
  <c r="AF283" i="5"/>
  <c r="AF222" i="5"/>
  <c r="AF288" i="5"/>
  <c r="AF190" i="5"/>
  <c r="T290" i="4"/>
  <c r="AF265" i="5"/>
  <c r="AF57" i="5"/>
  <c r="AF312" i="5"/>
  <c r="AF243" i="5"/>
  <c r="AF214" i="5"/>
  <c r="AF235" i="5"/>
  <c r="AF292" i="5"/>
  <c r="AF41" i="5"/>
  <c r="AF132" i="5"/>
  <c r="AF50" i="5"/>
  <c r="AF229" i="5"/>
  <c r="AF284" i="5"/>
  <c r="AF77" i="5"/>
  <c r="T291" i="4"/>
  <c r="AF33" i="5"/>
  <c r="AF181" i="5"/>
  <c r="AF95" i="5"/>
  <c r="AF221" i="5"/>
  <c r="AF324" i="5"/>
  <c r="T250" i="4"/>
  <c r="AF223" i="5"/>
  <c r="AF170" i="5"/>
  <c r="T212" i="4"/>
  <c r="T223" i="4"/>
  <c r="T219" i="4"/>
  <c r="AF71" i="5"/>
  <c r="T292" i="4"/>
  <c r="T296" i="4"/>
  <c r="AG151" i="5"/>
  <c r="AU151" i="5" s="1"/>
  <c r="AF151" i="5"/>
  <c r="T221" i="4"/>
  <c r="AF88" i="5"/>
  <c r="AF274" i="5"/>
  <c r="AG303" i="5"/>
  <c r="AF303" i="5"/>
  <c r="AG186" i="5"/>
  <c r="AU186" i="5" s="1"/>
  <c r="AF186" i="5"/>
  <c r="T339" i="4"/>
  <c r="AF248" i="5"/>
  <c r="T246" i="4"/>
  <c r="AG240" i="5"/>
  <c r="AF240" i="5"/>
  <c r="AG211" i="5"/>
  <c r="AF211" i="5"/>
  <c r="AG142" i="5"/>
  <c r="AU142" i="5" s="1"/>
  <c r="AF142" i="5"/>
  <c r="AG311" i="5"/>
  <c r="AF311" i="5"/>
  <c r="AG305" i="5"/>
  <c r="AF305" i="5"/>
  <c r="T283" i="4"/>
  <c r="AG227" i="5"/>
  <c r="AF227" i="5"/>
  <c r="AG191" i="5"/>
  <c r="AU191" i="5" s="1"/>
  <c r="AF191" i="5"/>
  <c r="AG168" i="5"/>
  <c r="AU168" i="5" s="1"/>
  <c r="AF168" i="5"/>
  <c r="AG153" i="5"/>
  <c r="AU153" i="5" s="1"/>
  <c r="AF153" i="5"/>
  <c r="AF52" i="5"/>
  <c r="AF112" i="5"/>
  <c r="AG63" i="5"/>
  <c r="AU63" i="5" s="1"/>
  <c r="AF63" i="5"/>
  <c r="AF32" i="5"/>
  <c r="AG86" i="5"/>
  <c r="AU86" i="5" s="1"/>
  <c r="AF86" i="5"/>
  <c r="AG70" i="5"/>
  <c r="AU70" i="5" s="1"/>
  <c r="AF70" i="5"/>
  <c r="AG12" i="5"/>
  <c r="AU12" i="5" s="1"/>
  <c r="AF12" i="5"/>
  <c r="T214" i="4"/>
  <c r="T280" i="4"/>
  <c r="AG261" i="5"/>
  <c r="AF261" i="5"/>
  <c r="AG125" i="5"/>
  <c r="AU125" i="5" s="1"/>
  <c r="AF125" i="5"/>
  <c r="AG126" i="5"/>
  <c r="AU126" i="5" s="1"/>
  <c r="AF126" i="5"/>
  <c r="AF20" i="5"/>
  <c r="AF180" i="5"/>
  <c r="AF206" i="5"/>
  <c r="T229" i="4"/>
  <c r="T265" i="4"/>
  <c r="AF246" i="5"/>
  <c r="AG182" i="5"/>
  <c r="AU182" i="5" s="1"/>
  <c r="AF182" i="5"/>
  <c r="AF173" i="5"/>
  <c r="AF144" i="5"/>
  <c r="AF135" i="5"/>
  <c r="AG304" i="5"/>
  <c r="AF304" i="5"/>
  <c r="AF179" i="5"/>
  <c r="AF115" i="5"/>
  <c r="AF140" i="5"/>
  <c r="AF198" i="5"/>
  <c r="AG171" i="5"/>
  <c r="AU171" i="5" s="1"/>
  <c r="AF171" i="5"/>
  <c r="AF298" i="5"/>
  <c r="AF260" i="5"/>
  <c r="AF162" i="5"/>
  <c r="AF29" i="5"/>
  <c r="AF102" i="5"/>
  <c r="T243" i="4"/>
  <c r="AF332" i="5"/>
  <c r="AF163" i="5"/>
  <c r="AF66" i="5"/>
  <c r="AG323" i="5"/>
  <c r="AF323" i="5"/>
  <c r="AG318" i="5"/>
  <c r="AF318" i="5"/>
  <c r="AG234" i="5"/>
  <c r="AF234" i="5"/>
  <c r="AG310" i="5"/>
  <c r="AF310" i="5"/>
  <c r="AG336" i="5"/>
  <c r="AF336" i="5"/>
  <c r="AG183" i="5"/>
  <c r="AU183" i="5" s="1"/>
  <c r="AF183" i="5"/>
  <c r="AG165" i="5"/>
  <c r="AU165" i="5" s="1"/>
  <c r="AF165" i="5"/>
  <c r="AG65" i="5"/>
  <c r="AU65" i="5" s="1"/>
  <c r="AF65" i="5"/>
  <c r="AG93" i="5"/>
  <c r="AU93" i="5" s="1"/>
  <c r="AF93" i="5"/>
  <c r="AG269" i="5"/>
  <c r="AF269" i="5"/>
  <c r="AG19" i="5"/>
  <c r="AU19" i="5" s="1"/>
  <c r="AF19" i="5"/>
  <c r="AF341" i="5"/>
  <c r="AG118" i="5"/>
  <c r="AU118" i="5" s="1"/>
  <c r="AF118" i="5"/>
  <c r="AG156" i="5"/>
  <c r="AU156" i="5" s="1"/>
  <c r="AF156" i="5"/>
  <c r="AG327" i="5"/>
  <c r="AF327" i="5"/>
  <c r="AG42" i="5"/>
  <c r="AU42" i="5" s="1"/>
  <c r="AF42" i="5"/>
  <c r="AG26" i="5"/>
  <c r="AU26" i="5" s="1"/>
  <c r="AF26" i="5"/>
  <c r="AG10" i="5"/>
  <c r="AU10" i="5" s="1"/>
  <c r="AF10" i="5"/>
  <c r="AG268" i="5"/>
  <c r="AF268" i="5"/>
  <c r="AG45" i="5"/>
  <c r="AU45" i="5" s="1"/>
  <c r="AF45" i="5"/>
  <c r="AF129" i="5"/>
  <c r="AG277" i="5"/>
  <c r="AF277" i="5"/>
  <c r="AG69" i="5"/>
  <c r="AU69" i="5" s="1"/>
  <c r="AF69" i="5"/>
  <c r="AG285" i="5"/>
  <c r="AF285" i="5"/>
  <c r="AF212" i="5"/>
  <c r="AF72" i="5"/>
  <c r="AF338" i="5"/>
  <c r="AN338" i="5"/>
  <c r="AU338" i="5" s="1"/>
  <c r="AF299" i="5"/>
  <c r="AF76" i="5"/>
  <c r="AF208" i="5"/>
  <c r="AF197" i="5"/>
  <c r="AG192" i="5"/>
  <c r="AU192" i="5" s="1"/>
  <c r="AF192" i="5"/>
  <c r="AG307" i="5"/>
  <c r="AF307" i="5"/>
  <c r="AG287" i="5"/>
  <c r="AF287" i="5"/>
  <c r="AF137" i="5"/>
  <c r="AN137" i="5"/>
  <c r="AU137" i="5" s="1"/>
  <c r="AG195" i="5"/>
  <c r="AU195" i="5" s="1"/>
  <c r="AF195" i="5"/>
  <c r="AG166" i="5"/>
  <c r="AU166" i="5" s="1"/>
  <c r="AF166" i="5"/>
  <c r="AF245" i="5"/>
  <c r="AG306" i="5"/>
  <c r="AF306" i="5"/>
  <c r="T273" i="4"/>
  <c r="AG251" i="5"/>
  <c r="AF251" i="5"/>
  <c r="AG216" i="5"/>
  <c r="AF216" i="5"/>
  <c r="AF24" i="5"/>
  <c r="AG294" i="5"/>
  <c r="AF294" i="5"/>
  <c r="AF100" i="5"/>
  <c r="T242" i="4"/>
  <c r="AG16" i="5"/>
  <c r="AU16" i="5" s="1"/>
  <c r="AF16" i="5"/>
  <c r="AG279" i="5"/>
  <c r="AF279" i="5"/>
  <c r="AF242" i="5"/>
  <c r="AG226" i="5"/>
  <c r="AF226" i="5"/>
  <c r="AG176" i="5"/>
  <c r="AU176" i="5" s="1"/>
  <c r="AF176" i="5"/>
  <c r="AF335" i="5"/>
  <c r="AF333" i="5"/>
  <c r="T264" i="4"/>
  <c r="AF78" i="5"/>
  <c r="AG278" i="5"/>
  <c r="AF278" i="5"/>
  <c r="AF244" i="5"/>
  <c r="AG141" i="5"/>
  <c r="AU141" i="5" s="1"/>
  <c r="AF141" i="5"/>
  <c r="AG40" i="5"/>
  <c r="AU40" i="5" s="1"/>
  <c r="AF40" i="5"/>
  <c r="AF250" i="5"/>
  <c r="AG320" i="5"/>
  <c r="AF320" i="5"/>
  <c r="AG177" i="5"/>
  <c r="AU177" i="5" s="1"/>
  <c r="AF177" i="5"/>
  <c r="AF114" i="5"/>
  <c r="AN114" i="5"/>
  <c r="AU114" i="5" s="1"/>
  <c r="AG56" i="5"/>
  <c r="AU56" i="5" s="1"/>
  <c r="AF56" i="5"/>
  <c r="AG148" i="5"/>
  <c r="AU148" i="5" s="1"/>
  <c r="AF148" i="5"/>
  <c r="AG326" i="5"/>
  <c r="AF326" i="5"/>
  <c r="AF296" i="5"/>
  <c r="AG262" i="5"/>
  <c r="AF262" i="5"/>
  <c r="AG218" i="5"/>
  <c r="AF218" i="5"/>
  <c r="AG130" i="5"/>
  <c r="AU130" i="5" s="1"/>
  <c r="AF130" i="5"/>
  <c r="AF48" i="5"/>
  <c r="AG236" i="5"/>
  <c r="AF236" i="5"/>
  <c r="AG101" i="5"/>
  <c r="AU101" i="5" s="1"/>
  <c r="AF101" i="5"/>
  <c r="AG188" i="5"/>
  <c r="AU188" i="5" s="1"/>
  <c r="AF188" i="5"/>
  <c r="AG254" i="5"/>
  <c r="AF254" i="5"/>
  <c r="AG224" i="5"/>
  <c r="AF224" i="5"/>
  <c r="AF272" i="5"/>
  <c r="AG158" i="5"/>
  <c r="AU158" i="5" s="1"/>
  <c r="AF158" i="5"/>
  <c r="T341" i="4"/>
  <c r="AG159" i="5"/>
  <c r="AU159" i="5" s="1"/>
  <c r="AF159" i="5"/>
  <c r="AF297" i="5"/>
  <c r="AG202" i="5"/>
  <c r="AU202" i="5" s="1"/>
  <c r="AF202" i="5"/>
  <c r="AG239" i="5"/>
  <c r="AF239" i="5"/>
  <c r="AG82" i="5"/>
  <c r="AU82" i="5" s="1"/>
  <c r="AF82" i="5"/>
  <c r="AG46" i="5"/>
  <c r="AU46" i="5" s="1"/>
  <c r="AF46" i="5"/>
  <c r="AF9" i="5"/>
  <c r="AG161" i="5"/>
  <c r="AU161" i="5" s="1"/>
  <c r="AF161" i="5"/>
  <c r="AG13" i="5"/>
  <c r="AU13" i="5" s="1"/>
  <c r="AF13" i="5"/>
  <c r="AF110" i="5"/>
  <c r="AF271" i="5"/>
  <c r="AF215" i="5"/>
  <c r="AN215" i="5"/>
  <c r="AF120" i="5"/>
  <c r="AF51" i="5"/>
  <c r="AF308" i="5"/>
  <c r="AG145" i="5"/>
  <c r="AU145" i="5" s="1"/>
  <c r="AF145" i="5"/>
  <c r="AG96" i="5"/>
  <c r="AU96" i="5" s="1"/>
  <c r="AF96" i="5"/>
  <c r="AF264" i="5"/>
  <c r="AG253" i="5"/>
  <c r="AF253" i="5"/>
  <c r="AG210" i="5"/>
  <c r="AF210" i="5"/>
  <c r="AG194" i="5"/>
  <c r="AU194" i="5" s="1"/>
  <c r="AF194" i="5"/>
  <c r="AG178" i="5"/>
  <c r="AU178" i="5" s="1"/>
  <c r="AF178" i="5"/>
  <c r="AF99" i="5"/>
  <c r="AF280" i="5"/>
  <c r="AG175" i="5"/>
  <c r="AU175" i="5" s="1"/>
  <c r="AF175" i="5"/>
  <c r="AF270" i="5"/>
  <c r="AF116" i="5"/>
  <c r="AF64" i="5"/>
  <c r="AF44" i="5"/>
  <c r="AF200" i="5"/>
  <c r="AF35" i="5"/>
  <c r="AG295" i="5"/>
  <c r="AF295" i="5"/>
  <c r="T274" i="4"/>
  <c r="AG62" i="5"/>
  <c r="AU62" i="5" s="1"/>
  <c r="AF62" i="5"/>
  <c r="AF169" i="5"/>
  <c r="AF290" i="5"/>
  <c r="AG196" i="5"/>
  <c r="AU196" i="5" s="1"/>
  <c r="AF196" i="5"/>
  <c r="T281" i="4"/>
  <c r="AF21" i="5"/>
  <c r="T241" i="4"/>
  <c r="AG143" i="5"/>
  <c r="AU143" i="5" s="1"/>
  <c r="AF143" i="5"/>
  <c r="AG315" i="5"/>
  <c r="AF315" i="5"/>
  <c r="AG233" i="5"/>
  <c r="AF233" i="5"/>
  <c r="AF276" i="5"/>
  <c r="AG61" i="5"/>
  <c r="AU61" i="5" s="1"/>
  <c r="AF61" i="5"/>
  <c r="AG302" i="5"/>
  <c r="AF302" i="5"/>
  <c r="T222" i="4"/>
  <c r="AG89" i="5"/>
  <c r="AU89" i="5" s="1"/>
  <c r="AF89" i="5"/>
  <c r="AG90" i="5"/>
  <c r="AU90" i="5" s="1"/>
  <c r="AF90" i="5"/>
  <c r="AF111" i="5"/>
  <c r="AN111" i="5"/>
  <c r="AU111" i="5" s="1"/>
  <c r="AG309" i="5"/>
  <c r="AF309" i="5"/>
  <c r="AF238" i="5"/>
  <c r="AG316" i="5"/>
  <c r="AF316" i="5"/>
  <c r="AF22" i="5"/>
  <c r="AG204" i="5"/>
  <c r="AU204" i="5" s="1"/>
  <c r="AF204" i="5"/>
  <c r="AG94" i="5"/>
  <c r="AU94" i="5" s="1"/>
  <c r="AF94" i="5"/>
  <c r="AF128" i="5"/>
  <c r="AG139" i="5"/>
  <c r="AU139" i="5" s="1"/>
  <c r="AF139" i="5"/>
  <c r="AG228" i="5"/>
  <c r="AF228" i="5"/>
  <c r="AF54" i="5"/>
  <c r="AF300" i="5"/>
  <c r="AF247" i="5"/>
  <c r="AG346" i="5"/>
  <c r="AF346" i="5"/>
  <c r="T258" i="4"/>
  <c r="AG347" i="5"/>
  <c r="AF347" i="5"/>
  <c r="AG301" i="5"/>
  <c r="AF301" i="5"/>
  <c r="T330" i="4"/>
  <c r="AG174" i="5"/>
  <c r="AU174" i="5" s="1"/>
  <c r="AF174" i="5"/>
  <c r="AG14" i="5"/>
  <c r="AU14" i="5" s="1"/>
  <c r="AF14" i="5"/>
  <c r="T267" i="4"/>
  <c r="AF104" i="5"/>
  <c r="AN104" i="5"/>
  <c r="AU104" i="5" s="1"/>
  <c r="AG325" i="5"/>
  <c r="AF325" i="5"/>
  <c r="AG286" i="5"/>
  <c r="AF286" i="5"/>
  <c r="T271" i="4"/>
  <c r="AG266" i="5"/>
  <c r="AF266" i="5"/>
  <c r="AG257" i="5"/>
  <c r="AF257" i="5"/>
  <c r="AG187" i="5"/>
  <c r="AU187" i="5" s="1"/>
  <c r="AF187" i="5"/>
  <c r="AG83" i="5"/>
  <c r="AU83" i="5" s="1"/>
  <c r="AF83" i="5"/>
  <c r="AG348" i="5"/>
  <c r="AF348" i="5"/>
  <c r="AF8" i="5"/>
  <c r="AG334" i="5"/>
  <c r="AF334" i="5"/>
  <c r="AG230" i="5"/>
  <c r="AF230" i="5"/>
  <c r="AG322" i="5"/>
  <c r="AF322" i="5"/>
  <c r="AF282" i="5"/>
  <c r="AF267" i="5"/>
  <c r="AG203" i="5"/>
  <c r="AU203" i="5" s="1"/>
  <c r="AF203" i="5"/>
  <c r="AG160" i="5"/>
  <c r="AU160" i="5" s="1"/>
  <c r="AF160" i="5"/>
  <c r="AF98" i="5"/>
  <c r="AG85" i="5"/>
  <c r="AU85" i="5" s="1"/>
  <c r="AF85" i="5"/>
  <c r="AG53" i="5"/>
  <c r="AU53" i="5" s="1"/>
  <c r="AF53" i="5"/>
  <c r="AF31" i="5"/>
  <c r="AG113" i="5"/>
  <c r="AU113" i="5" s="1"/>
  <c r="AF113" i="5"/>
  <c r="AG108" i="5"/>
  <c r="AU108" i="5" s="1"/>
  <c r="AF108" i="5"/>
  <c r="AF49" i="5"/>
  <c r="AF17" i="5"/>
  <c r="AF219" i="5"/>
  <c r="AG313" i="5"/>
  <c r="AF313" i="5"/>
  <c r="AG329" i="5"/>
  <c r="AF329" i="5"/>
  <c r="AF155" i="5"/>
  <c r="AF97" i="5"/>
  <c r="AF136" i="5"/>
  <c r="AF74" i="5"/>
  <c r="AF127" i="5"/>
  <c r="T297" i="4"/>
  <c r="T248" i="4"/>
  <c r="AF291" i="5"/>
  <c r="AG259" i="5"/>
  <c r="AF259" i="5"/>
  <c r="AG154" i="5"/>
  <c r="AU154" i="5" s="1"/>
  <c r="AF154" i="5"/>
  <c r="AF106" i="5"/>
  <c r="AG232" i="5"/>
  <c r="AF232" i="5"/>
  <c r="AF84" i="5"/>
  <c r="AG58" i="5"/>
  <c r="AU58" i="5" s="1"/>
  <c r="AF58" i="5"/>
  <c r="AF37" i="5"/>
  <c r="T231" i="4"/>
  <c r="AF81" i="5"/>
  <c r="AG28" i="5"/>
  <c r="AU28" i="5" s="1"/>
  <c r="AF28" i="5"/>
  <c r="AF68" i="5"/>
  <c r="T235" i="4"/>
  <c r="AF157" i="5"/>
  <c r="AF67" i="5"/>
  <c r="AG30" i="5"/>
  <c r="AU30" i="5" s="1"/>
  <c r="AF30" i="5"/>
  <c r="AF122" i="5"/>
  <c r="AF339" i="5"/>
  <c r="AF249" i="5"/>
  <c r="AG207" i="5"/>
  <c r="AU207" i="5" s="1"/>
  <c r="AF207" i="5"/>
  <c r="AF149" i="5"/>
  <c r="AF109" i="5"/>
  <c r="AG275" i="5"/>
  <c r="AF275" i="5"/>
  <c r="AG47" i="5"/>
  <c r="AU47" i="5" s="1"/>
  <c r="AF47" i="5"/>
  <c r="AG199" i="5"/>
  <c r="AU199" i="5" s="1"/>
  <c r="AF199" i="5"/>
  <c r="AF281" i="5"/>
  <c r="AG343" i="5"/>
  <c r="AF343" i="5"/>
  <c r="AG201" i="5"/>
  <c r="AU201" i="5" s="1"/>
  <c r="AF201" i="5"/>
  <c r="AF164" i="5"/>
  <c r="AF92" i="5"/>
  <c r="AF80" i="5"/>
  <c r="T332" i="4"/>
  <c r="AF117" i="5"/>
  <c r="AF184" i="5"/>
  <c r="AU286" i="5" l="1"/>
  <c r="T286" i="4" s="1"/>
  <c r="AU316" i="5"/>
  <c r="T316" i="4" s="1"/>
  <c r="AU275" i="5"/>
  <c r="T275" i="4" s="1"/>
  <c r="AU295" i="5"/>
  <c r="T295" i="4" s="1"/>
  <c r="AU343" i="5"/>
  <c r="T343" i="4" s="1"/>
  <c r="T322" i="4"/>
  <c r="AU322" i="5"/>
  <c r="AU334" i="5"/>
  <c r="T334" i="4" s="1"/>
  <c r="AU325" i="5"/>
  <c r="T325" i="4" s="1"/>
  <c r="AU347" i="5"/>
  <c r="T347" i="4" s="1"/>
  <c r="T228" i="4"/>
  <c r="AU228" i="5"/>
  <c r="AU210" i="5"/>
  <c r="T210" i="4" s="1"/>
  <c r="AU224" i="5"/>
  <c r="T224" i="4" s="1"/>
  <c r="AU236" i="5"/>
  <c r="T236" i="4" s="1"/>
  <c r="T320" i="4"/>
  <c r="AU320" i="5"/>
  <c r="AU278" i="5"/>
  <c r="T278" i="4" s="1"/>
  <c r="AU226" i="5"/>
  <c r="T226" i="4" s="1"/>
  <c r="AU216" i="5"/>
  <c r="T216" i="4" s="1"/>
  <c r="T307" i="4"/>
  <c r="AU307" i="5"/>
  <c r="AU285" i="5"/>
  <c r="T285" i="4" s="1"/>
  <c r="AU277" i="5"/>
  <c r="T277" i="4" s="1"/>
  <c r="AU336" i="5"/>
  <c r="T336" i="4" s="1"/>
  <c r="T234" i="4"/>
  <c r="AU234" i="5"/>
  <c r="AU323" i="5"/>
  <c r="T323" i="4" s="1"/>
  <c r="AU311" i="5"/>
  <c r="T311" i="4" s="1"/>
  <c r="AU211" i="5"/>
  <c r="T211" i="4" s="1"/>
  <c r="T313" i="4"/>
  <c r="AU313" i="5"/>
  <c r="AU266" i="5"/>
  <c r="T266" i="4" s="1"/>
  <c r="AU346" i="5"/>
  <c r="T346" i="4" s="1"/>
  <c r="AU233" i="5"/>
  <c r="T233" i="4" s="1"/>
  <c r="T329" i="4"/>
  <c r="AU329" i="5"/>
  <c r="T257" i="4"/>
  <c r="AU257" i="5"/>
  <c r="T309" i="4"/>
  <c r="AU309" i="5"/>
  <c r="T315" i="4"/>
  <c r="AU315" i="5"/>
  <c r="T239" i="4"/>
  <c r="AU239" i="5"/>
  <c r="AU218" i="5"/>
  <c r="T218" i="4" s="1"/>
  <c r="AU294" i="5"/>
  <c r="T294" i="4" s="1"/>
  <c r="AU306" i="5"/>
  <c r="T306" i="4" s="1"/>
  <c r="T268" i="4"/>
  <c r="AU268" i="5"/>
  <c r="AU327" i="5"/>
  <c r="T327" i="4" s="1"/>
  <c r="AU304" i="5"/>
  <c r="T304" i="4" s="1"/>
  <c r="AU303" i="5"/>
  <c r="T303" i="4" s="1"/>
  <c r="T232" i="4"/>
  <c r="AU232" i="5"/>
  <c r="AU301" i="5"/>
  <c r="T301" i="4" s="1"/>
  <c r="AU302" i="5"/>
  <c r="T302" i="4" s="1"/>
  <c r="AU253" i="5"/>
  <c r="T253" i="4" s="1"/>
  <c r="T254" i="4"/>
  <c r="AU254" i="5"/>
  <c r="AU326" i="5"/>
  <c r="T326" i="4" s="1"/>
  <c r="AU251" i="5"/>
  <c r="T251" i="4" s="1"/>
  <c r="AU287" i="5"/>
  <c r="T287" i="4" s="1"/>
  <c r="T269" i="4"/>
  <c r="AU269" i="5"/>
  <c r="AU310" i="5"/>
  <c r="T310" i="4" s="1"/>
  <c r="AU318" i="5"/>
  <c r="T318" i="4" s="1"/>
  <c r="AU261" i="5"/>
  <c r="T261" i="4" s="1"/>
  <c r="T305" i="4"/>
  <c r="AU305" i="5"/>
  <c r="AU240" i="5"/>
  <c r="T240" i="4" s="1"/>
  <c r="AU215" i="5"/>
  <c r="T215" i="4" s="1"/>
  <c r="AU230" i="5"/>
  <c r="T230" i="4" s="1"/>
  <c r="AU259" i="5"/>
  <c r="T259" i="4" s="1"/>
  <c r="AU348" i="5"/>
  <c r="T348" i="4" s="1"/>
  <c r="T262" i="4"/>
  <c r="AU262" i="5"/>
  <c r="AU279" i="5"/>
  <c r="T279" i="4" s="1"/>
  <c r="T338" i="4"/>
  <c r="T227" i="4"/>
  <c r="AU227" i="5"/>
  <c r="S6" i="5"/>
  <c r="AH6" i="5" s="1"/>
  <c r="AG6" i="5"/>
  <c r="X6" i="5"/>
  <c r="AM6" i="5" s="1"/>
  <c r="AA6" i="5"/>
  <c r="AP6" i="5" s="1"/>
  <c r="U6" i="5"/>
  <c r="AJ6" i="5" s="1"/>
  <c r="V6" i="5"/>
  <c r="AK6" i="5" s="1"/>
  <c r="T6" i="5"/>
  <c r="AI6" i="5" s="1"/>
  <c r="Y6" i="5"/>
  <c r="AN6" i="5" s="1"/>
  <c r="W6" i="5"/>
  <c r="AL6" i="5" s="1"/>
  <c r="Z6" i="5"/>
  <c r="AO6" i="5" s="1"/>
  <c r="AE6" i="5"/>
  <c r="AT6" i="5" s="1"/>
  <c r="AU6" i="5" l="1"/>
  <c r="AF6" i="5"/>
  <c r="T44" i="4" l="1"/>
  <c r="T99" i="4"/>
  <c r="T70" i="4"/>
  <c r="T208" i="4"/>
  <c r="T151" i="4"/>
  <c r="T168" i="4"/>
  <c r="T139" i="4"/>
  <c r="T203" i="4"/>
  <c r="T27" i="4"/>
  <c r="T152" i="4"/>
  <c r="T135" i="4"/>
  <c r="T156" i="4"/>
  <c r="T118" i="4"/>
  <c r="T189" i="4"/>
  <c r="T117" i="4"/>
  <c r="T181" i="4"/>
  <c r="T30" i="4"/>
  <c r="T115" i="4"/>
  <c r="T20" i="4"/>
  <c r="T19" i="4"/>
  <c r="T186" i="4"/>
  <c r="T40" i="4"/>
  <c r="T89" i="4"/>
  <c r="T69" i="4"/>
  <c r="T142" i="4"/>
  <c r="T36" i="4"/>
  <c r="T111" i="4"/>
  <c r="T22" i="4"/>
  <c r="T159" i="4"/>
  <c r="T58" i="4"/>
  <c r="T92" i="4"/>
  <c r="T31" i="4"/>
  <c r="T37" i="4"/>
  <c r="T81" i="4"/>
  <c r="T54" i="4"/>
  <c r="T48" i="4"/>
  <c r="T158" i="4"/>
  <c r="T17" i="4"/>
  <c r="T15" i="4"/>
  <c r="T136" i="4"/>
  <c r="T138" i="4"/>
  <c r="T196" i="4"/>
  <c r="T87" i="4"/>
  <c r="T24" i="4"/>
  <c r="T176" i="4"/>
  <c r="T86" i="4"/>
  <c r="T132" i="4"/>
  <c r="T94" i="4"/>
  <c r="T59" i="4"/>
  <c r="T46" i="4"/>
  <c r="T116" i="4"/>
  <c r="T66" i="4"/>
  <c r="T141" i="4"/>
  <c r="T65" i="4"/>
  <c r="T157" i="4"/>
  <c r="T192" i="4"/>
  <c r="T88" i="4"/>
  <c r="T57" i="4"/>
  <c r="T11" i="4"/>
  <c r="T125" i="4"/>
  <c r="T102" i="4"/>
  <c r="T167" i="4"/>
  <c r="T112" i="4"/>
  <c r="T41" i="4"/>
  <c r="T98" i="4"/>
  <c r="T101" i="4"/>
  <c r="T207" i="4"/>
  <c r="T109" i="4"/>
  <c r="T180" i="4"/>
  <c r="T154" i="4"/>
  <c r="T190" i="4"/>
  <c r="T171" i="4"/>
  <c r="T108" i="4"/>
  <c r="T83" i="4"/>
  <c r="T179" i="4"/>
  <c r="T119" i="4"/>
  <c r="T55" i="4"/>
  <c r="T193" i="4"/>
  <c r="T105" i="4"/>
  <c r="T155" i="4"/>
  <c r="T47" i="4"/>
  <c r="T197" i="4"/>
  <c r="T195" i="4"/>
  <c r="T178" i="4"/>
  <c r="T74" i="4"/>
  <c r="T150" i="4"/>
  <c r="T28" i="4"/>
  <c r="T205" i="4"/>
  <c r="T50" i="4"/>
  <c r="T124" i="4"/>
  <c r="T185" i="4"/>
  <c r="T137" i="4"/>
  <c r="T68" i="4"/>
  <c r="T143" i="4"/>
  <c r="T63" i="4"/>
  <c r="T75" i="4"/>
  <c r="T127" i="4"/>
  <c r="T39" i="4"/>
  <c r="T14" i="4"/>
  <c r="T78" i="4"/>
  <c r="T9" i="4"/>
  <c r="T146" i="4"/>
  <c r="T153" i="4"/>
  <c r="T103" i="4"/>
  <c r="T113" i="4"/>
  <c r="T114" i="4"/>
  <c r="T42" i="4"/>
  <c r="T10" i="4"/>
  <c r="T206" i="4"/>
  <c r="T148" i="4"/>
  <c r="T52" i="4"/>
  <c r="T67" i="4"/>
  <c r="T183" i="4"/>
  <c r="T184" i="4"/>
  <c r="T49" i="4"/>
  <c r="T64" i="4"/>
  <c r="T172" i="4"/>
  <c r="T33" i="4"/>
  <c r="T32" i="4"/>
  <c r="T145" i="4"/>
  <c r="T165" i="4"/>
  <c r="T182" i="4"/>
  <c r="T18" i="4"/>
  <c r="T77" i="4"/>
  <c r="T95" i="4"/>
  <c r="T61" i="4"/>
  <c r="T129" i="4"/>
  <c r="T204" i="4"/>
  <c r="T107" i="4"/>
  <c r="T8" i="4"/>
  <c r="T188" i="4"/>
  <c r="T140" i="4"/>
  <c r="T201" i="4"/>
  <c r="T147" i="4"/>
  <c r="T90" i="4"/>
  <c r="T200" i="4"/>
  <c r="T62" i="4"/>
  <c r="T191" i="4"/>
  <c r="T173" i="4"/>
  <c r="T128" i="4"/>
  <c r="T35" i="4"/>
  <c r="T177" i="4"/>
  <c r="T60" i="4"/>
  <c r="T76" i="4"/>
  <c r="T198" i="4"/>
  <c r="T85" i="4"/>
  <c r="T149" i="4"/>
  <c r="T175" i="4"/>
  <c r="T13" i="4"/>
  <c r="T166" i="4"/>
  <c r="T29" i="4"/>
  <c r="T23" i="4"/>
  <c r="T93" i="4"/>
  <c r="T51" i="4"/>
  <c r="T34" i="4"/>
  <c r="T25" i="4"/>
  <c r="T96" i="4"/>
  <c r="T53" i="4"/>
  <c r="T199" i="4"/>
  <c r="T174" i="4"/>
  <c r="T164" i="4"/>
  <c r="T120" i="4"/>
  <c r="T45" i="4"/>
  <c r="T162" i="4"/>
  <c r="T163" i="4"/>
  <c r="T71" i="4"/>
  <c r="T134" i="4"/>
  <c r="T121" i="4"/>
  <c r="T72" i="4"/>
  <c r="T38" i="4"/>
  <c r="T16" i="4"/>
  <c r="T97" i="4"/>
  <c r="T12" i="4"/>
  <c r="T170" i="4"/>
  <c r="T100" i="4"/>
  <c r="T133" i="4"/>
  <c r="T123" i="4"/>
  <c r="T161" i="4"/>
  <c r="T82" i="4"/>
  <c r="T56" i="4"/>
  <c r="T122" i="4"/>
  <c r="T21" i="4"/>
  <c r="T160" i="4"/>
  <c r="T130" i="4"/>
  <c r="T187" i="4"/>
  <c r="T106" i="4"/>
  <c r="T110" i="4"/>
  <c r="T126" i="4"/>
  <c r="T144" i="4"/>
  <c r="T169" i="4"/>
  <c r="T194" i="4"/>
  <c r="T84" i="4"/>
  <c r="T104" i="4"/>
  <c r="T202" i="4"/>
  <c r="T73" i="4"/>
  <c r="T91" i="4"/>
  <c r="T79" i="4"/>
  <c r="T80" i="4"/>
  <c r="T43" i="4"/>
  <c r="T26" i="4"/>
  <c r="T131" i="4"/>
  <c r="T7" i="4"/>
  <c r="T6" i="4"/>
</calcChain>
</file>

<file path=xl/sharedStrings.xml><?xml version="1.0" encoding="utf-8"?>
<sst xmlns="http://schemas.openxmlformats.org/spreadsheetml/2006/main" count="1330" uniqueCount="384">
  <si>
    <t>Aterramento</t>
  </si>
  <si>
    <t>Diagrama unifilar</t>
  </si>
  <si>
    <t>NOK</t>
  </si>
  <si>
    <t>PAINEL</t>
  </si>
  <si>
    <t>Existe DR</t>
  </si>
  <si>
    <t>OK</t>
  </si>
  <si>
    <t>Outras não conformidades</t>
  </si>
  <si>
    <t>Horas</t>
  </si>
  <si>
    <t>Sinalização de Perigo</t>
  </si>
  <si>
    <t>Sim</t>
  </si>
  <si>
    <t>Não</t>
  </si>
  <si>
    <t xml:space="preserve">DR compatível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</si>
  <si>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</si>
  <si>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</si>
  <si>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</si>
  <si>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</si>
  <si>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</si>
  <si>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</si>
  <si>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</si>
  <si>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</si>
  <si>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</si>
  <si>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</si>
  <si>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</si>
  <si>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</si>
  <si>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</si>
  <si>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</si>
  <si>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</si>
  <si>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</si>
  <si>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</si>
  <si>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</si>
  <si>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</si>
  <si>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</si>
  <si>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</si>
  <si>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</si>
  <si>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</si>
  <si>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</si>
  <si>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</si>
  <si>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</si>
  <si>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</si>
  <si>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</si>
  <si>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</si>
  <si>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</si>
  <si>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</si>
  <si>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</si>
  <si>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</si>
  <si>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</si>
  <si>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</si>
  <si>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</si>
  <si>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</si>
  <si>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</si>
  <si>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</si>
  <si>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</si>
  <si>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</si>
  <si>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</si>
  <si>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</si>
  <si>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</si>
  <si>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</si>
  <si>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</si>
  <si>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</si>
  <si>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</si>
  <si>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</si>
  <si>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</si>
  <si>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</si>
  <si>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</si>
  <si>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</si>
  <si>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</si>
  <si>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</si>
  <si>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</si>
  <si>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</si>
  <si>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</si>
  <si>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</si>
  <si>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</si>
  <si>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</si>
  <si>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</si>
  <si>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</si>
  <si>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</si>
  <si>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</si>
  <si>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</si>
  <si>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</si>
  <si>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</si>
  <si>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</si>
  <si>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</si>
  <si>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</si>
  <si>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</si>
  <si>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</si>
  <si>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</si>
  <si>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</si>
  <si>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</si>
  <si>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</si>
  <si>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</si>
  <si>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</si>
  <si>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</si>
  <si>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</si>
  <si>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</si>
  <si>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</si>
  <si>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</si>
  <si>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</si>
  <si>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</si>
  <si>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</si>
  <si>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</si>
  <si>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</si>
  <si>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</si>
  <si>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</si>
  <si>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</si>
  <si>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</si>
  <si>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</si>
  <si>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</si>
  <si>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</si>
  <si>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</si>
  <si>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</si>
  <si>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</si>
  <si>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</si>
  <si>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</si>
  <si>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</si>
  <si>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</si>
  <si>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</si>
  <si>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</si>
  <si>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</si>
  <si>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</si>
  <si>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</si>
  <si>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</si>
  <si>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</si>
  <si>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</si>
  <si>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</si>
  <si>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</si>
  <si>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</si>
  <si>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</si>
  <si>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</si>
  <si>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</si>
  <si>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</si>
  <si>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</si>
  <si>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</si>
  <si>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</si>
  <si>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</si>
  <si>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</si>
  <si>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</si>
  <si>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</si>
  <si>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</si>
  <si>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</si>
  <si>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</si>
  <si>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</si>
  <si>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</si>
  <si>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</si>
  <si>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</si>
  <si>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</si>
  <si>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</si>
  <si>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</si>
  <si>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</si>
  <si>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</si>
  <si>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</si>
  <si>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</si>
  <si>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</si>
  <si>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</si>
  <si>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</si>
  <si>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</si>
  <si>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</si>
  <si>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</si>
  <si>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</si>
  <si>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</si>
  <si>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</si>
  <si>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</si>
  <si>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</si>
  <si>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</si>
  <si>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</si>
  <si>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</si>
  <si>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</si>
  <si>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</si>
  <si>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</si>
  <si>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</si>
  <si>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</si>
  <si>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</si>
  <si>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</si>
  <si>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</si>
  <si>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</si>
  <si>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</si>
  <si>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</si>
  <si>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</si>
  <si>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</si>
  <si>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</si>
  <si>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</si>
  <si>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</si>
  <si>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</si>
  <si>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</si>
  <si>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</si>
  <si>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</si>
  <si>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</si>
  <si>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</si>
  <si>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</si>
  <si>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</si>
  <si>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</si>
  <si>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</si>
  <si>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</si>
  <si>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</si>
  <si>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</si>
  <si>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</si>
  <si>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</si>
  <si>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</si>
  <si>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</si>
  <si>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</si>
  <si>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</si>
  <si>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</si>
  <si>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</si>
  <si>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</si>
  <si>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</si>
  <si>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</si>
  <si>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</si>
  <si>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</si>
  <si>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</si>
  <si>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</si>
  <si>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</si>
  <si>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</si>
  <si>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</si>
  <si>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</si>
  <si>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</si>
  <si>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</si>
  <si>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&lt;</t>
  </si>
  <si>
    <t>=</t>
  </si>
  <si>
    <t></t>
  </si>
  <si>
    <t xml:space="preserve">Possui disjuntor Geral </t>
  </si>
  <si>
    <t>Painel com nomenclatura</t>
  </si>
  <si>
    <t>Sistema de bloqueio</t>
  </si>
  <si>
    <t>Sinalização restrição acesso</t>
  </si>
  <si>
    <t>Limpeza e organização interna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</si>
  <si>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</si>
  <si>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</si>
  <si>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</si>
  <si>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</si>
  <si>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</si>
  <si>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</si>
  <si>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</si>
  <si>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</si>
  <si>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</si>
  <si>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</si>
  <si>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</si>
  <si>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</si>
  <si>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</si>
  <si>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</si>
  <si>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</si>
  <si>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</si>
  <si>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</si>
  <si>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</si>
  <si>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</si>
  <si>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</si>
  <si>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</si>
  <si>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</si>
  <si>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</si>
  <si>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</si>
  <si>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</si>
  <si>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</si>
  <si>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</si>
  <si>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</si>
  <si>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</si>
  <si>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</si>
  <si>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</si>
  <si>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</si>
  <si>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</si>
  <si>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</si>
  <si>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</si>
  <si>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</si>
  <si>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</si>
  <si>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</si>
  <si>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</si>
  <si>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</si>
  <si>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</si>
  <si>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</si>
  <si>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</si>
  <si>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</si>
  <si>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</si>
  <si>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</si>
  <si>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</si>
  <si>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</si>
  <si>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</si>
  <si>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</si>
  <si>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</si>
  <si>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</si>
  <si>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</si>
  <si>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</si>
  <si>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</si>
  <si>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</si>
  <si>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</si>
  <si>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</si>
  <si>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</si>
  <si>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</si>
  <si>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</si>
  <si>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</si>
  <si>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</si>
  <si>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</si>
  <si>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</si>
  <si>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</si>
  <si>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</si>
  <si>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</si>
  <si>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</si>
  <si>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</si>
  <si>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</si>
  <si>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</si>
  <si>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</si>
  <si>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</si>
  <si>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</si>
  <si>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</si>
  <si>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</si>
  <si>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</si>
  <si>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</si>
  <si>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</si>
  <si>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</si>
  <si>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</si>
  <si>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</si>
  <si>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</si>
  <si>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</si>
  <si>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</si>
  <si>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</si>
  <si>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</si>
  <si>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</si>
  <si>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</si>
  <si>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</si>
  <si>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</si>
  <si>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</si>
  <si>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</si>
  <si>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</si>
  <si>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</si>
  <si>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</si>
  <si>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</si>
  <si>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</si>
  <si>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</si>
  <si>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</si>
  <si>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</si>
  <si>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</si>
  <si>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</si>
  <si>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</si>
  <si>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</si>
  <si>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</si>
  <si>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</si>
  <si>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</si>
  <si>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</si>
  <si>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</si>
  <si>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</si>
  <si>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</si>
  <si>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</si>
  <si>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</si>
  <si>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</si>
  <si>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</si>
  <si>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</si>
  <si>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</si>
  <si>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</si>
  <si>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</si>
  <si>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</si>
  <si>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</si>
  <si>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</si>
  <si>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</si>
  <si>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</si>
  <si>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</si>
  <si>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</si>
  <si>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</si>
  <si>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</si>
  <si>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</si>
  <si>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</si>
  <si>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</si>
  <si>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</si>
  <si>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</si>
  <si>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</si>
  <si>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</si>
  <si>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 xml:space="preserve">Partes vivas protegidas </t>
  </si>
  <si>
    <t>Ranking NR-10</t>
  </si>
  <si>
    <t>Peso</t>
  </si>
  <si>
    <t>Identificação Circuitos</t>
  </si>
  <si>
    <t xml:space="preserve">                      PLANILHA DE INSPEÇÃO PAINÉIS ELÉTRICOS - CLIENTE - CIDADE - ESTADO </t>
  </si>
  <si>
    <r>
      <rPr>
        <b/>
        <sz val="12"/>
        <color theme="1"/>
        <rFont val="Calibri"/>
        <family val="2"/>
        <scheme val="minor"/>
      </rPr>
      <t>Sinalização restrição acesso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(Somente pessoal autorizado)</t>
    </r>
  </si>
  <si>
    <r>
      <t>Painel com nomenclatura? (</t>
    </r>
    <r>
      <rPr>
        <b/>
        <sz val="8"/>
        <color theme="1"/>
        <rFont val="Calibri"/>
        <family val="2"/>
        <scheme val="minor"/>
      </rPr>
      <t>possui nome?)</t>
    </r>
  </si>
  <si>
    <r>
      <t xml:space="preserve">Possui sinalização de Perigo? </t>
    </r>
    <r>
      <rPr>
        <b/>
        <sz val="10"/>
        <color theme="1"/>
        <rFont val="Calibri"/>
        <family val="2"/>
        <scheme val="minor"/>
      </rPr>
      <t>(ex.: Perigo 380V)</t>
    </r>
  </si>
  <si>
    <r>
      <t>Possui sistema de bloqueio? (</t>
    </r>
    <r>
      <rPr>
        <b/>
        <sz val="10"/>
        <color theme="1"/>
        <rFont val="Calibri"/>
        <family val="2"/>
        <scheme val="minor"/>
      </rPr>
      <t>porta cadeado ou outro?)</t>
    </r>
  </si>
  <si>
    <r>
      <t xml:space="preserve">Aterramento? </t>
    </r>
    <r>
      <rPr>
        <b/>
        <sz val="10"/>
        <color theme="1"/>
        <rFont val="Calibri"/>
        <family val="2"/>
        <scheme val="minor"/>
      </rPr>
      <t>(carcaça e porta)?</t>
    </r>
  </si>
  <si>
    <t>Possui diagrama unifilar?</t>
  </si>
  <si>
    <r>
      <t xml:space="preserve">Partes vivas protegidas? </t>
    </r>
    <r>
      <rPr>
        <b/>
        <sz val="10"/>
        <color theme="1"/>
        <rFont val="Calibri"/>
        <family val="2"/>
        <scheme val="minor"/>
      </rPr>
      <t>(barramentos e conexões expostos?)</t>
    </r>
  </si>
  <si>
    <r>
      <t xml:space="preserve">Existe DR? </t>
    </r>
    <r>
      <rPr>
        <b/>
        <sz val="10"/>
        <color theme="1"/>
        <rFont val="Calibri"/>
        <family val="2"/>
        <scheme val="minor"/>
      </rPr>
      <t>(Se aplicável)</t>
    </r>
  </si>
  <si>
    <r>
      <t xml:space="preserve">DR é compatível? </t>
    </r>
    <r>
      <rPr>
        <b/>
        <sz val="10"/>
        <color theme="1"/>
        <rFont val="Calibri"/>
        <family val="2"/>
        <scheme val="minor"/>
      </rPr>
      <t>(corrente maior igual que disjuntor e sensibilidade 30mA)?</t>
    </r>
  </si>
  <si>
    <t>Painel possui um disjuntor geral ?</t>
  </si>
  <si>
    <t>Ciruiros estão identificados?</t>
  </si>
  <si>
    <t>Painel limpo e organizado?</t>
  </si>
  <si>
    <t>Iluminação interna existe e está operando?</t>
  </si>
  <si>
    <r>
      <t xml:space="preserve">Ventilação forçada existe e </t>
    </r>
    <r>
      <rPr>
        <b/>
        <sz val="11"/>
        <color theme="1"/>
        <rFont val="Calibri"/>
        <family val="2"/>
        <scheme val="minor"/>
      </rPr>
      <t>está operando (</t>
    </r>
    <r>
      <rPr>
        <b/>
        <sz val="10"/>
        <color theme="1"/>
        <rFont val="Calibri"/>
        <family val="2"/>
        <scheme val="minor"/>
      </rPr>
      <t>ou em boas condições)?</t>
    </r>
  </si>
  <si>
    <t>Iluminação interna funciona</t>
  </si>
  <si>
    <t>Ventilação forçada funciona</t>
  </si>
  <si>
    <t>ITEM</t>
  </si>
  <si>
    <t>ÁREA</t>
  </si>
  <si>
    <t>SUB-ÁREA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</si>
</sst>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Wingdings 2"/>
      <family val="1"/>
      <charset val="2"/>
    </font>
    <font>
      <b/>
      <sz val="14"/>
      <color theme="1"/>
      <name val="Wingdings 2"/>
      <family val="1"/>
      <charset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textRotation="90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textRotation="90" wrapText="1"/>
    </xf>
    <xf numFmtId="0" fontId="5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49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9" fontId="5" fillId="0" borderId="21" xfId="1" applyFont="1" applyBorder="1" applyAlignment="1">
      <alignment horizontal="center" vertical="center"/>
    </xf>
    <xf numFmtId="9" fontId="5" fillId="0" borderId="20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/>
    <xf numFmtId="9" fontId="3" fillId="4" borderId="1" xfId="1" applyFont="1" applyFill="1" applyBorder="1" applyAlignment="1">
      <alignment wrapText="1"/>
    </xf>
    <xf numFmtId="9" fontId="0" fillId="0" borderId="0" xfId="0" applyNumberFormat="1"/>
    <xf numFmtId="9" fontId="0" fillId="0" borderId="0" xfId="1" applyFont="1" applyAlignment="1">
      <alignment wrapText="1"/>
    </xf>
    <xf numFmtId="10" fontId="0" fillId="0" borderId="0" xfId="0" applyNumberFormat="1"/>
    <xf numFmtId="10" fontId="0" fillId="0" borderId="0" xfId="1" applyNumberFormat="1" applyFont="1"/>
    <xf numFmtId="0" fontId="9" fillId="0" borderId="1" xfId="0" applyFont="1" applyBorder="1" applyAlignment="1">
      <alignment horizontal="center" vertical="center" readingOrder="1"/>
    </xf>
    <xf numFmtId="0" fontId="9" fillId="0" borderId="11" xfId="0" applyFont="1" applyBorder="1" applyAlignment="1">
      <alignment horizontal="center" vertical="center" readingOrder="1"/>
    </xf>
    <xf numFmtId="0" fontId="9" fillId="3" borderId="11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center" vertical="center" readingOrder="1"/>
    </xf>
    <xf numFmtId="0" fontId="6" fillId="0" borderId="7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2" fillId="0" borderId="0" xfId="0" applyFont="1" applyAlignment="1">
      <alignment vertical="center" readingOrder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textRotation="90" wrapText="1"/>
    </xf>
    <xf numFmtId="0" fontId="12" fillId="2" borderId="9" xfId="0" applyFont="1" applyFill="1" applyBorder="1" applyAlignment="1">
      <alignment horizontal="center" vertical="center" textRotation="90" wrapText="1" readingOrder="1"/>
    </xf>
    <xf numFmtId="0" fontId="12" fillId="2" borderId="19" xfId="0" applyFont="1" applyFill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7"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CC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1571625</xdr:colOff>
      <xdr:row>0</xdr:row>
      <xdr:rowOff>142875</xdr:rowOff>
    </xdr:from>
    <xdr:to>
      <xdr:col>2</xdr:col>
      <xdr:colOff>2324100</xdr:colOff>
      <xdr:row>3</xdr:row>
      <xdr:rowOff>153670</xdr:rowOff>
    </xdr:to>
    <xdr:pic>
      <xdr:nvPicPr>
        <xdr:cNvPr id="3" name="Imagem 2" descr="Y:\Nord Consult\Comercial\Marketing\Logotipos\Nord Consult - Fundo Branco - Pequen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24075" y="142875"/>
          <a:ext cx="752475" cy="582295"/>
        </a:xfrm>
        <a:prstGeom prst="rect">
          <a:avLst/>
        </a:prstGeom>
      </xdr:spPr>
    </xdr:pic>
    <xdr:clientData/>
  </xdr:twoCellAnchor>
  <xdr:twoCellAnchor editAs="oneCell">
    <xdr:from>
      <xdr:col>20</xdr:col>
      <xdr:colOff>1364433</xdr:colOff>
      <xdr:row>0</xdr:row>
      <xdr:rowOff>45135</xdr:rowOff>
    </xdr:from>
    <xdr:to>
      <xdr:col>20</xdr:col>
      <xdr:colOff>2417869</xdr:colOff>
      <xdr:row>4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68162-B846-4677-AFD8-1C32179FE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23033" y="45135"/>
          <a:ext cx="1053436" cy="735915"/>
        </a:xfrm>
        <a:prstGeom prst="rect">
          <a:avLst/>
        </a:prstGeom>
      </xdr:spPr>
    </xdr:pic>
    <xdr:clientData/>
  </xdr:twoCellAnchor>
  <xdr:twoCellAnchor>
    <xdr:from>
      <xdr:col>4</xdr:col>
      <xdr:colOff>419099</xdr:colOff>
      <xdr:row>0</xdr:row>
      <xdr:rowOff>168276</xdr:rowOff>
    </xdr:from>
    <xdr:to>
      <xdr:col>20</xdr:col>
      <xdr:colOff>381000</xdr:colOff>
      <xdr:row>3</xdr:row>
      <xdr:rowOff>62442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6CFFBF0-FDC6-4999-897E-9254450549D8}"/>
            </a:ext>
          </a:extLst>
        </xdr:cNvPr>
        <xdr:cNvSpPr/>
      </xdr:nvSpPr>
      <xdr:spPr>
        <a:xfrm>
          <a:off x="7629524" y="168276"/>
          <a:ext cx="9725026" cy="465666"/>
        </a:xfrm>
        <a:prstGeom prst="round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38100</xdr:colOff>
      <xdr:row>0</xdr:row>
      <xdr:rowOff>66676</xdr:rowOff>
    </xdr:from>
    <xdr:to>
      <xdr:col>2</xdr:col>
      <xdr:colOff>1076325</xdr:colOff>
      <xdr:row>3</xdr:row>
      <xdr:rowOff>71066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8838024-ABE1-43FC-AC3D-340EE361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66676"/>
          <a:ext cx="1038225" cy="575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17"/>
  <sheetViews>
    <sheetView tabSelected="1" view="pageBreakPreview" zoomScaleSheetLayoutView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6" sqref="E6"/>
    </sheetView>
  </sheetViews>
  <sheetFormatPr defaultColWidth="9.140625" defaultRowHeight="15" x14ac:dyDescent="0.25"/>
  <cols>
    <col min="1" max="1" width="9.140625" style="34"/>
    <col min="2" max="2" width="8.28515625" style="8" customWidth="1"/>
    <col min="3" max="3" width="49" style="5" customWidth="1"/>
    <col min="4" max="5" width="41.7109375" style="5" customWidth="1"/>
    <col min="6" max="6" width="6.5703125" style="5" customWidth="1"/>
    <col min="7" max="7" width="6.5703125" style="10" customWidth="1"/>
    <col min="8" max="11" width="6.5703125" style="4" customWidth="1"/>
    <col min="12" max="12" width="7.5703125" style="57" customWidth="1"/>
    <col min="13" max="13" width="6.5703125" style="4" customWidth="1"/>
    <col min="14" max="14" width="8" style="4" customWidth="1"/>
    <col min="15" max="18" width="6.5703125" style="4" customWidth="1"/>
    <col min="19" max="19" width="9.28515625" style="4" customWidth="1"/>
    <col min="20" max="20" width="7.5703125" style="4" customWidth="1"/>
    <col min="21" max="21" width="63.5703125" style="5" customWidth="1"/>
    <col min="22" max="22" width="9.140625" style="2" hidden="1" customWidth="1"/>
    <col min="23" max="23" width="8.42578125" style="2" hidden="1" customWidth="1"/>
    <col min="24" max="25" width="9.140625" style="2" hidden="1" customWidth="1"/>
    <col min="26" max="16384" width="9.140625" style="2"/>
  </cols>
  <sheetData>
    <row r="1" spans="1:29" ht="15" customHeight="1" x14ac:dyDescent="0.25">
      <c r="B1" s="63" t="s">
        <v>364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B2" s="66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8"/>
      <c r="V2" s="1" t="s">
        <v>9</v>
      </c>
      <c r="W2" s="13" t="s">
        <v>215</v>
      </c>
      <c r="X2" s="1"/>
      <c r="Y2" s="6" t="s">
        <v>2</v>
      </c>
      <c r="Z2" s="1"/>
      <c r="AA2" s="1"/>
      <c r="AB2" s="1"/>
      <c r="AC2" s="1"/>
    </row>
    <row r="3" spans="1:29" ht="15" customHeight="1" x14ac:dyDescent="0.25"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1" t="s">
        <v>10</v>
      </c>
      <c r="W3" s="13" t="s">
        <v>216</v>
      </c>
      <c r="Y3" s="6" t="s">
        <v>5</v>
      </c>
      <c r="Z3" s="1"/>
      <c r="AA3" s="1"/>
      <c r="AB3" s="1"/>
      <c r="AC3" s="1"/>
    </row>
    <row r="4" spans="1:29" ht="17.25" customHeight="1" thickBot="1" x14ac:dyDescent="0.3">
      <c r="B4" s="66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/>
      <c r="V4" s="1"/>
      <c r="W4" s="13" t="s">
        <v>217</v>
      </c>
      <c r="X4" s="1"/>
      <c r="Y4" s="1"/>
      <c r="Z4" s="1"/>
      <c r="AA4" s="1"/>
      <c r="AB4" s="1"/>
      <c r="AC4" s="1"/>
    </row>
    <row r="5" spans="1:29" s="7" customFormat="1" ht="161.25" customHeight="1" thickBot="1" x14ac:dyDescent="0.35">
      <c r="A5" s="35"/>
      <c r="B5" s="17" t="s">
        <v>381</v>
      </c>
      <c r="C5" s="18" t="s">
        <v>3</v>
      </c>
      <c r="D5" s="18" t="s">
        <v>382</v>
      </c>
      <c r="E5" s="18" t="s">
        <v>383</v>
      </c>
      <c r="F5" s="60" t="s">
        <v>366</v>
      </c>
      <c r="G5" s="60" t="s">
        <v>367</v>
      </c>
      <c r="H5" s="19" t="s">
        <v>365</v>
      </c>
      <c r="I5" s="60" t="s">
        <v>368</v>
      </c>
      <c r="J5" s="60" t="s">
        <v>369</v>
      </c>
      <c r="K5" s="60" t="s">
        <v>370</v>
      </c>
      <c r="L5" s="61" t="s">
        <v>371</v>
      </c>
      <c r="M5" s="60" t="s">
        <v>372</v>
      </c>
      <c r="N5" s="60" t="s">
        <v>373</v>
      </c>
      <c r="O5" s="60" t="s">
        <v>374</v>
      </c>
      <c r="P5" s="60" t="s">
        <v>375</v>
      </c>
      <c r="Q5" s="60" t="s">
        <v>376</v>
      </c>
      <c r="R5" s="60" t="s">
        <v>377</v>
      </c>
      <c r="S5" s="60" t="s">
        <v>378</v>
      </c>
      <c r="T5" s="62" t="s">
        <v>361</v>
      </c>
      <c r="U5" s="20" t="s">
        <v>6</v>
      </c>
    </row>
    <row r="6" spans="1:29" ht="54" customHeight="1" x14ac:dyDescent="0.25">
      <c r="A6" s="36"/>
      <c r="B6" s="38" t="s">
        <v>12</v>
      </c>
      <c r="C6" s="16"/>
      <c r="D6" s="69"/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2">
        <f>Ranking!AU6</f>
        <v>1</v>
      </c>
      <c r="U6" s="39"/>
      <c r="Y6" s="3"/>
      <c r="Z6" s="33"/>
    </row>
    <row r="7" spans="1:29" ht="54" customHeight="1" x14ac:dyDescent="0.25">
      <c r="A7" s="36"/>
      <c r="B7" s="22" t="s">
        <v>13</v>
      </c>
      <c r="C7" s="11"/>
      <c r="D7" s="70"/>
      <c r="E7" s="23"/>
      <c r="F7" s="21"/>
      <c r="G7" s="14"/>
      <c r="H7" s="14"/>
      <c r="I7" s="21"/>
      <c r="J7" s="14"/>
      <c r="K7" s="14"/>
      <c r="L7" s="51"/>
      <c r="M7" s="14"/>
      <c r="N7" s="14"/>
      <c r="O7" s="14"/>
      <c r="P7" s="41"/>
      <c r="Q7" s="14"/>
      <c r="R7" s="14"/>
      <c r="S7" s="14"/>
      <c r="T7" s="43">
        <f>Ranking!AU7</f>
        <v>1</v>
      </c>
      <c r="U7" s="23"/>
      <c r="Y7" s="3"/>
      <c r="Z7" s="33"/>
    </row>
    <row r="8" spans="1:29" ht="54" customHeight="1" x14ac:dyDescent="0.25">
      <c r="A8" s="36"/>
      <c r="B8" s="22" t="s">
        <v>14</v>
      </c>
      <c r="C8" s="11"/>
      <c r="D8" s="70"/>
      <c r="E8" s="23"/>
      <c r="F8" s="21"/>
      <c r="G8" s="14"/>
      <c r="H8" s="14"/>
      <c r="I8" s="21"/>
      <c r="J8" s="14"/>
      <c r="K8" s="14"/>
      <c r="L8" s="51"/>
      <c r="M8" s="14"/>
      <c r="N8" s="14"/>
      <c r="O8" s="14"/>
      <c r="P8" s="41"/>
      <c r="Q8" s="14"/>
      <c r="R8" s="14"/>
      <c r="S8" s="14"/>
      <c r="T8" s="43">
        <f>Ranking!AU8</f>
        <v>1</v>
      </c>
      <c r="U8" s="23"/>
      <c r="V8" s="2" t="e">
        <f>IF(H8=$Y$2,#REF!,#REF!)</f>
        <v>#REF!</v>
      </c>
      <c r="Y8" s="3" t="s">
        <v>7</v>
      </c>
      <c r="Z8" s="33"/>
    </row>
    <row r="9" spans="1:29" ht="54" customHeight="1" x14ac:dyDescent="0.25">
      <c r="A9" s="36"/>
      <c r="B9" s="22" t="s">
        <v>15</v>
      </c>
      <c r="C9" s="11"/>
      <c r="D9" s="70"/>
      <c r="E9" s="23"/>
      <c r="F9" s="21"/>
      <c r="G9" s="14"/>
      <c r="H9" s="14"/>
      <c r="I9" s="21"/>
      <c r="J9" s="14"/>
      <c r="K9" s="14"/>
      <c r="L9" s="51"/>
      <c r="M9" s="14"/>
      <c r="N9" s="14"/>
      <c r="O9" s="14"/>
      <c r="P9" s="41"/>
      <c r="Q9" s="14"/>
      <c r="R9" s="14"/>
      <c r="S9" s="14"/>
      <c r="T9" s="43">
        <f>Ranking!AU9</f>
        <v>1</v>
      </c>
      <c r="U9" s="23"/>
      <c r="Y9" s="3"/>
      <c r="Z9" s="33"/>
    </row>
    <row r="10" spans="1:29" ht="54" customHeight="1" x14ac:dyDescent="0.25">
      <c r="A10" s="36"/>
      <c r="B10" s="22" t="s">
        <v>16</v>
      </c>
      <c r="C10" s="11"/>
      <c r="D10" s="70"/>
      <c r="E10" s="23"/>
      <c r="F10" s="21"/>
      <c r="G10" s="14"/>
      <c r="H10" s="14"/>
      <c r="I10" s="21"/>
      <c r="J10" s="14"/>
      <c r="K10" s="14"/>
      <c r="L10" s="51"/>
      <c r="M10" s="14"/>
      <c r="N10" s="14"/>
      <c r="O10" s="14"/>
      <c r="P10" s="41"/>
      <c r="Q10" s="14"/>
      <c r="R10" s="14"/>
      <c r="S10" s="14"/>
      <c r="T10" s="43">
        <f>Ranking!AU10</f>
        <v>1</v>
      </c>
      <c r="U10" s="23"/>
      <c r="Y10" s="3"/>
      <c r="Z10" s="33"/>
    </row>
    <row r="11" spans="1:29" ht="54" customHeight="1" x14ac:dyDescent="0.25">
      <c r="A11" s="36"/>
      <c r="B11" s="22" t="s">
        <v>17</v>
      </c>
      <c r="C11" s="11"/>
      <c r="D11" s="70"/>
      <c r="E11" s="23"/>
      <c r="F11" s="21"/>
      <c r="G11" s="14"/>
      <c r="H11" s="14"/>
      <c r="I11" s="21"/>
      <c r="J11" s="14"/>
      <c r="K11" s="14"/>
      <c r="L11" s="51"/>
      <c r="M11" s="14"/>
      <c r="N11" s="14"/>
      <c r="O11" s="14"/>
      <c r="P11" s="41"/>
      <c r="Q11" s="14"/>
      <c r="R11" s="14"/>
      <c r="S11" s="14"/>
      <c r="T11" s="43">
        <f>Ranking!AU11</f>
        <v>1</v>
      </c>
      <c r="U11" s="23"/>
      <c r="Y11" s="3"/>
      <c r="Z11" s="33"/>
    </row>
    <row r="12" spans="1:29" ht="54" customHeight="1" x14ac:dyDescent="0.25">
      <c r="A12" s="36"/>
      <c r="B12" s="22" t="s">
        <v>18</v>
      </c>
      <c r="C12" s="11"/>
      <c r="D12" s="70"/>
      <c r="E12" s="23"/>
      <c r="F12" s="21"/>
      <c r="G12" s="14"/>
      <c r="H12" s="14"/>
      <c r="I12" s="21"/>
      <c r="J12" s="14"/>
      <c r="K12" s="14"/>
      <c r="L12" s="51"/>
      <c r="M12" s="14"/>
      <c r="N12" s="14"/>
      <c r="O12" s="14"/>
      <c r="P12" s="41"/>
      <c r="Q12" s="14"/>
      <c r="R12" s="14"/>
      <c r="S12" s="14"/>
      <c r="T12" s="43">
        <f>Ranking!AU12</f>
        <v>1</v>
      </c>
      <c r="U12" s="23"/>
      <c r="Y12" s="3"/>
      <c r="Z12" s="33"/>
    </row>
    <row r="13" spans="1:29" ht="54" customHeight="1" x14ac:dyDescent="0.25">
      <c r="A13" s="36"/>
      <c r="B13" s="22" t="s">
        <v>19</v>
      </c>
      <c r="C13" s="11"/>
      <c r="D13" s="70"/>
      <c r="E13" s="23"/>
      <c r="F13" s="21"/>
      <c r="G13" s="14"/>
      <c r="H13" s="14"/>
      <c r="I13" s="21"/>
      <c r="J13" s="14"/>
      <c r="K13" s="14"/>
      <c r="L13" s="51"/>
      <c r="M13" s="14"/>
      <c r="N13" s="14"/>
      <c r="O13" s="14"/>
      <c r="P13" s="41"/>
      <c r="Q13" s="14"/>
      <c r="R13" s="14"/>
      <c r="S13" s="14"/>
      <c r="T13" s="43">
        <f>Ranking!AU13</f>
        <v>1</v>
      </c>
      <c r="U13" s="23"/>
      <c r="Y13" s="3"/>
      <c r="Z13" s="33"/>
    </row>
    <row r="14" spans="1:29" ht="54" customHeight="1" x14ac:dyDescent="0.25">
      <c r="A14" s="36"/>
      <c r="B14" s="22" t="s">
        <v>20</v>
      </c>
      <c r="C14" s="11"/>
      <c r="D14" s="70"/>
      <c r="E14" s="23"/>
      <c r="F14" s="21"/>
      <c r="G14" s="14"/>
      <c r="H14" s="14"/>
      <c r="I14" s="21"/>
      <c r="J14" s="14"/>
      <c r="K14" s="14"/>
      <c r="L14" s="51"/>
      <c r="M14" s="14"/>
      <c r="N14" s="14"/>
      <c r="O14" s="14"/>
      <c r="P14" s="41"/>
      <c r="Q14" s="14"/>
      <c r="R14" s="14"/>
      <c r="S14" s="14"/>
      <c r="T14" s="43">
        <f>Ranking!AU14</f>
        <v>1</v>
      </c>
      <c r="U14" s="23"/>
      <c r="Y14" s="3"/>
      <c r="Z14" s="33"/>
    </row>
    <row r="15" spans="1:29" ht="54" customHeight="1" x14ac:dyDescent="0.25">
      <c r="A15" s="36"/>
      <c r="B15" s="22" t="s">
        <v>21</v>
      </c>
      <c r="C15" s="11"/>
      <c r="D15" s="70"/>
      <c r="E15" s="23"/>
      <c r="F15" s="21"/>
      <c r="G15" s="14"/>
      <c r="H15" s="14"/>
      <c r="I15" s="21"/>
      <c r="J15" s="14"/>
      <c r="K15" s="14"/>
      <c r="L15" s="51"/>
      <c r="M15" s="14"/>
      <c r="N15" s="14"/>
      <c r="O15" s="14"/>
      <c r="P15" s="41"/>
      <c r="Q15" s="14"/>
      <c r="R15" s="14"/>
      <c r="S15" s="14"/>
      <c r="T15" s="43">
        <f>Ranking!AU15</f>
        <v>1</v>
      </c>
      <c r="U15" s="23"/>
      <c r="Y15" s="3"/>
      <c r="Z15" s="33"/>
    </row>
    <row r="16" spans="1:29" ht="54" customHeight="1" x14ac:dyDescent="0.25">
      <c r="A16" s="36"/>
      <c r="B16" s="22" t="s">
        <v>22</v>
      </c>
      <c r="C16" s="11"/>
      <c r="D16" s="70"/>
      <c r="E16" s="23"/>
      <c r="F16" s="21"/>
      <c r="G16" s="14"/>
      <c r="H16" s="14"/>
      <c r="I16" s="21"/>
      <c r="J16" s="14"/>
      <c r="K16" s="14"/>
      <c r="L16" s="51"/>
      <c r="M16" s="14"/>
      <c r="N16" s="14"/>
      <c r="O16" s="14"/>
      <c r="P16" s="41"/>
      <c r="Q16" s="14"/>
      <c r="R16" s="14"/>
      <c r="S16" s="14"/>
      <c r="T16" s="43">
        <f>Ranking!AU16</f>
        <v>1</v>
      </c>
      <c r="U16" s="23"/>
      <c r="Y16" s="3"/>
      <c r="Z16" s="33"/>
    </row>
    <row r="17" spans="1:26" ht="54" customHeight="1" x14ac:dyDescent="0.25">
      <c r="A17" s="36"/>
      <c r="B17" s="22" t="s">
        <v>23</v>
      </c>
      <c r="C17" s="11"/>
      <c r="D17" s="70"/>
      <c r="E17" s="29"/>
      <c r="F17" s="21"/>
      <c r="G17" s="14"/>
      <c r="H17" s="14"/>
      <c r="I17" s="21"/>
      <c r="J17" s="14"/>
      <c r="K17" s="14"/>
      <c r="L17" s="51"/>
      <c r="M17" s="14"/>
      <c r="N17" s="14"/>
      <c r="O17" s="14"/>
      <c r="P17" s="41"/>
      <c r="Q17" s="14"/>
      <c r="R17" s="14"/>
      <c r="S17" s="14"/>
      <c r="T17" s="43">
        <f>Ranking!AU17</f>
        <v>1</v>
      </c>
      <c r="U17" s="23"/>
      <c r="Y17" s="3"/>
      <c r="Z17" s="33"/>
    </row>
    <row r="18" spans="1:26" ht="54" customHeight="1" x14ac:dyDescent="0.25">
      <c r="A18" s="36"/>
      <c r="B18" s="22" t="s">
        <v>24</v>
      </c>
      <c r="C18" s="11"/>
      <c r="D18" s="70"/>
      <c r="E18" s="23"/>
      <c r="F18" s="21"/>
      <c r="G18" s="14"/>
      <c r="H18" s="14"/>
      <c r="I18" s="21"/>
      <c r="J18" s="14"/>
      <c r="K18" s="14"/>
      <c r="L18" s="51"/>
      <c r="M18" s="14"/>
      <c r="N18" s="14"/>
      <c r="O18" s="14"/>
      <c r="P18" s="41"/>
      <c r="Q18" s="14"/>
      <c r="R18" s="14"/>
      <c r="S18" s="14"/>
      <c r="T18" s="43">
        <f>Ranking!AU18</f>
        <v>1</v>
      </c>
      <c r="U18" s="23"/>
      <c r="Y18" s="3"/>
      <c r="Z18" s="33"/>
    </row>
    <row r="19" spans="1:26" ht="54" customHeight="1" x14ac:dyDescent="0.25">
      <c r="A19" s="36"/>
      <c r="B19" s="22" t="s">
        <v>25</v>
      </c>
      <c r="C19" s="11"/>
      <c r="D19" s="70"/>
      <c r="E19" s="23"/>
      <c r="F19" s="21"/>
      <c r="G19" s="14"/>
      <c r="H19" s="14"/>
      <c r="I19" s="21"/>
      <c r="J19" s="14"/>
      <c r="K19" s="14"/>
      <c r="L19" s="51"/>
      <c r="M19" s="14"/>
      <c r="N19" s="14"/>
      <c r="O19" s="14"/>
      <c r="P19" s="41"/>
      <c r="Q19" s="14"/>
      <c r="R19" s="14"/>
      <c r="S19" s="14"/>
      <c r="T19" s="43">
        <f>Ranking!AU19</f>
        <v>1</v>
      </c>
      <c r="U19" s="23"/>
      <c r="Y19" s="3"/>
      <c r="Z19" s="33"/>
    </row>
    <row r="20" spans="1:26" ht="54" customHeight="1" x14ac:dyDescent="0.25">
      <c r="A20" s="36"/>
      <c r="B20" s="22" t="s">
        <v>26</v>
      </c>
      <c r="C20" s="11"/>
      <c r="D20" s="70"/>
      <c r="E20" s="23"/>
      <c r="F20" s="21"/>
      <c r="G20" s="14"/>
      <c r="H20" s="14"/>
      <c r="I20" s="21"/>
      <c r="J20" s="14"/>
      <c r="K20" s="14"/>
      <c r="L20" s="51"/>
      <c r="M20" s="14"/>
      <c r="N20" s="14"/>
      <c r="O20" s="14"/>
      <c r="P20" s="41"/>
      <c r="Q20" s="14"/>
      <c r="R20" s="14"/>
      <c r="S20" s="14"/>
      <c r="T20" s="43">
        <f>Ranking!AU20</f>
        <v>1</v>
      </c>
      <c r="U20" s="23"/>
      <c r="Y20" s="3"/>
      <c r="Z20" s="33"/>
    </row>
    <row r="21" spans="1:26" ht="54" customHeight="1" x14ac:dyDescent="0.25">
      <c r="A21" s="36"/>
      <c r="B21" s="22" t="s">
        <v>27</v>
      </c>
      <c r="C21" s="11"/>
      <c r="D21" s="70"/>
      <c r="E21" s="23"/>
      <c r="F21" s="21"/>
      <c r="G21" s="14"/>
      <c r="H21" s="14"/>
      <c r="I21" s="21"/>
      <c r="J21" s="14"/>
      <c r="K21" s="14"/>
      <c r="L21" s="51"/>
      <c r="M21" s="14"/>
      <c r="N21" s="14"/>
      <c r="O21" s="14"/>
      <c r="P21" s="41"/>
      <c r="Q21" s="14"/>
      <c r="R21" s="14"/>
      <c r="S21" s="14"/>
      <c r="T21" s="43">
        <f>Ranking!AU21</f>
        <v>1</v>
      </c>
      <c r="U21" s="23"/>
      <c r="Y21" s="3"/>
      <c r="Z21" s="33"/>
    </row>
    <row r="22" spans="1:26" ht="54" customHeight="1" x14ac:dyDescent="0.25">
      <c r="A22" s="36"/>
      <c r="B22" s="22" t="s">
        <v>28</v>
      </c>
      <c r="C22" s="11"/>
      <c r="D22" s="70"/>
      <c r="E22" s="23"/>
      <c r="F22" s="21"/>
      <c r="G22" s="21"/>
      <c r="H22" s="21"/>
      <c r="I22" s="21"/>
      <c r="J22" s="14"/>
      <c r="K22" s="14"/>
      <c r="L22" s="51"/>
      <c r="M22" s="14"/>
      <c r="N22" s="14"/>
      <c r="O22" s="14"/>
      <c r="P22" s="41"/>
      <c r="Q22" s="14"/>
      <c r="R22" s="14"/>
      <c r="S22" s="14"/>
      <c r="T22" s="43">
        <f>Ranking!AU22</f>
        <v>1</v>
      </c>
      <c r="U22" s="23"/>
      <c r="Y22" s="3"/>
      <c r="Z22" s="33"/>
    </row>
    <row r="23" spans="1:26" ht="54" customHeight="1" x14ac:dyDescent="0.25">
      <c r="A23" s="36"/>
      <c r="B23" s="22" t="s">
        <v>29</v>
      </c>
      <c r="C23" s="27"/>
      <c r="D23" s="71"/>
      <c r="E23" s="23"/>
      <c r="F23" s="21"/>
      <c r="G23" s="14"/>
      <c r="H23" s="14"/>
      <c r="I23" s="21"/>
      <c r="J23" s="14"/>
      <c r="K23" s="14"/>
      <c r="L23" s="51"/>
      <c r="M23" s="14"/>
      <c r="N23" s="14"/>
      <c r="O23" s="14"/>
      <c r="P23" s="41"/>
      <c r="Q23" s="14"/>
      <c r="R23" s="14"/>
      <c r="S23" s="14"/>
      <c r="T23" s="43">
        <f>Ranking!AU23</f>
        <v>1</v>
      </c>
      <c r="U23" s="23"/>
      <c r="Y23" s="3"/>
      <c r="Z23" s="33"/>
    </row>
    <row r="24" spans="1:26" ht="54" customHeight="1" x14ac:dyDescent="0.25">
      <c r="A24" s="36"/>
      <c r="B24" s="22" t="s">
        <v>30</v>
      </c>
      <c r="C24" s="11"/>
      <c r="D24" s="70"/>
      <c r="E24" s="23"/>
      <c r="F24" s="21"/>
      <c r="G24" s="14"/>
      <c r="H24" s="14"/>
      <c r="I24" s="21"/>
      <c r="J24" s="21"/>
      <c r="K24" s="14"/>
      <c r="L24" s="51"/>
      <c r="M24" s="14"/>
      <c r="N24" s="14"/>
      <c r="O24" s="14"/>
      <c r="P24" s="41"/>
      <c r="Q24" s="14"/>
      <c r="R24" s="14"/>
      <c r="S24" s="14"/>
      <c r="T24" s="43">
        <f>Ranking!AU24</f>
        <v>1</v>
      </c>
      <c r="U24" s="23"/>
      <c r="Y24" s="3"/>
      <c r="Z24" s="33"/>
    </row>
    <row r="25" spans="1:26" ht="54" customHeight="1" x14ac:dyDescent="0.25">
      <c r="A25" s="36"/>
      <c r="B25" s="22" t="s">
        <v>31</v>
      </c>
      <c r="C25" s="11"/>
      <c r="D25" s="70"/>
      <c r="E25" s="23"/>
      <c r="F25" s="21"/>
      <c r="G25" s="14"/>
      <c r="H25" s="14"/>
      <c r="I25" s="21"/>
      <c r="J25" s="14"/>
      <c r="K25" s="14"/>
      <c r="L25" s="51"/>
      <c r="M25" s="14"/>
      <c r="N25" s="14"/>
      <c r="O25" s="14"/>
      <c r="P25" s="41"/>
      <c r="Q25" s="14"/>
      <c r="R25" s="14"/>
      <c r="S25" s="14"/>
      <c r="T25" s="43">
        <f>Ranking!AU25</f>
        <v>1</v>
      </c>
      <c r="U25" s="23"/>
      <c r="Y25" s="3"/>
      <c r="Z25" s="33"/>
    </row>
    <row r="26" spans="1:26" ht="54" customHeight="1" x14ac:dyDescent="0.25">
      <c r="A26" s="36"/>
      <c r="B26" s="22" t="s">
        <v>32</v>
      </c>
      <c r="C26" s="11"/>
      <c r="D26" s="70"/>
      <c r="E26" s="23"/>
      <c r="F26" s="21"/>
      <c r="G26" s="14"/>
      <c r="H26" s="14"/>
      <c r="I26" s="21"/>
      <c r="J26" s="14"/>
      <c r="K26" s="14"/>
      <c r="L26" s="51"/>
      <c r="M26" s="14"/>
      <c r="N26" s="14"/>
      <c r="O26" s="14"/>
      <c r="P26" s="41"/>
      <c r="Q26" s="14"/>
      <c r="R26" s="14"/>
      <c r="S26" s="14"/>
      <c r="T26" s="43">
        <f>Ranking!AU26</f>
        <v>1</v>
      </c>
      <c r="U26" s="23"/>
      <c r="Y26" s="3"/>
      <c r="Z26" s="33"/>
    </row>
    <row r="27" spans="1:26" ht="54" customHeight="1" x14ac:dyDescent="0.25">
      <c r="A27" s="36"/>
      <c r="B27" s="22" t="s">
        <v>33</v>
      </c>
      <c r="C27" s="11"/>
      <c r="D27" s="70"/>
      <c r="E27" s="23"/>
      <c r="F27" s="21"/>
      <c r="G27" s="14"/>
      <c r="H27" s="14"/>
      <c r="I27" s="21"/>
      <c r="J27" s="14"/>
      <c r="K27" s="14"/>
      <c r="L27" s="51"/>
      <c r="M27" s="14"/>
      <c r="N27" s="14"/>
      <c r="O27" s="14"/>
      <c r="P27" s="41"/>
      <c r="Q27" s="14"/>
      <c r="R27" s="14"/>
      <c r="S27" s="14"/>
      <c r="T27" s="43">
        <f>Ranking!AU27</f>
        <v>1</v>
      </c>
      <c r="U27" s="23"/>
      <c r="Y27" s="3"/>
      <c r="Z27" s="33"/>
    </row>
    <row r="28" spans="1:26" ht="54" customHeight="1" x14ac:dyDescent="0.25">
      <c r="A28" s="36"/>
      <c r="B28" s="22" t="s">
        <v>34</v>
      </c>
      <c r="C28" s="11"/>
      <c r="D28" s="70"/>
      <c r="E28" s="23"/>
      <c r="F28" s="21"/>
      <c r="G28" s="14"/>
      <c r="H28" s="14"/>
      <c r="I28" s="21"/>
      <c r="J28" s="14"/>
      <c r="K28" s="14"/>
      <c r="L28" s="51"/>
      <c r="M28" s="14"/>
      <c r="N28" s="14"/>
      <c r="O28" s="14"/>
      <c r="P28" s="41"/>
      <c r="Q28" s="14"/>
      <c r="R28" s="14"/>
      <c r="S28" s="14"/>
      <c r="T28" s="43">
        <f>Ranking!AU28</f>
        <v>1</v>
      </c>
      <c r="U28" s="23"/>
      <c r="Y28" s="3"/>
      <c r="Z28" s="33"/>
    </row>
    <row r="29" spans="1:26" ht="54" customHeight="1" x14ac:dyDescent="0.25">
      <c r="A29" s="36"/>
      <c r="B29" s="22" t="s">
        <v>35</v>
      </c>
      <c r="C29" s="11"/>
      <c r="D29" s="70"/>
      <c r="E29" s="23"/>
      <c r="F29" s="21"/>
      <c r="G29" s="14"/>
      <c r="H29" s="14"/>
      <c r="I29" s="21"/>
      <c r="J29" s="14"/>
      <c r="K29" s="14"/>
      <c r="L29" s="51"/>
      <c r="M29" s="14"/>
      <c r="N29" s="14"/>
      <c r="O29" s="14"/>
      <c r="P29" s="41"/>
      <c r="Q29" s="14"/>
      <c r="R29" s="14"/>
      <c r="S29" s="14"/>
      <c r="T29" s="43">
        <f>Ranking!AU29</f>
        <v>1</v>
      </c>
      <c r="U29" s="23"/>
      <c r="Y29" s="3"/>
      <c r="Z29" s="33"/>
    </row>
    <row r="30" spans="1:26" ht="54" customHeight="1" x14ac:dyDescent="0.25">
      <c r="A30" s="36"/>
      <c r="B30" s="22" t="s">
        <v>36</v>
      </c>
      <c r="C30" s="11"/>
      <c r="D30" s="70"/>
      <c r="E30" s="23"/>
      <c r="F30" s="21"/>
      <c r="G30" s="14"/>
      <c r="H30" s="14"/>
      <c r="I30" s="14"/>
      <c r="J30" s="14"/>
      <c r="K30" s="14"/>
      <c r="L30" s="51"/>
      <c r="M30" s="14"/>
      <c r="N30" s="14"/>
      <c r="O30" s="14"/>
      <c r="P30" s="41"/>
      <c r="Q30" s="14"/>
      <c r="R30" s="14"/>
      <c r="S30" s="14"/>
      <c r="T30" s="43">
        <f>Ranking!AU30</f>
        <v>1</v>
      </c>
      <c r="U30" s="23"/>
      <c r="Y30" s="3"/>
      <c r="Z30" s="33"/>
    </row>
    <row r="31" spans="1:26" ht="54" customHeight="1" x14ac:dyDescent="0.25">
      <c r="A31" s="36"/>
      <c r="B31" s="22" t="s">
        <v>37</v>
      </c>
      <c r="C31" s="11"/>
      <c r="D31" s="70"/>
      <c r="E31" s="23"/>
      <c r="F31" s="21"/>
      <c r="G31" s="14"/>
      <c r="H31" s="14"/>
      <c r="I31" s="14"/>
      <c r="J31" s="14"/>
      <c r="K31" s="14"/>
      <c r="L31" s="51"/>
      <c r="M31" s="14"/>
      <c r="N31" s="14"/>
      <c r="O31" s="14"/>
      <c r="P31" s="41"/>
      <c r="Q31" s="14"/>
      <c r="R31" s="14"/>
      <c r="S31" s="14"/>
      <c r="T31" s="43">
        <f>Ranking!AU31</f>
        <v>1</v>
      </c>
      <c r="U31" s="23"/>
      <c r="Y31" s="3"/>
      <c r="Z31" s="33"/>
    </row>
    <row r="32" spans="1:26" ht="54" customHeight="1" x14ac:dyDescent="0.25">
      <c r="A32" s="36"/>
      <c r="B32" s="22" t="s">
        <v>38</v>
      </c>
      <c r="C32" s="11"/>
      <c r="D32" s="70"/>
      <c r="E32" s="23"/>
      <c r="F32" s="21"/>
      <c r="G32" s="14"/>
      <c r="H32" s="14"/>
      <c r="I32" s="14"/>
      <c r="J32" s="14"/>
      <c r="K32" s="14"/>
      <c r="L32" s="51"/>
      <c r="M32" s="14"/>
      <c r="N32" s="14"/>
      <c r="O32" s="14"/>
      <c r="P32" s="41"/>
      <c r="Q32" s="14"/>
      <c r="R32" s="14"/>
      <c r="S32" s="14"/>
      <c r="T32" s="43">
        <f>Ranking!AU32</f>
        <v>1</v>
      </c>
      <c r="U32" s="23"/>
      <c r="Y32" s="3"/>
      <c r="Z32" s="33"/>
    </row>
    <row r="33" spans="1:26" ht="54" customHeight="1" x14ac:dyDescent="0.25">
      <c r="A33" s="36"/>
      <c r="B33" s="22" t="s">
        <v>39</v>
      </c>
      <c r="C33" s="11"/>
      <c r="D33" s="70"/>
      <c r="E33" s="23"/>
      <c r="F33" s="21"/>
      <c r="G33" s="14"/>
      <c r="H33" s="14"/>
      <c r="I33" s="14"/>
      <c r="J33" s="14"/>
      <c r="K33" s="14"/>
      <c r="L33" s="51"/>
      <c r="M33" s="14"/>
      <c r="N33" s="14"/>
      <c r="O33" s="14"/>
      <c r="P33" s="41"/>
      <c r="Q33" s="14"/>
      <c r="R33" s="14"/>
      <c r="S33" s="14"/>
      <c r="T33" s="43">
        <f>Ranking!AU33</f>
        <v>1</v>
      </c>
      <c r="U33" s="23"/>
      <c r="Y33" s="3"/>
      <c r="Z33" s="33"/>
    </row>
    <row r="34" spans="1:26" ht="54" customHeight="1" x14ac:dyDescent="0.25">
      <c r="A34" s="36"/>
      <c r="B34" s="22" t="s">
        <v>40</v>
      </c>
      <c r="C34" s="11"/>
      <c r="D34" s="70"/>
      <c r="E34" s="23"/>
      <c r="F34" s="21"/>
      <c r="G34" s="14"/>
      <c r="H34" s="14"/>
      <c r="I34" s="14"/>
      <c r="J34" s="14"/>
      <c r="K34" s="14"/>
      <c r="L34" s="51"/>
      <c r="M34" s="14"/>
      <c r="N34" s="14"/>
      <c r="O34" s="14"/>
      <c r="P34" s="41"/>
      <c r="Q34" s="14"/>
      <c r="R34" s="14"/>
      <c r="S34" s="14"/>
      <c r="T34" s="43">
        <f>Ranking!AU34</f>
        <v>1</v>
      </c>
      <c r="U34" s="23"/>
      <c r="Y34" s="3"/>
      <c r="Z34" s="33"/>
    </row>
    <row r="35" spans="1:26" ht="54" customHeight="1" x14ac:dyDescent="0.25">
      <c r="A35" s="36"/>
      <c r="B35" s="22" t="s">
        <v>41</v>
      </c>
      <c r="C35" s="11"/>
      <c r="D35" s="70"/>
      <c r="E35" s="23"/>
      <c r="F35" s="21"/>
      <c r="G35" s="14"/>
      <c r="H35" s="14"/>
      <c r="I35" s="14"/>
      <c r="J35" s="14"/>
      <c r="K35" s="14"/>
      <c r="L35" s="51"/>
      <c r="M35" s="14"/>
      <c r="N35" s="14"/>
      <c r="O35" s="14"/>
      <c r="P35" s="41"/>
      <c r="Q35" s="14"/>
      <c r="R35" s="14"/>
      <c r="S35" s="14"/>
      <c r="T35" s="43">
        <f>Ranking!AU35</f>
        <v>1</v>
      </c>
      <c r="U35" s="23"/>
      <c r="Y35" s="3"/>
      <c r="Z35" s="33"/>
    </row>
    <row r="36" spans="1:26" ht="54" customHeight="1" x14ac:dyDescent="0.25">
      <c r="A36" s="36"/>
      <c r="B36" s="22" t="s">
        <v>42</v>
      </c>
      <c r="C36" s="11"/>
      <c r="D36" s="70"/>
      <c r="E36" s="23"/>
      <c r="F36" s="21"/>
      <c r="G36" s="14"/>
      <c r="H36" s="14"/>
      <c r="I36" s="14"/>
      <c r="J36" s="14"/>
      <c r="K36" s="14"/>
      <c r="L36" s="51"/>
      <c r="M36" s="14"/>
      <c r="N36" s="14"/>
      <c r="O36" s="14"/>
      <c r="P36" s="41"/>
      <c r="Q36" s="14"/>
      <c r="R36" s="14"/>
      <c r="S36" s="14"/>
      <c r="T36" s="43">
        <f>Ranking!AU36</f>
        <v>1</v>
      </c>
      <c r="U36" s="23"/>
      <c r="Y36" s="3"/>
      <c r="Z36" s="33"/>
    </row>
    <row r="37" spans="1:26" ht="54" customHeight="1" x14ac:dyDescent="0.25">
      <c r="A37" s="36"/>
      <c r="B37" s="22" t="s">
        <v>43</v>
      </c>
      <c r="C37" s="11"/>
      <c r="D37" s="70"/>
      <c r="E37" s="23"/>
      <c r="F37" s="21"/>
      <c r="G37" s="14"/>
      <c r="H37" s="14"/>
      <c r="I37" s="14"/>
      <c r="J37" s="14"/>
      <c r="K37" s="14"/>
      <c r="L37" s="51"/>
      <c r="M37" s="14"/>
      <c r="N37" s="14"/>
      <c r="O37" s="14"/>
      <c r="P37" s="41"/>
      <c r="Q37" s="14"/>
      <c r="R37" s="14"/>
      <c r="S37" s="14"/>
      <c r="T37" s="43">
        <f>Ranking!AU37</f>
        <v>1</v>
      </c>
      <c r="U37" s="23"/>
      <c r="Y37" s="3"/>
      <c r="Z37" s="33"/>
    </row>
    <row r="38" spans="1:26" ht="54" customHeight="1" x14ac:dyDescent="0.25">
      <c r="A38" s="36"/>
      <c r="B38" s="22" t="s">
        <v>44</v>
      </c>
      <c r="C38" s="11"/>
      <c r="D38" s="70"/>
      <c r="E38" s="23"/>
      <c r="F38" s="21"/>
      <c r="G38" s="14"/>
      <c r="H38" s="14"/>
      <c r="I38" s="14"/>
      <c r="J38" s="14"/>
      <c r="K38" s="14"/>
      <c r="L38" s="51"/>
      <c r="M38" s="14"/>
      <c r="N38" s="14"/>
      <c r="O38" s="14"/>
      <c r="P38" s="41"/>
      <c r="Q38" s="14"/>
      <c r="R38" s="14"/>
      <c r="S38" s="14"/>
      <c r="T38" s="43">
        <f>Ranking!AU38</f>
        <v>1</v>
      </c>
      <c r="U38" s="23"/>
      <c r="Y38" s="3"/>
      <c r="Z38" s="33"/>
    </row>
    <row r="39" spans="1:26" ht="54" customHeight="1" x14ac:dyDescent="0.25">
      <c r="A39" s="36"/>
      <c r="B39" s="22" t="s">
        <v>45</v>
      </c>
      <c r="C39" s="11"/>
      <c r="D39" s="70"/>
      <c r="E39" s="23"/>
      <c r="F39" s="21"/>
      <c r="G39" s="14"/>
      <c r="H39" s="14"/>
      <c r="I39" s="14"/>
      <c r="J39" s="14"/>
      <c r="K39" s="14"/>
      <c r="L39" s="51"/>
      <c r="M39" s="14"/>
      <c r="N39" s="14"/>
      <c r="O39" s="14"/>
      <c r="P39" s="41"/>
      <c r="Q39" s="14"/>
      <c r="R39" s="14"/>
      <c r="S39" s="14"/>
      <c r="T39" s="43">
        <f>Ranking!AU39</f>
        <v>1</v>
      </c>
      <c r="U39" s="23"/>
      <c r="Y39" s="3"/>
      <c r="Z39" s="33"/>
    </row>
    <row r="40" spans="1:26" ht="54" customHeight="1" x14ac:dyDescent="0.25">
      <c r="A40" s="36"/>
      <c r="B40" s="22" t="s">
        <v>46</v>
      </c>
      <c r="C40" s="11"/>
      <c r="D40" s="70"/>
      <c r="E40" s="23"/>
      <c r="F40" s="21"/>
      <c r="G40" s="14"/>
      <c r="H40" s="14"/>
      <c r="I40" s="14"/>
      <c r="J40" s="14"/>
      <c r="K40" s="14"/>
      <c r="L40" s="51"/>
      <c r="M40" s="14"/>
      <c r="N40" s="14"/>
      <c r="O40" s="14"/>
      <c r="P40" s="41"/>
      <c r="Q40" s="14"/>
      <c r="R40" s="14"/>
      <c r="S40" s="14"/>
      <c r="T40" s="43">
        <f>Ranking!AU40</f>
        <v>1</v>
      </c>
      <c r="U40" s="23"/>
      <c r="Y40" s="3"/>
      <c r="Z40" s="33"/>
    </row>
    <row r="41" spans="1:26" ht="54" customHeight="1" x14ac:dyDescent="0.25">
      <c r="B41" s="22" t="s">
        <v>47</v>
      </c>
      <c r="C41" s="11"/>
      <c r="D41" s="70"/>
      <c r="E41" s="23"/>
      <c r="F41" s="21"/>
      <c r="G41" s="14"/>
      <c r="H41" s="14"/>
      <c r="I41" s="14"/>
      <c r="J41" s="14"/>
      <c r="K41" s="14"/>
      <c r="L41" s="51"/>
      <c r="M41" s="14"/>
      <c r="N41" s="14"/>
      <c r="O41" s="14"/>
      <c r="P41" s="41"/>
      <c r="Q41" s="14"/>
      <c r="R41" s="14"/>
      <c r="S41" s="14"/>
      <c r="T41" s="43">
        <f>Ranking!AU41</f>
        <v>1</v>
      </c>
      <c r="U41" s="23"/>
      <c r="Y41" s="3"/>
      <c r="Z41" s="33"/>
    </row>
    <row r="42" spans="1:26" ht="54" customHeight="1" x14ac:dyDescent="0.25">
      <c r="B42" s="22" t="s">
        <v>48</v>
      </c>
      <c r="C42" s="11"/>
      <c r="D42" s="70"/>
      <c r="E42" s="23"/>
      <c r="F42" s="21"/>
      <c r="G42" s="21"/>
      <c r="H42" s="21"/>
      <c r="I42" s="21"/>
      <c r="J42" s="21"/>
      <c r="K42" s="21"/>
      <c r="L42" s="52"/>
      <c r="M42" s="14"/>
      <c r="N42" s="14"/>
      <c r="O42" s="14"/>
      <c r="P42" s="41"/>
      <c r="Q42" s="14"/>
      <c r="R42" s="14"/>
      <c r="S42" s="14"/>
      <c r="T42" s="43">
        <f>Ranking!AU42</f>
        <v>1</v>
      </c>
      <c r="U42" s="23"/>
      <c r="Y42" s="3"/>
      <c r="Z42" s="33"/>
    </row>
    <row r="43" spans="1:26" ht="54" customHeight="1" x14ac:dyDescent="0.25">
      <c r="B43" s="22" t="s">
        <v>49</v>
      </c>
      <c r="C43" s="11"/>
      <c r="D43" s="70"/>
      <c r="E43" s="23"/>
      <c r="F43" s="21"/>
      <c r="G43" s="14"/>
      <c r="H43" s="14"/>
      <c r="I43" s="14"/>
      <c r="J43" s="14"/>
      <c r="K43" s="21"/>
      <c r="L43" s="51"/>
      <c r="M43" s="14"/>
      <c r="N43" s="14"/>
      <c r="O43" s="14"/>
      <c r="P43" s="41"/>
      <c r="Q43" s="14"/>
      <c r="R43" s="14"/>
      <c r="S43" s="14"/>
      <c r="T43" s="43">
        <f>Ranking!AU43</f>
        <v>1</v>
      </c>
      <c r="U43" s="23"/>
      <c r="Y43" s="3"/>
      <c r="Z43" s="33"/>
    </row>
    <row r="44" spans="1:26" ht="54" customHeight="1" x14ac:dyDescent="0.25">
      <c r="B44" s="22" t="s">
        <v>50</v>
      </c>
      <c r="C44" s="11"/>
      <c r="D44" s="70"/>
      <c r="E44" s="23"/>
      <c r="F44" s="21"/>
      <c r="G44" s="14"/>
      <c r="H44" s="14"/>
      <c r="I44" s="21"/>
      <c r="J44" s="21"/>
      <c r="K44" s="21"/>
      <c r="L44" s="51"/>
      <c r="M44" s="14"/>
      <c r="N44" s="14"/>
      <c r="O44" s="14"/>
      <c r="P44" s="41"/>
      <c r="Q44" s="14"/>
      <c r="R44" s="14"/>
      <c r="S44" s="14"/>
      <c r="T44" s="43">
        <f>Ranking!AU44</f>
        <v>1</v>
      </c>
      <c r="U44" s="23"/>
      <c r="Y44" s="3"/>
      <c r="Z44" s="33"/>
    </row>
    <row r="45" spans="1:26" ht="54" customHeight="1" x14ac:dyDescent="0.25">
      <c r="B45" s="22" t="s">
        <v>51</v>
      </c>
      <c r="C45" s="11"/>
      <c r="D45" s="70"/>
      <c r="E45" s="23"/>
      <c r="F45" s="21"/>
      <c r="G45" s="21"/>
      <c r="H45" s="14"/>
      <c r="I45" s="21"/>
      <c r="J45" s="21"/>
      <c r="K45" s="21"/>
      <c r="L45" s="51"/>
      <c r="M45" s="14"/>
      <c r="N45" s="14"/>
      <c r="O45" s="14"/>
      <c r="P45" s="41"/>
      <c r="Q45" s="14"/>
      <c r="R45" s="14"/>
      <c r="S45" s="14"/>
      <c r="T45" s="43">
        <f>Ranking!AU45</f>
        <v>1</v>
      </c>
      <c r="U45" s="23"/>
      <c r="Y45" s="3"/>
      <c r="Z45" s="33"/>
    </row>
    <row r="46" spans="1:26" ht="54" customHeight="1" x14ac:dyDescent="0.25">
      <c r="B46" s="22" t="s">
        <v>52</v>
      </c>
      <c r="C46" s="11"/>
      <c r="D46" s="70"/>
      <c r="E46" s="23"/>
      <c r="F46" s="21"/>
      <c r="G46" s="14"/>
      <c r="H46" s="14"/>
      <c r="I46" s="21"/>
      <c r="J46" s="21"/>
      <c r="K46" s="21"/>
      <c r="L46" s="51"/>
      <c r="M46" s="14"/>
      <c r="N46" s="14"/>
      <c r="O46" s="14"/>
      <c r="P46" s="41"/>
      <c r="Q46" s="14"/>
      <c r="R46" s="14"/>
      <c r="S46" s="14"/>
      <c r="T46" s="43">
        <f>Ranking!AU46</f>
        <v>1</v>
      </c>
      <c r="U46" s="23"/>
      <c r="Y46" s="3"/>
      <c r="Z46" s="33"/>
    </row>
    <row r="47" spans="1:26" ht="54" customHeight="1" x14ac:dyDescent="0.25">
      <c r="B47" s="22" t="s">
        <v>53</v>
      </c>
      <c r="C47" s="11"/>
      <c r="D47" s="70"/>
      <c r="E47" s="23"/>
      <c r="F47" s="21"/>
      <c r="G47" s="14"/>
      <c r="H47" s="14"/>
      <c r="I47" s="21"/>
      <c r="J47" s="21"/>
      <c r="K47" s="21"/>
      <c r="L47" s="51"/>
      <c r="M47" s="14"/>
      <c r="N47" s="14"/>
      <c r="O47" s="14"/>
      <c r="P47" s="41"/>
      <c r="Q47" s="14"/>
      <c r="R47" s="14"/>
      <c r="S47" s="14"/>
      <c r="T47" s="43">
        <f>Ranking!AU47</f>
        <v>1</v>
      </c>
      <c r="U47" s="23"/>
      <c r="Y47" s="3"/>
      <c r="Z47" s="33"/>
    </row>
    <row r="48" spans="1:26" ht="54" customHeight="1" x14ac:dyDescent="0.25">
      <c r="B48" s="22" t="s">
        <v>54</v>
      </c>
      <c r="C48" s="11"/>
      <c r="D48" s="70"/>
      <c r="E48" s="23"/>
      <c r="F48" s="21"/>
      <c r="G48" s="21"/>
      <c r="H48" s="21"/>
      <c r="I48" s="21"/>
      <c r="J48" s="21"/>
      <c r="K48" s="21"/>
      <c r="L48" s="51"/>
      <c r="M48" s="14"/>
      <c r="N48" s="14"/>
      <c r="O48" s="14"/>
      <c r="P48" s="41"/>
      <c r="Q48" s="14"/>
      <c r="R48" s="14"/>
      <c r="S48" s="14"/>
      <c r="T48" s="43">
        <f>Ranking!AU48</f>
        <v>1</v>
      </c>
      <c r="U48" s="23"/>
      <c r="Y48" s="3"/>
      <c r="Z48" s="33"/>
    </row>
    <row r="49" spans="1:26" ht="54" customHeight="1" x14ac:dyDescent="0.25">
      <c r="B49" s="22" t="s">
        <v>55</v>
      </c>
      <c r="C49" s="11"/>
      <c r="D49" s="70"/>
      <c r="E49" s="23"/>
      <c r="F49" s="21"/>
      <c r="G49" s="21"/>
      <c r="H49" s="21"/>
      <c r="I49" s="21"/>
      <c r="J49" s="21"/>
      <c r="K49" s="21"/>
      <c r="L49" s="51"/>
      <c r="M49" s="14"/>
      <c r="N49" s="14"/>
      <c r="O49" s="14"/>
      <c r="P49" s="41"/>
      <c r="Q49" s="14"/>
      <c r="R49" s="14"/>
      <c r="S49" s="14"/>
      <c r="T49" s="43">
        <f>Ranking!AU49</f>
        <v>1</v>
      </c>
      <c r="U49" s="23"/>
      <c r="Y49" s="3"/>
      <c r="Z49" s="33"/>
    </row>
    <row r="50" spans="1:26" ht="54" customHeight="1" x14ac:dyDescent="0.25">
      <c r="B50" s="22" t="s">
        <v>56</v>
      </c>
      <c r="C50" s="11"/>
      <c r="D50" s="70"/>
      <c r="E50" s="23"/>
      <c r="F50" s="21"/>
      <c r="G50" s="21"/>
      <c r="H50" s="21"/>
      <c r="I50" s="21"/>
      <c r="J50" s="21"/>
      <c r="K50" s="21"/>
      <c r="L50" s="51"/>
      <c r="M50" s="14"/>
      <c r="N50" s="14"/>
      <c r="O50" s="14"/>
      <c r="P50" s="41"/>
      <c r="Q50" s="14"/>
      <c r="R50" s="14"/>
      <c r="S50" s="14"/>
      <c r="T50" s="43">
        <f>Ranking!AU50</f>
        <v>1</v>
      </c>
      <c r="U50" s="23"/>
      <c r="Y50" s="3"/>
      <c r="Z50" s="33"/>
    </row>
    <row r="51" spans="1:26" ht="54" customHeight="1" x14ac:dyDescent="0.25">
      <c r="B51" s="22" t="s">
        <v>57</v>
      </c>
      <c r="C51" s="11"/>
      <c r="D51" s="70"/>
      <c r="E51" s="23"/>
      <c r="F51" s="21"/>
      <c r="G51" s="21"/>
      <c r="H51" s="21"/>
      <c r="I51" s="21"/>
      <c r="J51" s="21"/>
      <c r="K51" s="21"/>
      <c r="L51" s="51"/>
      <c r="M51" s="14"/>
      <c r="N51" s="14"/>
      <c r="O51" s="14"/>
      <c r="P51" s="41"/>
      <c r="Q51" s="14"/>
      <c r="R51" s="14"/>
      <c r="S51" s="14"/>
      <c r="T51" s="43">
        <f>Ranking!AU51</f>
        <v>1</v>
      </c>
      <c r="U51" s="23"/>
      <c r="Y51" s="3"/>
      <c r="Z51" s="33"/>
    </row>
    <row r="52" spans="1:26" ht="54" customHeight="1" x14ac:dyDescent="0.25">
      <c r="B52" s="22" t="s">
        <v>58</v>
      </c>
      <c r="C52" s="11"/>
      <c r="D52" s="70"/>
      <c r="E52" s="23"/>
      <c r="F52" s="21"/>
      <c r="G52" s="21"/>
      <c r="H52" s="21"/>
      <c r="I52" s="21"/>
      <c r="J52" s="21"/>
      <c r="K52" s="21"/>
      <c r="L52" s="51"/>
      <c r="M52" s="14"/>
      <c r="N52" s="14"/>
      <c r="O52" s="14"/>
      <c r="P52" s="41"/>
      <c r="Q52" s="14"/>
      <c r="R52" s="14"/>
      <c r="S52" s="14"/>
      <c r="T52" s="43">
        <f>Ranking!AU52</f>
        <v>1</v>
      </c>
      <c r="U52" s="23"/>
      <c r="Y52" s="3"/>
      <c r="Z52" s="33"/>
    </row>
    <row r="53" spans="1:26" ht="54" customHeight="1" x14ac:dyDescent="0.25">
      <c r="B53" s="22" t="s">
        <v>59</v>
      </c>
      <c r="C53" s="11"/>
      <c r="D53" s="70"/>
      <c r="E53" s="23"/>
      <c r="F53" s="21"/>
      <c r="G53" s="14"/>
      <c r="H53" s="14"/>
      <c r="I53" s="14"/>
      <c r="J53" s="14"/>
      <c r="K53" s="14"/>
      <c r="L53" s="51"/>
      <c r="M53" s="14"/>
      <c r="N53" s="14"/>
      <c r="O53" s="14"/>
      <c r="P53" s="41"/>
      <c r="Q53" s="14"/>
      <c r="R53" s="14"/>
      <c r="S53" s="14"/>
      <c r="T53" s="43">
        <f>Ranking!AU53</f>
        <v>1</v>
      </c>
      <c r="U53" s="23"/>
      <c r="Y53" s="3"/>
      <c r="Z53" s="33"/>
    </row>
    <row r="54" spans="1:26" ht="54" customHeight="1" x14ac:dyDescent="0.25">
      <c r="B54" s="22" t="s">
        <v>60</v>
      </c>
      <c r="C54" s="11"/>
      <c r="D54" s="70"/>
      <c r="E54" s="23"/>
      <c r="F54" s="28"/>
      <c r="G54" s="28"/>
      <c r="H54" s="28"/>
      <c r="I54" s="28"/>
      <c r="J54" s="28"/>
      <c r="K54" s="28"/>
      <c r="L54" s="53"/>
      <c r="M54" s="14"/>
      <c r="N54" s="14"/>
      <c r="O54" s="14"/>
      <c r="P54" s="41"/>
      <c r="Q54" s="14"/>
      <c r="R54" s="14"/>
      <c r="S54" s="14"/>
      <c r="T54" s="43">
        <f>Ranking!AU54</f>
        <v>1</v>
      </c>
      <c r="U54" s="23"/>
      <c r="Y54" s="3"/>
      <c r="Z54" s="33"/>
    </row>
    <row r="55" spans="1:26" ht="54" customHeight="1" x14ac:dyDescent="0.25">
      <c r="A55" s="36"/>
      <c r="B55" s="22" t="s">
        <v>61</v>
      </c>
      <c r="C55" s="11"/>
      <c r="D55" s="70"/>
      <c r="E55" s="23"/>
      <c r="F55" s="28"/>
      <c r="G55" s="28"/>
      <c r="H55" s="28"/>
      <c r="I55" s="28"/>
      <c r="J55" s="28"/>
      <c r="K55" s="28"/>
      <c r="L55" s="53"/>
      <c r="M55" s="14"/>
      <c r="N55" s="14"/>
      <c r="O55" s="14"/>
      <c r="P55" s="41"/>
      <c r="Q55" s="14"/>
      <c r="R55" s="14"/>
      <c r="S55" s="14"/>
      <c r="T55" s="43">
        <f>Ranking!AU55</f>
        <v>1</v>
      </c>
      <c r="U55" s="23"/>
      <c r="Y55" s="3"/>
      <c r="Z55" s="33"/>
    </row>
    <row r="56" spans="1:26" ht="54" customHeight="1" x14ac:dyDescent="0.25">
      <c r="A56" s="36"/>
      <c r="B56" s="22" t="s">
        <v>62</v>
      </c>
      <c r="C56" s="11"/>
      <c r="D56" s="70"/>
      <c r="E56" s="23"/>
      <c r="F56" s="28"/>
      <c r="G56" s="28"/>
      <c r="H56" s="28"/>
      <c r="I56" s="28"/>
      <c r="J56" s="28"/>
      <c r="K56" s="28"/>
      <c r="L56" s="53"/>
      <c r="M56" s="14"/>
      <c r="N56" s="14"/>
      <c r="O56" s="14"/>
      <c r="P56" s="41"/>
      <c r="Q56" s="14"/>
      <c r="R56" s="14"/>
      <c r="S56" s="14"/>
      <c r="T56" s="43">
        <f>Ranking!AU56</f>
        <v>1</v>
      </c>
      <c r="U56" s="23"/>
      <c r="Y56" s="3"/>
      <c r="Z56" s="33"/>
    </row>
    <row r="57" spans="1:26" ht="54" customHeight="1" x14ac:dyDescent="0.25">
      <c r="A57" s="36"/>
      <c r="B57" s="22" t="s">
        <v>63</v>
      </c>
      <c r="C57" s="11"/>
      <c r="D57" s="70"/>
      <c r="E57" s="23"/>
      <c r="F57" s="28"/>
      <c r="G57" s="28"/>
      <c r="H57" s="28"/>
      <c r="I57" s="28"/>
      <c r="J57" s="28"/>
      <c r="K57" s="28"/>
      <c r="L57" s="53"/>
      <c r="M57" s="14"/>
      <c r="N57" s="14"/>
      <c r="O57" s="14"/>
      <c r="P57" s="41"/>
      <c r="Q57" s="14"/>
      <c r="R57" s="14"/>
      <c r="S57" s="14"/>
      <c r="T57" s="43">
        <f>Ranking!AU57</f>
        <v>1</v>
      </c>
      <c r="U57" s="23"/>
      <c r="Y57" s="3"/>
      <c r="Z57" s="33"/>
    </row>
    <row r="58" spans="1:26" ht="54" customHeight="1" x14ac:dyDescent="0.25">
      <c r="A58" s="36"/>
      <c r="B58" s="22" t="s">
        <v>64</v>
      </c>
      <c r="C58" s="11"/>
      <c r="D58" s="70"/>
      <c r="E58" s="23"/>
      <c r="F58" s="28"/>
      <c r="G58" s="28"/>
      <c r="H58" s="28"/>
      <c r="I58" s="28"/>
      <c r="J58" s="28"/>
      <c r="K58" s="28"/>
      <c r="L58" s="53"/>
      <c r="M58" s="14"/>
      <c r="N58" s="14"/>
      <c r="O58" s="14"/>
      <c r="P58" s="41"/>
      <c r="Q58" s="14"/>
      <c r="R58" s="14"/>
      <c r="S58" s="14"/>
      <c r="T58" s="43">
        <f>Ranking!AU58</f>
        <v>1</v>
      </c>
      <c r="U58" s="23"/>
      <c r="Y58" s="3"/>
      <c r="Z58" s="33"/>
    </row>
    <row r="59" spans="1:26" ht="54" customHeight="1" x14ac:dyDescent="0.25">
      <c r="A59" s="36"/>
      <c r="B59" s="22" t="s">
        <v>65</v>
      </c>
      <c r="C59" s="11"/>
      <c r="D59" s="70"/>
      <c r="E59" s="23"/>
      <c r="F59" s="28"/>
      <c r="G59" s="28"/>
      <c r="H59" s="28"/>
      <c r="I59" s="28"/>
      <c r="J59" s="28"/>
      <c r="K59" s="28"/>
      <c r="L59" s="53"/>
      <c r="M59" s="14"/>
      <c r="N59" s="14"/>
      <c r="O59" s="14"/>
      <c r="P59" s="41"/>
      <c r="Q59" s="14"/>
      <c r="R59" s="14"/>
      <c r="S59" s="14"/>
      <c r="T59" s="43">
        <f>Ranking!AU59</f>
        <v>1</v>
      </c>
      <c r="U59" s="23"/>
      <c r="Y59" s="3"/>
      <c r="Z59" s="33"/>
    </row>
    <row r="60" spans="1:26" ht="54" customHeight="1" x14ac:dyDescent="0.25">
      <c r="A60" s="36"/>
      <c r="B60" s="22" t="s">
        <v>66</v>
      </c>
      <c r="C60" s="11"/>
      <c r="D60" s="70"/>
      <c r="E60" s="23"/>
      <c r="F60" s="28"/>
      <c r="G60" s="28"/>
      <c r="H60" s="28"/>
      <c r="I60" s="28"/>
      <c r="J60" s="28"/>
      <c r="K60" s="28"/>
      <c r="L60" s="53"/>
      <c r="M60" s="14"/>
      <c r="N60" s="14"/>
      <c r="O60" s="14"/>
      <c r="P60" s="41"/>
      <c r="Q60" s="14"/>
      <c r="R60" s="14"/>
      <c r="S60" s="14"/>
      <c r="T60" s="43">
        <f>Ranking!AU60</f>
        <v>1</v>
      </c>
      <c r="U60" s="23"/>
      <c r="Y60" s="3"/>
      <c r="Z60" s="33"/>
    </row>
    <row r="61" spans="1:26" ht="54" customHeight="1" x14ac:dyDescent="0.25">
      <c r="A61" s="36"/>
      <c r="B61" s="22" t="s">
        <v>67</v>
      </c>
      <c r="C61" s="11"/>
      <c r="D61" s="70"/>
      <c r="E61" s="23"/>
      <c r="F61" s="28"/>
      <c r="G61" s="28"/>
      <c r="H61" s="28"/>
      <c r="I61" s="28"/>
      <c r="J61" s="28"/>
      <c r="K61" s="28"/>
      <c r="L61" s="53"/>
      <c r="M61" s="14"/>
      <c r="N61" s="14"/>
      <c r="O61" s="14"/>
      <c r="P61" s="41"/>
      <c r="Q61" s="14"/>
      <c r="R61" s="14"/>
      <c r="S61" s="14"/>
      <c r="T61" s="43">
        <f>Ranking!AU61</f>
        <v>1</v>
      </c>
      <c r="U61" s="23"/>
      <c r="Y61" s="3"/>
      <c r="Z61" s="33"/>
    </row>
    <row r="62" spans="1:26" ht="54" customHeight="1" x14ac:dyDescent="0.25">
      <c r="A62" s="36"/>
      <c r="B62" s="22" t="s">
        <v>68</v>
      </c>
      <c r="C62" s="11"/>
      <c r="D62" s="70"/>
      <c r="E62" s="23"/>
      <c r="F62" s="28"/>
      <c r="G62" s="28"/>
      <c r="H62" s="28"/>
      <c r="I62" s="28"/>
      <c r="J62" s="28"/>
      <c r="K62" s="28"/>
      <c r="L62" s="53"/>
      <c r="M62" s="14"/>
      <c r="N62" s="14"/>
      <c r="O62" s="14"/>
      <c r="P62" s="41"/>
      <c r="Q62" s="14"/>
      <c r="R62" s="14"/>
      <c r="S62" s="14"/>
      <c r="T62" s="43">
        <f>Ranking!AU62</f>
        <v>1</v>
      </c>
      <c r="U62" s="23"/>
      <c r="Y62" s="3"/>
      <c r="Z62" s="33"/>
    </row>
    <row r="63" spans="1:26" ht="54" customHeight="1" x14ac:dyDescent="0.25">
      <c r="B63" s="22" t="s">
        <v>69</v>
      </c>
      <c r="C63" s="11"/>
      <c r="D63" s="70"/>
      <c r="E63" s="23"/>
      <c r="F63" s="28"/>
      <c r="G63" s="28"/>
      <c r="H63" s="28"/>
      <c r="I63" s="28"/>
      <c r="J63" s="28"/>
      <c r="K63" s="28"/>
      <c r="L63" s="53"/>
      <c r="M63" s="14"/>
      <c r="N63" s="14"/>
      <c r="O63" s="14"/>
      <c r="P63" s="41"/>
      <c r="Q63" s="14"/>
      <c r="R63" s="14"/>
      <c r="S63" s="14"/>
      <c r="T63" s="43">
        <f>Ranking!AU63</f>
        <v>1</v>
      </c>
      <c r="U63" s="23"/>
      <c r="Y63" s="3"/>
      <c r="Z63" s="33"/>
    </row>
    <row r="64" spans="1:26" ht="54" customHeight="1" x14ac:dyDescent="0.25">
      <c r="B64" s="22" t="s">
        <v>70</v>
      </c>
      <c r="C64" s="11"/>
      <c r="D64" s="70"/>
      <c r="E64" s="23"/>
      <c r="F64" s="28"/>
      <c r="G64" s="28"/>
      <c r="H64" s="28"/>
      <c r="I64" s="28"/>
      <c r="J64" s="28"/>
      <c r="K64" s="28"/>
      <c r="L64" s="53"/>
      <c r="M64" s="14"/>
      <c r="N64" s="14"/>
      <c r="O64" s="14"/>
      <c r="P64" s="41"/>
      <c r="Q64" s="14"/>
      <c r="R64" s="14"/>
      <c r="S64" s="14"/>
      <c r="T64" s="43">
        <f>Ranking!AU64</f>
        <v>1</v>
      </c>
      <c r="U64" s="23"/>
      <c r="Y64" s="3"/>
      <c r="Z64" s="33"/>
    </row>
    <row r="65" spans="1:26" ht="54" customHeight="1" x14ac:dyDescent="0.25">
      <c r="B65" s="22" t="s">
        <v>71</v>
      </c>
      <c r="C65" s="11"/>
      <c r="D65" s="70"/>
      <c r="E65" s="23"/>
      <c r="F65" s="21"/>
      <c r="G65" s="21"/>
      <c r="H65" s="21"/>
      <c r="I65" s="21"/>
      <c r="J65" s="28"/>
      <c r="K65" s="28"/>
      <c r="L65" s="53"/>
      <c r="M65" s="14"/>
      <c r="N65" s="14"/>
      <c r="O65" s="14"/>
      <c r="P65" s="41"/>
      <c r="Q65" s="14"/>
      <c r="R65" s="14"/>
      <c r="S65" s="14"/>
      <c r="T65" s="43">
        <f>Ranking!AU65</f>
        <v>1</v>
      </c>
      <c r="U65" s="23"/>
      <c r="Y65" s="3"/>
      <c r="Z65" s="33"/>
    </row>
    <row r="66" spans="1:26" ht="54" customHeight="1" x14ac:dyDescent="0.25">
      <c r="B66" s="22" t="s">
        <v>72</v>
      </c>
      <c r="C66" s="11"/>
      <c r="D66" s="70"/>
      <c r="E66" s="23"/>
      <c r="F66" s="21"/>
      <c r="G66" s="21"/>
      <c r="H66" s="21"/>
      <c r="I66" s="21"/>
      <c r="J66" s="28"/>
      <c r="K66" s="28"/>
      <c r="L66" s="51"/>
      <c r="M66" s="14"/>
      <c r="N66" s="14"/>
      <c r="O66" s="14"/>
      <c r="P66" s="41"/>
      <c r="Q66" s="14"/>
      <c r="R66" s="14"/>
      <c r="S66" s="14"/>
      <c r="T66" s="43">
        <f>Ranking!AU66</f>
        <v>1</v>
      </c>
      <c r="U66" s="23"/>
      <c r="Y66" s="3"/>
      <c r="Z66" s="33"/>
    </row>
    <row r="67" spans="1:26" ht="54" customHeight="1" x14ac:dyDescent="0.25">
      <c r="B67" s="22" t="s">
        <v>73</v>
      </c>
      <c r="C67" s="11"/>
      <c r="D67" s="70"/>
      <c r="E67" s="23"/>
      <c r="F67" s="21"/>
      <c r="G67" s="14"/>
      <c r="H67" s="14"/>
      <c r="I67" s="14"/>
      <c r="J67" s="14"/>
      <c r="K67" s="14"/>
      <c r="L67" s="51"/>
      <c r="M67" s="14"/>
      <c r="N67" s="14"/>
      <c r="O67" s="14"/>
      <c r="P67" s="41"/>
      <c r="Q67" s="14"/>
      <c r="R67" s="14"/>
      <c r="S67" s="14"/>
      <c r="T67" s="43">
        <f>Ranking!AU67</f>
        <v>1</v>
      </c>
      <c r="U67" s="23"/>
      <c r="Y67" s="3"/>
      <c r="Z67" s="33"/>
    </row>
    <row r="68" spans="1:26" ht="54" customHeight="1" x14ac:dyDescent="0.25">
      <c r="B68" s="22" t="s">
        <v>74</v>
      </c>
      <c r="C68" s="11"/>
      <c r="D68" s="70"/>
      <c r="E68" s="23"/>
      <c r="F68" s="21"/>
      <c r="G68" s="21"/>
      <c r="H68" s="21"/>
      <c r="I68" s="21"/>
      <c r="J68" s="14"/>
      <c r="K68" s="14"/>
      <c r="L68" s="51"/>
      <c r="M68" s="14"/>
      <c r="N68" s="14"/>
      <c r="O68" s="14"/>
      <c r="P68" s="41"/>
      <c r="Q68" s="14"/>
      <c r="R68" s="14"/>
      <c r="S68" s="14"/>
      <c r="T68" s="43">
        <f>Ranking!AU68</f>
        <v>1</v>
      </c>
      <c r="U68" s="23"/>
      <c r="Y68" s="3"/>
      <c r="Z68" s="33"/>
    </row>
    <row r="69" spans="1:26" ht="54" customHeight="1" x14ac:dyDescent="0.25">
      <c r="B69" s="22" t="s">
        <v>75</v>
      </c>
      <c r="C69" s="11"/>
      <c r="D69" s="70"/>
      <c r="E69" s="23"/>
      <c r="F69" s="21"/>
      <c r="G69" s="14"/>
      <c r="H69" s="14"/>
      <c r="I69" s="21"/>
      <c r="J69" s="21"/>
      <c r="K69" s="21"/>
      <c r="L69" s="51"/>
      <c r="M69" s="14"/>
      <c r="N69" s="14"/>
      <c r="O69" s="14"/>
      <c r="P69" s="41"/>
      <c r="Q69" s="14"/>
      <c r="R69" s="14"/>
      <c r="S69" s="14"/>
      <c r="T69" s="43">
        <f>Ranking!AU69</f>
        <v>1</v>
      </c>
      <c r="U69" s="23"/>
      <c r="Y69" s="3"/>
      <c r="Z69" s="33"/>
    </row>
    <row r="70" spans="1:26" ht="54" customHeight="1" x14ac:dyDescent="0.25">
      <c r="B70" s="22" t="s">
        <v>76</v>
      </c>
      <c r="C70" s="27"/>
      <c r="D70" s="71"/>
      <c r="E70" s="23"/>
      <c r="F70" s="21"/>
      <c r="G70" s="14"/>
      <c r="H70" s="14"/>
      <c r="I70" s="14"/>
      <c r="J70" s="14"/>
      <c r="K70" s="14"/>
      <c r="L70" s="51"/>
      <c r="M70" s="14"/>
      <c r="N70" s="14"/>
      <c r="O70" s="14"/>
      <c r="P70" s="41"/>
      <c r="Q70" s="14"/>
      <c r="R70" s="14"/>
      <c r="S70" s="14"/>
      <c r="T70" s="43">
        <f>Ranking!AU70</f>
        <v>1</v>
      </c>
      <c r="U70" s="23"/>
      <c r="Y70" s="3"/>
      <c r="Z70" s="33"/>
    </row>
    <row r="71" spans="1:26" ht="54" customHeight="1" x14ac:dyDescent="0.25">
      <c r="B71" s="22" t="s">
        <v>77</v>
      </c>
      <c r="C71" s="11"/>
      <c r="D71" s="70"/>
      <c r="E71" s="23"/>
      <c r="F71" s="21"/>
      <c r="G71" s="21"/>
      <c r="H71" s="21"/>
      <c r="I71" s="21"/>
      <c r="J71" s="14"/>
      <c r="K71" s="14"/>
      <c r="L71" s="51"/>
      <c r="M71" s="14"/>
      <c r="N71" s="14"/>
      <c r="O71" s="14"/>
      <c r="P71" s="41"/>
      <c r="Q71" s="14"/>
      <c r="R71" s="14"/>
      <c r="S71" s="14"/>
      <c r="T71" s="43">
        <f>Ranking!AU71</f>
        <v>1</v>
      </c>
      <c r="U71" s="23"/>
      <c r="Y71" s="3"/>
      <c r="Z71" s="33"/>
    </row>
    <row r="72" spans="1:26" ht="54" customHeight="1" x14ac:dyDescent="0.25">
      <c r="B72" s="22" t="s">
        <v>78</v>
      </c>
      <c r="C72" s="11"/>
      <c r="D72" s="70"/>
      <c r="E72" s="23"/>
      <c r="F72" s="21"/>
      <c r="G72" s="14"/>
      <c r="H72" s="14"/>
      <c r="I72" s="21"/>
      <c r="J72" s="14"/>
      <c r="K72" s="14"/>
      <c r="L72" s="51"/>
      <c r="M72" s="14"/>
      <c r="N72" s="14"/>
      <c r="O72" s="14"/>
      <c r="P72" s="41"/>
      <c r="Q72" s="14"/>
      <c r="R72" s="14"/>
      <c r="S72" s="14"/>
      <c r="T72" s="43">
        <f>Ranking!AU72</f>
        <v>1</v>
      </c>
      <c r="U72" s="23"/>
      <c r="Y72" s="3"/>
      <c r="Z72" s="33"/>
    </row>
    <row r="73" spans="1:26" s="30" customFormat="1" ht="54" customHeight="1" x14ac:dyDescent="0.25">
      <c r="A73" s="37"/>
      <c r="B73" s="22" t="s">
        <v>79</v>
      </c>
      <c r="C73" s="27"/>
      <c r="D73" s="71"/>
      <c r="E73" s="23"/>
      <c r="F73" s="28"/>
      <c r="G73" s="28"/>
      <c r="H73" s="28"/>
      <c r="I73" s="28"/>
      <c r="J73" s="28"/>
      <c r="K73" s="28"/>
      <c r="L73" s="53"/>
      <c r="M73" s="14"/>
      <c r="N73" s="14"/>
      <c r="O73" s="14"/>
      <c r="P73" s="41"/>
      <c r="Q73" s="14"/>
      <c r="R73" s="14"/>
      <c r="S73" s="14"/>
      <c r="T73" s="43">
        <f>Ranking!AU73</f>
        <v>1</v>
      </c>
      <c r="U73" s="29"/>
      <c r="Y73" s="31"/>
      <c r="Z73" s="33"/>
    </row>
    <row r="74" spans="1:26" ht="54" customHeight="1" x14ac:dyDescent="0.25">
      <c r="B74" s="22" t="s">
        <v>80</v>
      </c>
      <c r="C74" s="11"/>
      <c r="D74" s="70"/>
      <c r="E74" s="29"/>
      <c r="F74" s="21"/>
      <c r="G74" s="21"/>
      <c r="H74" s="14"/>
      <c r="I74" s="21"/>
      <c r="J74" s="21"/>
      <c r="K74" s="21"/>
      <c r="L74" s="52"/>
      <c r="M74" s="14"/>
      <c r="N74" s="14"/>
      <c r="O74" s="14"/>
      <c r="P74" s="41"/>
      <c r="Q74" s="14"/>
      <c r="R74" s="14"/>
      <c r="S74" s="14"/>
      <c r="T74" s="43">
        <f>Ranking!AU74</f>
        <v>1</v>
      </c>
      <c r="U74" s="29"/>
      <c r="Y74" s="3"/>
      <c r="Z74" s="33"/>
    </row>
    <row r="75" spans="1:26" ht="54" customHeight="1" x14ac:dyDescent="0.25">
      <c r="B75" s="22" t="s">
        <v>81</v>
      </c>
      <c r="C75" s="11"/>
      <c r="D75" s="70"/>
      <c r="E75" s="29"/>
      <c r="F75" s="21"/>
      <c r="G75" s="14"/>
      <c r="H75" s="14"/>
      <c r="I75" s="14"/>
      <c r="J75" s="14"/>
      <c r="K75" s="14"/>
      <c r="L75" s="51"/>
      <c r="M75" s="14"/>
      <c r="N75" s="14"/>
      <c r="O75" s="14"/>
      <c r="P75" s="41"/>
      <c r="Q75" s="14"/>
      <c r="R75" s="14"/>
      <c r="S75" s="14"/>
      <c r="T75" s="43">
        <f>Ranking!AU75</f>
        <v>1</v>
      </c>
      <c r="U75" s="23"/>
      <c r="Y75" s="3"/>
      <c r="Z75" s="33"/>
    </row>
    <row r="76" spans="1:26" ht="54" customHeight="1" x14ac:dyDescent="0.25">
      <c r="B76" s="22" t="s">
        <v>82</v>
      </c>
      <c r="C76" s="11"/>
      <c r="D76" s="70"/>
      <c r="E76" s="23"/>
      <c r="F76" s="21"/>
      <c r="G76" s="21"/>
      <c r="H76" s="21"/>
      <c r="I76" s="21"/>
      <c r="J76" s="14"/>
      <c r="K76" s="14"/>
      <c r="L76" s="51"/>
      <c r="M76" s="14"/>
      <c r="N76" s="14"/>
      <c r="O76" s="14"/>
      <c r="P76" s="41"/>
      <c r="Q76" s="14"/>
      <c r="R76" s="14"/>
      <c r="S76" s="14"/>
      <c r="T76" s="43">
        <f>Ranking!AU76</f>
        <v>1</v>
      </c>
      <c r="U76" s="23"/>
      <c r="Y76" s="3"/>
      <c r="Z76" s="33"/>
    </row>
    <row r="77" spans="1:26" ht="54" customHeight="1" x14ac:dyDescent="0.25">
      <c r="B77" s="22" t="s">
        <v>83</v>
      </c>
      <c r="C77" s="11"/>
      <c r="D77" s="70"/>
      <c r="E77" s="23"/>
      <c r="F77" s="21"/>
      <c r="G77" s="14"/>
      <c r="H77" s="14"/>
      <c r="I77" s="21"/>
      <c r="J77" s="14"/>
      <c r="K77" s="14"/>
      <c r="L77" s="51"/>
      <c r="M77" s="14"/>
      <c r="N77" s="14"/>
      <c r="O77" s="14"/>
      <c r="P77" s="41"/>
      <c r="Q77" s="14"/>
      <c r="R77" s="14"/>
      <c r="S77" s="14"/>
      <c r="T77" s="43">
        <f>Ranking!AU77</f>
        <v>1</v>
      </c>
      <c r="U77" s="23"/>
      <c r="Y77" s="3"/>
      <c r="Z77" s="33"/>
    </row>
    <row r="78" spans="1:26" ht="54" customHeight="1" x14ac:dyDescent="0.25">
      <c r="B78" s="22" t="s">
        <v>84</v>
      </c>
      <c r="C78" s="11"/>
      <c r="D78" s="70"/>
      <c r="E78" s="23"/>
      <c r="F78" s="21"/>
      <c r="G78" s="21"/>
      <c r="H78" s="14"/>
      <c r="I78" s="14"/>
      <c r="J78" s="14"/>
      <c r="K78" s="14"/>
      <c r="L78" s="51"/>
      <c r="M78" s="14"/>
      <c r="N78" s="14"/>
      <c r="O78" s="14"/>
      <c r="P78" s="41"/>
      <c r="Q78" s="14"/>
      <c r="R78" s="14"/>
      <c r="S78" s="14"/>
      <c r="T78" s="43">
        <f>Ranking!AU78</f>
        <v>1</v>
      </c>
      <c r="U78" s="23"/>
      <c r="Y78" s="3"/>
      <c r="Z78" s="33"/>
    </row>
    <row r="79" spans="1:26" ht="54" customHeight="1" x14ac:dyDescent="0.25">
      <c r="B79" s="22" t="s">
        <v>85</v>
      </c>
      <c r="C79" s="11"/>
      <c r="D79" s="70"/>
      <c r="E79" s="23"/>
      <c r="F79" s="21"/>
      <c r="G79" s="14"/>
      <c r="H79" s="14"/>
      <c r="I79" s="21"/>
      <c r="J79" s="14"/>
      <c r="K79" s="14"/>
      <c r="L79" s="51"/>
      <c r="M79" s="14"/>
      <c r="N79" s="14"/>
      <c r="O79" s="14"/>
      <c r="P79" s="41"/>
      <c r="Q79" s="14"/>
      <c r="R79" s="14"/>
      <c r="S79" s="14"/>
      <c r="T79" s="43">
        <f>Ranking!AU79</f>
        <v>1</v>
      </c>
      <c r="U79" s="23"/>
      <c r="Y79" s="3"/>
      <c r="Z79" s="33"/>
    </row>
    <row r="80" spans="1:26" ht="54" customHeight="1" x14ac:dyDescent="0.25">
      <c r="B80" s="22" t="s">
        <v>86</v>
      </c>
      <c r="C80" s="11"/>
      <c r="D80" s="70"/>
      <c r="E80" s="23"/>
      <c r="F80" s="21"/>
      <c r="G80" s="21"/>
      <c r="H80" s="21"/>
      <c r="I80" s="21"/>
      <c r="J80" s="14"/>
      <c r="K80" s="14"/>
      <c r="L80" s="51"/>
      <c r="M80" s="14"/>
      <c r="N80" s="14"/>
      <c r="O80" s="14"/>
      <c r="P80" s="41"/>
      <c r="Q80" s="14"/>
      <c r="R80" s="14"/>
      <c r="S80" s="14"/>
      <c r="T80" s="43">
        <f>Ranking!AU80</f>
        <v>1</v>
      </c>
      <c r="U80" s="23"/>
      <c r="Y80" s="3"/>
      <c r="Z80" s="33"/>
    </row>
    <row r="81" spans="1:26" ht="54" customHeight="1" x14ac:dyDescent="0.25">
      <c r="B81" s="22" t="s">
        <v>87</v>
      </c>
      <c r="C81" s="11"/>
      <c r="D81" s="70"/>
      <c r="E81" s="23"/>
      <c r="F81" s="21"/>
      <c r="G81" s="14"/>
      <c r="H81" s="14"/>
      <c r="I81" s="21"/>
      <c r="J81" s="21"/>
      <c r="K81" s="14"/>
      <c r="L81" s="51"/>
      <c r="M81" s="14"/>
      <c r="N81" s="14"/>
      <c r="O81" s="14"/>
      <c r="P81" s="41"/>
      <c r="Q81" s="14"/>
      <c r="R81" s="14"/>
      <c r="S81" s="14"/>
      <c r="T81" s="43">
        <f>Ranking!AU81</f>
        <v>1</v>
      </c>
      <c r="U81" s="23"/>
      <c r="Y81" s="3"/>
      <c r="Z81" s="33"/>
    </row>
    <row r="82" spans="1:26" ht="54" customHeight="1" x14ac:dyDescent="0.25">
      <c r="B82" s="22" t="s">
        <v>88</v>
      </c>
      <c r="C82" s="11"/>
      <c r="D82" s="70"/>
      <c r="E82" s="23"/>
      <c r="F82" s="21"/>
      <c r="G82" s="21"/>
      <c r="H82" s="21"/>
      <c r="I82" s="21"/>
      <c r="J82" s="21"/>
      <c r="K82" s="14"/>
      <c r="L82" s="51"/>
      <c r="M82" s="14"/>
      <c r="N82" s="14"/>
      <c r="O82" s="14"/>
      <c r="P82" s="41"/>
      <c r="Q82" s="14"/>
      <c r="R82" s="14"/>
      <c r="S82" s="14"/>
      <c r="T82" s="43">
        <f>Ranking!AU82</f>
        <v>1</v>
      </c>
      <c r="U82" s="23"/>
      <c r="Y82" s="3"/>
      <c r="Z82" s="33"/>
    </row>
    <row r="83" spans="1:26" ht="54" customHeight="1" x14ac:dyDescent="0.25">
      <c r="A83" s="36"/>
      <c r="B83" s="22" t="s">
        <v>89</v>
      </c>
      <c r="C83" s="11"/>
      <c r="D83" s="70"/>
      <c r="E83" s="23"/>
      <c r="F83" s="28"/>
      <c r="G83" s="28"/>
      <c r="H83" s="28"/>
      <c r="I83" s="28"/>
      <c r="J83" s="28"/>
      <c r="K83" s="28"/>
      <c r="L83" s="53"/>
      <c r="M83" s="14"/>
      <c r="N83" s="14"/>
      <c r="O83" s="14"/>
      <c r="P83" s="41"/>
      <c r="Q83" s="14"/>
      <c r="R83" s="14"/>
      <c r="S83" s="14"/>
      <c r="T83" s="43">
        <f>Ranking!AU83</f>
        <v>1</v>
      </c>
      <c r="U83" s="23"/>
      <c r="Y83" s="3"/>
      <c r="Z83" s="33"/>
    </row>
    <row r="84" spans="1:26" ht="54" customHeight="1" x14ac:dyDescent="0.25">
      <c r="A84" s="36"/>
      <c r="B84" s="22" t="s">
        <v>90</v>
      </c>
      <c r="C84" s="11"/>
      <c r="D84" s="70"/>
      <c r="E84" s="23"/>
      <c r="F84" s="28"/>
      <c r="G84" s="28"/>
      <c r="H84" s="28"/>
      <c r="I84" s="28"/>
      <c r="J84" s="28"/>
      <c r="K84" s="28"/>
      <c r="L84" s="53"/>
      <c r="M84" s="14"/>
      <c r="N84" s="14"/>
      <c r="O84" s="14"/>
      <c r="P84" s="41"/>
      <c r="Q84" s="14"/>
      <c r="R84" s="14"/>
      <c r="S84" s="14"/>
      <c r="T84" s="43">
        <f>Ranking!AU84</f>
        <v>1</v>
      </c>
      <c r="U84" s="23"/>
      <c r="Y84" s="3"/>
      <c r="Z84" s="33"/>
    </row>
    <row r="85" spans="1:26" ht="54" customHeight="1" x14ac:dyDescent="0.25">
      <c r="A85" s="36"/>
      <c r="B85" s="22" t="s">
        <v>91</v>
      </c>
      <c r="C85" s="11"/>
      <c r="D85" s="70"/>
      <c r="E85" s="23"/>
      <c r="F85" s="28"/>
      <c r="G85" s="28"/>
      <c r="H85" s="28"/>
      <c r="I85" s="28"/>
      <c r="J85" s="28"/>
      <c r="K85" s="28"/>
      <c r="L85" s="53"/>
      <c r="M85" s="14"/>
      <c r="N85" s="14"/>
      <c r="O85" s="14"/>
      <c r="P85" s="41"/>
      <c r="Q85" s="14"/>
      <c r="R85" s="14"/>
      <c r="S85" s="14"/>
      <c r="T85" s="43">
        <f>Ranking!AU85</f>
        <v>1</v>
      </c>
      <c r="U85" s="23"/>
      <c r="Y85" s="3"/>
      <c r="Z85" s="33"/>
    </row>
    <row r="86" spans="1:26" ht="54" customHeight="1" x14ac:dyDescent="0.25">
      <c r="A86" s="36"/>
      <c r="B86" s="22" t="s">
        <v>92</v>
      </c>
      <c r="C86" s="11"/>
      <c r="D86" s="70"/>
      <c r="E86" s="23"/>
      <c r="F86" s="28"/>
      <c r="G86" s="28"/>
      <c r="H86" s="28"/>
      <c r="I86" s="28"/>
      <c r="J86" s="28"/>
      <c r="K86" s="28"/>
      <c r="L86" s="53"/>
      <c r="M86" s="14"/>
      <c r="N86" s="14"/>
      <c r="O86" s="14"/>
      <c r="P86" s="41"/>
      <c r="Q86" s="14"/>
      <c r="R86" s="14"/>
      <c r="S86" s="14"/>
      <c r="T86" s="43">
        <f>Ranking!AU86</f>
        <v>1</v>
      </c>
      <c r="U86" s="23"/>
      <c r="Y86" s="3"/>
      <c r="Z86" s="33"/>
    </row>
    <row r="87" spans="1:26" ht="54" customHeight="1" x14ac:dyDescent="0.25">
      <c r="A87" s="36"/>
      <c r="B87" s="22" t="s">
        <v>93</v>
      </c>
      <c r="C87" s="11"/>
      <c r="D87" s="70"/>
      <c r="E87" s="23"/>
      <c r="F87" s="28"/>
      <c r="G87" s="28"/>
      <c r="H87" s="28"/>
      <c r="I87" s="28"/>
      <c r="J87" s="28"/>
      <c r="K87" s="28"/>
      <c r="L87" s="53"/>
      <c r="M87" s="14"/>
      <c r="N87" s="14"/>
      <c r="O87" s="14"/>
      <c r="P87" s="41"/>
      <c r="Q87" s="14"/>
      <c r="R87" s="14"/>
      <c r="S87" s="14"/>
      <c r="T87" s="43">
        <f>Ranking!AU87</f>
        <v>1</v>
      </c>
      <c r="U87" s="23"/>
      <c r="Y87" s="3"/>
      <c r="Z87" s="33"/>
    </row>
    <row r="88" spans="1:26" ht="54" customHeight="1" x14ac:dyDescent="0.25">
      <c r="A88" s="36"/>
      <c r="B88" s="22" t="s">
        <v>94</v>
      </c>
      <c r="C88" s="11"/>
      <c r="D88" s="70"/>
      <c r="E88" s="23"/>
      <c r="F88" s="28"/>
      <c r="G88" s="28"/>
      <c r="H88" s="28"/>
      <c r="I88" s="28"/>
      <c r="J88" s="28"/>
      <c r="K88" s="28"/>
      <c r="L88" s="53"/>
      <c r="M88" s="14"/>
      <c r="N88" s="14"/>
      <c r="O88" s="14"/>
      <c r="P88" s="41"/>
      <c r="Q88" s="14"/>
      <c r="R88" s="14"/>
      <c r="S88" s="14"/>
      <c r="T88" s="43">
        <f>Ranking!AU88</f>
        <v>1</v>
      </c>
      <c r="U88" s="23"/>
      <c r="Y88" s="3"/>
      <c r="Z88" s="33"/>
    </row>
    <row r="89" spans="1:26" ht="54" customHeight="1" x14ac:dyDescent="0.25">
      <c r="A89" s="36"/>
      <c r="B89" s="22" t="s">
        <v>95</v>
      </c>
      <c r="C89" s="11"/>
      <c r="D89" s="70"/>
      <c r="E89" s="23"/>
      <c r="F89" s="28"/>
      <c r="G89" s="28"/>
      <c r="H89" s="28"/>
      <c r="I89" s="28"/>
      <c r="J89" s="28"/>
      <c r="K89" s="28"/>
      <c r="L89" s="53"/>
      <c r="M89" s="14"/>
      <c r="N89" s="14"/>
      <c r="O89" s="14"/>
      <c r="P89" s="41"/>
      <c r="Q89" s="14"/>
      <c r="R89" s="14"/>
      <c r="S89" s="14"/>
      <c r="T89" s="43">
        <f>Ranking!AU89</f>
        <v>1</v>
      </c>
      <c r="U89" s="23"/>
      <c r="Y89" s="3"/>
      <c r="Z89" s="33"/>
    </row>
    <row r="90" spans="1:26" ht="54" customHeight="1" x14ac:dyDescent="0.25">
      <c r="A90" s="36"/>
      <c r="B90" s="22" t="s">
        <v>96</v>
      </c>
      <c r="C90" s="11"/>
      <c r="D90" s="70"/>
      <c r="E90" s="23"/>
      <c r="F90" s="28"/>
      <c r="G90" s="28"/>
      <c r="H90" s="28"/>
      <c r="I90" s="28"/>
      <c r="J90" s="28"/>
      <c r="K90" s="28"/>
      <c r="L90" s="53"/>
      <c r="M90" s="14"/>
      <c r="N90" s="14"/>
      <c r="O90" s="14"/>
      <c r="P90" s="41"/>
      <c r="Q90" s="14"/>
      <c r="R90" s="14"/>
      <c r="S90" s="14"/>
      <c r="T90" s="43">
        <f>Ranking!AU90</f>
        <v>1</v>
      </c>
      <c r="U90" s="23"/>
      <c r="Y90" s="3"/>
      <c r="Z90" s="33"/>
    </row>
    <row r="91" spans="1:26" ht="54" customHeight="1" x14ac:dyDescent="0.25">
      <c r="A91" s="36"/>
      <c r="B91" s="22" t="s">
        <v>97</v>
      </c>
      <c r="C91" s="11"/>
      <c r="D91" s="70"/>
      <c r="E91" s="23"/>
      <c r="F91" s="28"/>
      <c r="G91" s="28"/>
      <c r="H91" s="28"/>
      <c r="I91" s="28"/>
      <c r="J91" s="28"/>
      <c r="K91" s="28"/>
      <c r="L91" s="53"/>
      <c r="M91" s="14"/>
      <c r="N91" s="14"/>
      <c r="O91" s="14"/>
      <c r="P91" s="41"/>
      <c r="Q91" s="14"/>
      <c r="R91" s="14"/>
      <c r="S91" s="14"/>
      <c r="T91" s="43">
        <f>Ranking!AU91</f>
        <v>1</v>
      </c>
      <c r="U91" s="23"/>
      <c r="Y91" s="3"/>
      <c r="Z91" s="33"/>
    </row>
    <row r="92" spans="1:26" ht="54" customHeight="1" x14ac:dyDescent="0.25">
      <c r="A92" s="36"/>
      <c r="B92" s="22" t="s">
        <v>98</v>
      </c>
      <c r="C92" s="11"/>
      <c r="D92" s="70"/>
      <c r="E92" s="23"/>
      <c r="F92" s="28"/>
      <c r="G92" s="28"/>
      <c r="H92" s="28"/>
      <c r="I92" s="28"/>
      <c r="J92" s="28"/>
      <c r="K92" s="28"/>
      <c r="L92" s="53"/>
      <c r="M92" s="14"/>
      <c r="N92" s="14"/>
      <c r="O92" s="14"/>
      <c r="P92" s="41"/>
      <c r="Q92" s="14"/>
      <c r="R92" s="14"/>
      <c r="S92" s="14"/>
      <c r="T92" s="43">
        <f>Ranking!AU92</f>
        <v>1</v>
      </c>
      <c r="U92" s="23"/>
      <c r="Y92" s="3"/>
      <c r="Z92" s="33"/>
    </row>
    <row r="93" spans="1:26" ht="54" customHeight="1" x14ac:dyDescent="0.25">
      <c r="B93" s="22" t="s">
        <v>99</v>
      </c>
      <c r="C93" s="11"/>
      <c r="D93" s="70"/>
      <c r="E93" s="23"/>
      <c r="F93" s="21"/>
      <c r="G93" s="14"/>
      <c r="H93" s="14"/>
      <c r="I93" s="14"/>
      <c r="J93" s="14"/>
      <c r="K93" s="14"/>
      <c r="L93" s="51"/>
      <c r="M93" s="14"/>
      <c r="N93" s="14"/>
      <c r="O93" s="14"/>
      <c r="P93" s="41"/>
      <c r="Q93" s="14"/>
      <c r="R93" s="14"/>
      <c r="S93" s="14"/>
      <c r="T93" s="43">
        <f>Ranking!AU93</f>
        <v>1</v>
      </c>
      <c r="U93" s="23"/>
      <c r="Y93" s="3"/>
      <c r="Z93" s="33"/>
    </row>
    <row r="94" spans="1:26" ht="54" customHeight="1" x14ac:dyDescent="0.25">
      <c r="B94" s="22" t="s">
        <v>100</v>
      </c>
      <c r="C94" s="11"/>
      <c r="D94" s="70"/>
      <c r="E94" s="23"/>
      <c r="F94" s="21"/>
      <c r="G94" s="21"/>
      <c r="H94" s="21"/>
      <c r="I94" s="21"/>
      <c r="J94" s="14"/>
      <c r="K94" s="14"/>
      <c r="L94" s="51"/>
      <c r="M94" s="14"/>
      <c r="N94" s="14"/>
      <c r="O94" s="14"/>
      <c r="P94" s="41"/>
      <c r="Q94" s="14"/>
      <c r="R94" s="14"/>
      <c r="S94" s="14"/>
      <c r="T94" s="43">
        <f>Ranking!AU94</f>
        <v>1</v>
      </c>
      <c r="U94" s="23"/>
      <c r="Y94" s="3"/>
      <c r="Z94" s="33"/>
    </row>
    <row r="95" spans="1:26" ht="54" customHeight="1" x14ac:dyDescent="0.25">
      <c r="B95" s="22" t="s">
        <v>101</v>
      </c>
      <c r="C95" s="11"/>
      <c r="D95" s="70"/>
      <c r="E95" s="23"/>
      <c r="F95" s="21"/>
      <c r="G95" s="21"/>
      <c r="H95" s="21"/>
      <c r="I95" s="21"/>
      <c r="J95" s="32"/>
      <c r="K95" s="32"/>
      <c r="L95" s="51"/>
      <c r="M95" s="14"/>
      <c r="N95" s="14"/>
      <c r="O95" s="14"/>
      <c r="P95" s="41"/>
      <c r="Q95" s="14"/>
      <c r="R95" s="14"/>
      <c r="S95" s="14"/>
      <c r="T95" s="43">
        <f>Ranking!AU95</f>
        <v>1</v>
      </c>
      <c r="U95" s="23"/>
      <c r="Y95" s="3"/>
      <c r="Z95" s="33"/>
    </row>
    <row r="96" spans="1:26" ht="54" customHeight="1" x14ac:dyDescent="0.25">
      <c r="A96" s="36"/>
      <c r="B96" s="22" t="s">
        <v>102</v>
      </c>
      <c r="C96" s="11"/>
      <c r="D96" s="70"/>
      <c r="E96" s="23"/>
      <c r="F96" s="21"/>
      <c r="G96" s="21"/>
      <c r="H96" s="21"/>
      <c r="I96" s="21"/>
      <c r="J96" s="32"/>
      <c r="K96" s="32"/>
      <c r="L96" s="51"/>
      <c r="M96" s="14"/>
      <c r="N96" s="14"/>
      <c r="O96" s="14"/>
      <c r="P96" s="41"/>
      <c r="Q96" s="14"/>
      <c r="R96" s="14"/>
      <c r="S96" s="14"/>
      <c r="T96" s="43">
        <f>Ranking!AU96</f>
        <v>1</v>
      </c>
      <c r="U96" s="23"/>
      <c r="Y96" s="3"/>
      <c r="Z96" s="33"/>
    </row>
    <row r="97" spans="1:26" ht="54" customHeight="1" x14ac:dyDescent="0.25">
      <c r="A97" s="36"/>
      <c r="B97" s="22" t="s">
        <v>103</v>
      </c>
      <c r="C97" s="11"/>
      <c r="D97" s="70"/>
      <c r="E97" s="23"/>
      <c r="F97" s="21"/>
      <c r="G97" s="21"/>
      <c r="H97" s="21"/>
      <c r="I97" s="21"/>
      <c r="J97" s="32"/>
      <c r="K97" s="32"/>
      <c r="L97" s="51"/>
      <c r="M97" s="14"/>
      <c r="N97" s="14"/>
      <c r="O97" s="14"/>
      <c r="P97" s="41"/>
      <c r="Q97" s="14"/>
      <c r="R97" s="14"/>
      <c r="S97" s="14"/>
      <c r="T97" s="43">
        <f>Ranking!AU97</f>
        <v>1</v>
      </c>
      <c r="U97" s="23"/>
      <c r="Y97" s="3"/>
      <c r="Z97" s="33"/>
    </row>
    <row r="98" spans="1:26" ht="54" customHeight="1" x14ac:dyDescent="0.25">
      <c r="B98" s="22" t="s">
        <v>104</v>
      </c>
      <c r="C98" s="11"/>
      <c r="D98" s="70"/>
      <c r="E98" s="23"/>
      <c r="F98" s="21"/>
      <c r="G98" s="14"/>
      <c r="H98" s="14"/>
      <c r="I98" s="14"/>
      <c r="J98" s="14"/>
      <c r="K98" s="14"/>
      <c r="L98" s="51"/>
      <c r="M98" s="14"/>
      <c r="N98" s="14"/>
      <c r="O98" s="14"/>
      <c r="P98" s="41"/>
      <c r="Q98" s="14"/>
      <c r="R98" s="14"/>
      <c r="S98" s="14"/>
      <c r="T98" s="43">
        <f>Ranking!AU98</f>
        <v>1</v>
      </c>
      <c r="U98" s="23"/>
      <c r="Y98" s="3"/>
      <c r="Z98" s="33"/>
    </row>
    <row r="99" spans="1:26" ht="54" customHeight="1" x14ac:dyDescent="0.25">
      <c r="B99" s="22" t="s">
        <v>105</v>
      </c>
      <c r="C99" s="11"/>
      <c r="D99" s="70"/>
      <c r="E99" s="23"/>
      <c r="F99" s="21"/>
      <c r="G99" s="21"/>
      <c r="H99" s="21"/>
      <c r="I99" s="14"/>
      <c r="J99" s="14"/>
      <c r="K99" s="14"/>
      <c r="L99" s="51"/>
      <c r="M99" s="14"/>
      <c r="N99" s="14"/>
      <c r="O99" s="14"/>
      <c r="P99" s="41"/>
      <c r="Q99" s="14"/>
      <c r="R99" s="14"/>
      <c r="S99" s="14"/>
      <c r="T99" s="43">
        <f>Ranking!AU99</f>
        <v>1</v>
      </c>
      <c r="U99" s="23"/>
      <c r="Y99" s="3"/>
      <c r="Z99" s="33"/>
    </row>
    <row r="100" spans="1:26" ht="54" customHeight="1" x14ac:dyDescent="0.25">
      <c r="B100" s="22" t="s">
        <v>106</v>
      </c>
      <c r="C100" s="11"/>
      <c r="D100" s="70"/>
      <c r="E100" s="23"/>
      <c r="F100" s="21"/>
      <c r="G100" s="21"/>
      <c r="H100" s="21"/>
      <c r="I100" s="21"/>
      <c r="J100" s="21"/>
      <c r="K100" s="14"/>
      <c r="L100" s="51"/>
      <c r="M100" s="14"/>
      <c r="N100" s="14"/>
      <c r="O100" s="14"/>
      <c r="P100" s="41"/>
      <c r="Q100" s="14"/>
      <c r="R100" s="14"/>
      <c r="S100" s="14"/>
      <c r="T100" s="43">
        <f>Ranking!AU100</f>
        <v>1</v>
      </c>
      <c r="U100" s="23"/>
      <c r="Y100" s="3"/>
      <c r="Z100" s="33"/>
    </row>
    <row r="101" spans="1:26" ht="54" customHeight="1" x14ac:dyDescent="0.25">
      <c r="B101" s="22" t="s">
        <v>107</v>
      </c>
      <c r="C101" s="11"/>
      <c r="D101" s="70"/>
      <c r="E101" s="23"/>
      <c r="F101" s="21"/>
      <c r="G101" s="14"/>
      <c r="H101" s="14"/>
      <c r="I101" s="14"/>
      <c r="J101" s="14"/>
      <c r="K101" s="14"/>
      <c r="L101" s="51"/>
      <c r="M101" s="14"/>
      <c r="N101" s="14"/>
      <c r="O101" s="14"/>
      <c r="P101" s="41"/>
      <c r="Q101" s="14"/>
      <c r="R101" s="14"/>
      <c r="S101" s="14"/>
      <c r="T101" s="43">
        <f>Ranking!AU101</f>
        <v>1</v>
      </c>
      <c r="U101" s="23"/>
      <c r="Y101" s="3"/>
      <c r="Z101" s="33"/>
    </row>
    <row r="102" spans="1:26" ht="54" customHeight="1" x14ac:dyDescent="0.25">
      <c r="B102" s="22" t="s">
        <v>108</v>
      </c>
      <c r="C102" s="11"/>
      <c r="D102" s="70"/>
      <c r="E102" s="23"/>
      <c r="F102" s="21"/>
      <c r="G102" s="21"/>
      <c r="H102" s="21"/>
      <c r="I102" s="21"/>
      <c r="J102" s="21"/>
      <c r="K102" s="32"/>
      <c r="L102" s="54"/>
      <c r="M102" s="14"/>
      <c r="N102" s="14"/>
      <c r="O102" s="14"/>
      <c r="P102" s="41"/>
      <c r="Q102" s="14"/>
      <c r="R102" s="14"/>
      <c r="S102" s="14"/>
      <c r="T102" s="43">
        <f>Ranking!AU102</f>
        <v>1</v>
      </c>
      <c r="U102" s="23"/>
      <c r="Y102" s="3"/>
      <c r="Z102" s="33"/>
    </row>
    <row r="103" spans="1:26" ht="54" customHeight="1" x14ac:dyDescent="0.25">
      <c r="B103" s="22" t="s">
        <v>109</v>
      </c>
      <c r="C103" s="11"/>
      <c r="D103" s="70"/>
      <c r="E103" s="23"/>
      <c r="F103" s="21"/>
      <c r="G103" s="14"/>
      <c r="H103" s="14"/>
      <c r="I103" s="14"/>
      <c r="J103" s="14"/>
      <c r="K103" s="14"/>
      <c r="L103" s="51"/>
      <c r="M103" s="14"/>
      <c r="N103" s="14"/>
      <c r="O103" s="14"/>
      <c r="P103" s="41"/>
      <c r="Q103" s="14"/>
      <c r="R103" s="14"/>
      <c r="S103" s="14"/>
      <c r="T103" s="43">
        <f>Ranking!AU103</f>
        <v>1</v>
      </c>
      <c r="U103" s="23"/>
      <c r="Y103" s="3"/>
      <c r="Z103" s="33"/>
    </row>
    <row r="104" spans="1:26" ht="54" customHeight="1" x14ac:dyDescent="0.25">
      <c r="B104" s="22" t="s">
        <v>110</v>
      </c>
      <c r="C104" s="11"/>
      <c r="D104" s="70"/>
      <c r="E104" s="23"/>
      <c r="F104" s="21"/>
      <c r="G104" s="14"/>
      <c r="H104" s="14"/>
      <c r="I104" s="14"/>
      <c r="J104" s="14"/>
      <c r="K104" s="14"/>
      <c r="L104" s="51"/>
      <c r="M104" s="14"/>
      <c r="N104" s="14"/>
      <c r="O104" s="14"/>
      <c r="P104" s="41"/>
      <c r="Q104" s="14"/>
      <c r="R104" s="14"/>
      <c r="S104" s="14"/>
      <c r="T104" s="43">
        <f>Ranking!AU104</f>
        <v>1</v>
      </c>
      <c r="U104" s="23"/>
      <c r="Y104" s="3"/>
      <c r="Z104" s="33"/>
    </row>
    <row r="105" spans="1:26" ht="54" customHeight="1" x14ac:dyDescent="0.25">
      <c r="B105" s="22" t="s">
        <v>111</v>
      </c>
      <c r="C105" s="11"/>
      <c r="D105" s="70"/>
      <c r="E105" s="23"/>
      <c r="F105" s="21"/>
      <c r="G105" s="14"/>
      <c r="H105" s="14"/>
      <c r="I105" s="21"/>
      <c r="J105" s="21"/>
      <c r="K105" s="14"/>
      <c r="L105" s="51"/>
      <c r="M105" s="14"/>
      <c r="N105" s="14"/>
      <c r="O105" s="14"/>
      <c r="P105" s="41"/>
      <c r="Q105" s="14"/>
      <c r="R105" s="14"/>
      <c r="S105" s="14"/>
      <c r="T105" s="43">
        <f>Ranking!AU105</f>
        <v>1</v>
      </c>
      <c r="U105" s="23"/>
      <c r="Y105" s="3"/>
      <c r="Z105" s="33"/>
    </row>
    <row r="106" spans="1:26" ht="54" customHeight="1" x14ac:dyDescent="0.25">
      <c r="B106" s="22" t="s">
        <v>112</v>
      </c>
      <c r="C106" s="11"/>
      <c r="D106" s="70"/>
      <c r="E106" s="23"/>
      <c r="F106" s="21"/>
      <c r="G106" s="14"/>
      <c r="H106" s="14"/>
      <c r="I106" s="21"/>
      <c r="J106" s="21"/>
      <c r="K106" s="14"/>
      <c r="L106" s="51"/>
      <c r="M106" s="14"/>
      <c r="N106" s="14"/>
      <c r="O106" s="14"/>
      <c r="P106" s="41"/>
      <c r="Q106" s="14"/>
      <c r="R106" s="14"/>
      <c r="S106" s="14"/>
      <c r="T106" s="43">
        <f>Ranking!AU106</f>
        <v>1</v>
      </c>
      <c r="U106" s="23"/>
      <c r="Y106" s="3"/>
      <c r="Z106" s="33"/>
    </row>
    <row r="107" spans="1:26" ht="54" customHeight="1" x14ac:dyDescent="0.25">
      <c r="B107" s="22" t="s">
        <v>113</v>
      </c>
      <c r="C107" s="11"/>
      <c r="D107" s="70"/>
      <c r="E107" s="23"/>
      <c r="F107" s="21"/>
      <c r="G107" s="14"/>
      <c r="H107" s="14"/>
      <c r="I107" s="21"/>
      <c r="J107" s="21"/>
      <c r="K107" s="14"/>
      <c r="L107" s="51"/>
      <c r="M107" s="14"/>
      <c r="N107" s="14"/>
      <c r="O107" s="14"/>
      <c r="P107" s="41"/>
      <c r="Q107" s="14"/>
      <c r="R107" s="14"/>
      <c r="S107" s="14"/>
      <c r="T107" s="43">
        <f>Ranking!AU107</f>
        <v>1</v>
      </c>
      <c r="U107" s="23"/>
      <c r="Y107" s="3"/>
      <c r="Z107" s="33"/>
    </row>
    <row r="108" spans="1:26" ht="54" customHeight="1" x14ac:dyDescent="0.25">
      <c r="B108" s="22" t="s">
        <v>114</v>
      </c>
      <c r="C108" s="11"/>
      <c r="D108" s="70"/>
      <c r="E108" s="23"/>
      <c r="F108" s="21"/>
      <c r="G108" s="14"/>
      <c r="H108" s="14"/>
      <c r="I108" s="21"/>
      <c r="J108" s="21"/>
      <c r="K108" s="14"/>
      <c r="L108" s="51"/>
      <c r="M108" s="14"/>
      <c r="N108" s="14"/>
      <c r="O108" s="14"/>
      <c r="P108" s="41"/>
      <c r="Q108" s="14"/>
      <c r="R108" s="14"/>
      <c r="S108" s="14"/>
      <c r="T108" s="43">
        <f>Ranking!AU108</f>
        <v>1</v>
      </c>
      <c r="U108" s="23"/>
      <c r="Y108" s="3"/>
      <c r="Z108" s="33"/>
    </row>
    <row r="109" spans="1:26" ht="54" customHeight="1" x14ac:dyDescent="0.25">
      <c r="B109" s="22" t="s">
        <v>115</v>
      </c>
      <c r="C109" s="11"/>
      <c r="D109" s="70"/>
      <c r="E109" s="23"/>
      <c r="F109" s="21"/>
      <c r="G109" s="14"/>
      <c r="H109" s="14"/>
      <c r="I109" s="21"/>
      <c r="J109" s="21"/>
      <c r="K109" s="32"/>
      <c r="L109" s="51"/>
      <c r="M109" s="14"/>
      <c r="N109" s="14"/>
      <c r="O109" s="14"/>
      <c r="P109" s="41"/>
      <c r="Q109" s="14"/>
      <c r="R109" s="14"/>
      <c r="S109" s="14"/>
      <c r="T109" s="43">
        <f>Ranking!AU109</f>
        <v>1</v>
      </c>
      <c r="U109" s="23"/>
      <c r="Y109" s="3"/>
      <c r="Z109" s="33"/>
    </row>
    <row r="110" spans="1:26" ht="54" customHeight="1" x14ac:dyDescent="0.25">
      <c r="B110" s="22" t="s">
        <v>116</v>
      </c>
      <c r="C110" s="11"/>
      <c r="D110" s="70"/>
      <c r="E110" s="23"/>
      <c r="F110" s="21"/>
      <c r="G110" s="14"/>
      <c r="H110" s="14"/>
      <c r="I110" s="21"/>
      <c r="J110" s="14"/>
      <c r="K110" s="14"/>
      <c r="L110" s="51"/>
      <c r="M110" s="14"/>
      <c r="N110" s="14"/>
      <c r="O110" s="14"/>
      <c r="P110" s="41"/>
      <c r="Q110" s="14"/>
      <c r="R110" s="14"/>
      <c r="S110" s="14"/>
      <c r="T110" s="43">
        <f>Ranking!AU110</f>
        <v>1</v>
      </c>
      <c r="U110" s="23"/>
      <c r="Y110" s="3"/>
      <c r="Z110" s="33"/>
    </row>
    <row r="111" spans="1:26" ht="54" customHeight="1" x14ac:dyDescent="0.25">
      <c r="B111" s="22" t="s">
        <v>117</v>
      </c>
      <c r="C111" s="11"/>
      <c r="D111" s="70"/>
      <c r="E111" s="23"/>
      <c r="F111" s="21"/>
      <c r="G111" s="21"/>
      <c r="H111" s="21"/>
      <c r="I111" s="21"/>
      <c r="J111" s="21"/>
      <c r="K111" s="32"/>
      <c r="L111" s="54"/>
      <c r="M111" s="14"/>
      <c r="N111" s="14"/>
      <c r="O111" s="14"/>
      <c r="P111" s="41"/>
      <c r="Q111" s="14"/>
      <c r="R111" s="14"/>
      <c r="S111" s="14"/>
      <c r="T111" s="43">
        <f>Ranking!AU111</f>
        <v>1</v>
      </c>
      <c r="U111" s="23"/>
      <c r="Y111" s="3"/>
      <c r="Z111" s="33"/>
    </row>
    <row r="112" spans="1:26" ht="54" customHeight="1" x14ac:dyDescent="0.25">
      <c r="B112" s="22" t="s">
        <v>118</v>
      </c>
      <c r="C112" s="11"/>
      <c r="D112" s="70"/>
      <c r="E112" s="23"/>
      <c r="F112" s="21"/>
      <c r="G112" s="21"/>
      <c r="H112" s="21"/>
      <c r="I112" s="21"/>
      <c r="J112" s="21"/>
      <c r="K112" s="32"/>
      <c r="L112" s="51"/>
      <c r="M112" s="14"/>
      <c r="N112" s="14"/>
      <c r="O112" s="14"/>
      <c r="P112" s="41"/>
      <c r="Q112" s="14"/>
      <c r="R112" s="14"/>
      <c r="S112" s="14"/>
      <c r="T112" s="43">
        <f>Ranking!AU112</f>
        <v>1</v>
      </c>
      <c r="U112" s="23"/>
      <c r="Y112" s="3"/>
      <c r="Z112" s="33"/>
    </row>
    <row r="113" spans="1:26" ht="54" customHeight="1" x14ac:dyDescent="0.25">
      <c r="B113" s="22" t="s">
        <v>119</v>
      </c>
      <c r="C113" s="11"/>
      <c r="D113" s="70"/>
      <c r="E113" s="23"/>
      <c r="F113" s="21"/>
      <c r="G113" s="21"/>
      <c r="H113" s="21"/>
      <c r="I113" s="21"/>
      <c r="J113" s="14"/>
      <c r="K113" s="14"/>
      <c r="L113" s="51"/>
      <c r="M113" s="14"/>
      <c r="N113" s="14"/>
      <c r="O113" s="14"/>
      <c r="P113" s="41"/>
      <c r="Q113" s="14"/>
      <c r="R113" s="14"/>
      <c r="S113" s="14"/>
      <c r="T113" s="43">
        <f>Ranking!AU113</f>
        <v>1</v>
      </c>
      <c r="U113" s="23"/>
      <c r="Y113" s="3"/>
      <c r="Z113" s="33"/>
    </row>
    <row r="114" spans="1:26" ht="54" customHeight="1" x14ac:dyDescent="0.25">
      <c r="B114" s="22" t="s">
        <v>120</v>
      </c>
      <c r="C114" s="11"/>
      <c r="D114" s="70"/>
      <c r="E114" s="23"/>
      <c r="F114" s="21"/>
      <c r="G114" s="21"/>
      <c r="H114" s="21"/>
      <c r="I114" s="21"/>
      <c r="J114" s="14"/>
      <c r="K114" s="14"/>
      <c r="L114" s="51"/>
      <c r="M114" s="14"/>
      <c r="N114" s="14"/>
      <c r="O114" s="14"/>
      <c r="P114" s="41"/>
      <c r="Q114" s="14"/>
      <c r="R114" s="14"/>
      <c r="S114" s="14"/>
      <c r="T114" s="43">
        <f>Ranking!AU114</f>
        <v>1</v>
      </c>
      <c r="U114" s="23"/>
      <c r="Y114" s="3"/>
      <c r="Z114" s="33"/>
    </row>
    <row r="115" spans="1:26" ht="54" customHeight="1" x14ac:dyDescent="0.25">
      <c r="B115" s="22" t="s">
        <v>121</v>
      </c>
      <c r="C115" s="11"/>
      <c r="D115" s="70"/>
      <c r="E115" s="23"/>
      <c r="F115" s="21"/>
      <c r="G115" s="21"/>
      <c r="H115" s="21"/>
      <c r="I115" s="21"/>
      <c r="J115" s="14"/>
      <c r="K115" s="14"/>
      <c r="L115" s="51"/>
      <c r="M115" s="14"/>
      <c r="N115" s="14"/>
      <c r="O115" s="14"/>
      <c r="P115" s="41"/>
      <c r="Q115" s="14"/>
      <c r="R115" s="14"/>
      <c r="S115" s="14"/>
      <c r="T115" s="43">
        <f>Ranking!AU115</f>
        <v>1</v>
      </c>
      <c r="U115" s="23"/>
      <c r="Y115" s="3"/>
      <c r="Z115" s="33"/>
    </row>
    <row r="116" spans="1:26" ht="54" customHeight="1" x14ac:dyDescent="0.25">
      <c r="A116" s="36"/>
      <c r="B116" s="22" t="s">
        <v>122</v>
      </c>
      <c r="C116" s="11"/>
      <c r="D116" s="70"/>
      <c r="E116" s="23"/>
      <c r="F116" s="21"/>
      <c r="G116" s="21"/>
      <c r="H116" s="21"/>
      <c r="I116" s="21"/>
      <c r="J116" s="21"/>
      <c r="K116" s="21"/>
      <c r="L116" s="52"/>
      <c r="M116" s="14"/>
      <c r="N116" s="14"/>
      <c r="O116" s="14"/>
      <c r="P116" s="41"/>
      <c r="Q116" s="14"/>
      <c r="R116" s="14"/>
      <c r="S116" s="14"/>
      <c r="T116" s="43">
        <f>Ranking!AU116</f>
        <v>1</v>
      </c>
      <c r="U116" s="23"/>
      <c r="Y116" s="3"/>
      <c r="Z116" s="33"/>
    </row>
    <row r="117" spans="1:26" ht="54" customHeight="1" x14ac:dyDescent="0.25">
      <c r="A117" s="36"/>
      <c r="B117" s="22" t="s">
        <v>123</v>
      </c>
      <c r="C117" s="11"/>
      <c r="D117" s="70"/>
      <c r="E117" s="23"/>
      <c r="F117" s="21"/>
      <c r="G117" s="21"/>
      <c r="H117" s="21"/>
      <c r="I117" s="21"/>
      <c r="J117" s="21"/>
      <c r="K117" s="21"/>
      <c r="L117" s="52"/>
      <c r="M117" s="14"/>
      <c r="N117" s="14"/>
      <c r="O117" s="14"/>
      <c r="P117" s="41"/>
      <c r="Q117" s="14"/>
      <c r="R117" s="14"/>
      <c r="S117" s="14"/>
      <c r="T117" s="43">
        <f>Ranking!AU117</f>
        <v>1</v>
      </c>
      <c r="U117" s="23"/>
      <c r="Y117" s="3"/>
      <c r="Z117" s="33"/>
    </row>
    <row r="118" spans="1:26" ht="54" customHeight="1" x14ac:dyDescent="0.25">
      <c r="A118" s="36"/>
      <c r="B118" s="22" t="s">
        <v>124</v>
      </c>
      <c r="C118" s="11"/>
      <c r="D118" s="70"/>
      <c r="E118" s="23"/>
      <c r="F118" s="21"/>
      <c r="G118" s="21"/>
      <c r="H118" s="21"/>
      <c r="I118" s="21"/>
      <c r="J118" s="21"/>
      <c r="K118" s="21"/>
      <c r="L118" s="52"/>
      <c r="M118" s="14"/>
      <c r="N118" s="14"/>
      <c r="O118" s="14"/>
      <c r="P118" s="41"/>
      <c r="Q118" s="14"/>
      <c r="R118" s="14"/>
      <c r="S118" s="14"/>
      <c r="T118" s="43">
        <f>Ranking!AU118</f>
        <v>1</v>
      </c>
      <c r="U118" s="23"/>
      <c r="Y118" s="3"/>
      <c r="Z118" s="33"/>
    </row>
    <row r="119" spans="1:26" ht="54" customHeight="1" x14ac:dyDescent="0.25">
      <c r="A119" s="36"/>
      <c r="B119" s="22" t="s">
        <v>125</v>
      </c>
      <c r="C119" s="11"/>
      <c r="D119" s="70"/>
      <c r="E119" s="23"/>
      <c r="F119" s="21"/>
      <c r="G119" s="21"/>
      <c r="H119" s="21"/>
      <c r="I119" s="21"/>
      <c r="J119" s="21"/>
      <c r="K119" s="21"/>
      <c r="L119" s="52"/>
      <c r="M119" s="14"/>
      <c r="N119" s="14"/>
      <c r="O119" s="14"/>
      <c r="P119" s="41"/>
      <c r="Q119" s="14"/>
      <c r="R119" s="14"/>
      <c r="S119" s="14"/>
      <c r="T119" s="43">
        <f>Ranking!AU119</f>
        <v>1</v>
      </c>
      <c r="U119" s="23"/>
      <c r="Y119" s="3"/>
      <c r="Z119" s="33"/>
    </row>
    <row r="120" spans="1:26" ht="54" customHeight="1" x14ac:dyDescent="0.25">
      <c r="A120" s="36"/>
      <c r="B120" s="22" t="s">
        <v>126</v>
      </c>
      <c r="C120" s="11"/>
      <c r="D120" s="70"/>
      <c r="E120" s="23"/>
      <c r="F120" s="21"/>
      <c r="G120" s="21"/>
      <c r="H120" s="21"/>
      <c r="I120" s="21"/>
      <c r="J120" s="21"/>
      <c r="K120" s="21"/>
      <c r="L120" s="52"/>
      <c r="M120" s="14"/>
      <c r="N120" s="14"/>
      <c r="O120" s="14"/>
      <c r="P120" s="41"/>
      <c r="Q120" s="14"/>
      <c r="R120" s="14"/>
      <c r="S120" s="14"/>
      <c r="T120" s="43">
        <f>Ranking!AU120</f>
        <v>1</v>
      </c>
      <c r="U120" s="23"/>
      <c r="Y120" s="3"/>
      <c r="Z120" s="33"/>
    </row>
    <row r="121" spans="1:26" ht="54" customHeight="1" x14ac:dyDescent="0.25">
      <c r="B121" s="22" t="s">
        <v>127</v>
      </c>
      <c r="C121" s="11"/>
      <c r="D121" s="70"/>
      <c r="E121" s="23"/>
      <c r="F121" s="21"/>
      <c r="G121" s="14"/>
      <c r="H121" s="14"/>
      <c r="I121" s="21"/>
      <c r="J121" s="21"/>
      <c r="K121" s="21"/>
      <c r="L121" s="52"/>
      <c r="M121" s="14"/>
      <c r="N121" s="14"/>
      <c r="O121" s="14"/>
      <c r="P121" s="41"/>
      <c r="Q121" s="14"/>
      <c r="R121" s="14"/>
      <c r="S121" s="14"/>
      <c r="T121" s="43">
        <f>Ranking!AU121</f>
        <v>1</v>
      </c>
      <c r="U121" s="23"/>
      <c r="Y121" s="3"/>
      <c r="Z121" s="33"/>
    </row>
    <row r="122" spans="1:26" ht="54" customHeight="1" x14ac:dyDescent="0.25">
      <c r="B122" s="22" t="s">
        <v>128</v>
      </c>
      <c r="C122" s="11"/>
      <c r="D122" s="70"/>
      <c r="E122" s="23"/>
      <c r="F122" s="21"/>
      <c r="G122" s="21"/>
      <c r="H122" s="21"/>
      <c r="I122" s="21"/>
      <c r="J122" s="14"/>
      <c r="K122" s="21"/>
      <c r="L122" s="51"/>
      <c r="M122" s="14"/>
      <c r="N122" s="14"/>
      <c r="O122" s="14"/>
      <c r="P122" s="41"/>
      <c r="Q122" s="14"/>
      <c r="R122" s="14"/>
      <c r="S122" s="14"/>
      <c r="T122" s="43">
        <f>Ranking!AU122</f>
        <v>1</v>
      </c>
      <c r="U122" s="23"/>
      <c r="Y122" s="3"/>
      <c r="Z122" s="33"/>
    </row>
    <row r="123" spans="1:26" ht="54" customHeight="1" x14ac:dyDescent="0.25">
      <c r="B123" s="22" t="s">
        <v>129</v>
      </c>
      <c r="C123" s="11"/>
      <c r="D123" s="70"/>
      <c r="E123" s="23"/>
      <c r="F123" s="21"/>
      <c r="G123" s="14"/>
      <c r="H123" s="14"/>
      <c r="I123" s="14"/>
      <c r="J123" s="14"/>
      <c r="K123" s="14"/>
      <c r="L123" s="51"/>
      <c r="M123" s="14"/>
      <c r="N123" s="14"/>
      <c r="O123" s="14"/>
      <c r="P123" s="41"/>
      <c r="Q123" s="14"/>
      <c r="R123" s="14"/>
      <c r="S123" s="14"/>
      <c r="T123" s="43">
        <f>Ranking!AU123</f>
        <v>1</v>
      </c>
      <c r="U123" s="23"/>
      <c r="Y123" s="3"/>
      <c r="Z123" s="33"/>
    </row>
    <row r="124" spans="1:26" ht="54" customHeight="1" x14ac:dyDescent="0.25">
      <c r="B124" s="22" t="s">
        <v>130</v>
      </c>
      <c r="C124" s="11"/>
      <c r="D124" s="70"/>
      <c r="E124" s="23"/>
      <c r="F124" s="21"/>
      <c r="G124" s="21"/>
      <c r="H124" s="21"/>
      <c r="I124" s="21"/>
      <c r="J124" s="21"/>
      <c r="K124" s="14"/>
      <c r="L124" s="51"/>
      <c r="M124" s="14"/>
      <c r="N124" s="14"/>
      <c r="O124" s="14"/>
      <c r="P124" s="41"/>
      <c r="Q124" s="14"/>
      <c r="R124" s="14"/>
      <c r="S124" s="14"/>
      <c r="T124" s="43">
        <f>Ranking!AU124</f>
        <v>1</v>
      </c>
      <c r="U124" s="23"/>
      <c r="Y124" s="3"/>
      <c r="Z124" s="33"/>
    </row>
    <row r="125" spans="1:26" ht="54" customHeight="1" x14ac:dyDescent="0.25">
      <c r="B125" s="22" t="s">
        <v>131</v>
      </c>
      <c r="C125" s="11"/>
      <c r="D125" s="70"/>
      <c r="E125" s="23"/>
      <c r="F125" s="21"/>
      <c r="G125" s="21"/>
      <c r="H125" s="21"/>
      <c r="I125" s="21"/>
      <c r="J125" s="21"/>
      <c r="K125" s="21"/>
      <c r="L125" s="51"/>
      <c r="M125" s="14"/>
      <c r="N125" s="14"/>
      <c r="O125" s="14"/>
      <c r="P125" s="41"/>
      <c r="Q125" s="14"/>
      <c r="R125" s="14"/>
      <c r="S125" s="14"/>
      <c r="T125" s="43">
        <f>Ranking!AU125</f>
        <v>1</v>
      </c>
      <c r="U125" s="23"/>
      <c r="Y125" s="3"/>
      <c r="Z125" s="33"/>
    </row>
    <row r="126" spans="1:26" ht="54" customHeight="1" x14ac:dyDescent="0.25">
      <c r="B126" s="22" t="s">
        <v>132</v>
      </c>
      <c r="C126" s="11"/>
      <c r="D126" s="70"/>
      <c r="E126" s="23"/>
      <c r="F126" s="21"/>
      <c r="G126" s="21"/>
      <c r="H126" s="21"/>
      <c r="I126" s="21"/>
      <c r="J126" s="21"/>
      <c r="K126" s="21"/>
      <c r="L126" s="51"/>
      <c r="M126" s="14"/>
      <c r="N126" s="14"/>
      <c r="O126" s="14"/>
      <c r="P126" s="41"/>
      <c r="Q126" s="14"/>
      <c r="R126" s="14"/>
      <c r="S126" s="14"/>
      <c r="T126" s="43">
        <f>Ranking!AU126</f>
        <v>1</v>
      </c>
      <c r="U126" s="23"/>
      <c r="Y126" s="3"/>
      <c r="Z126" s="33"/>
    </row>
    <row r="127" spans="1:26" ht="54" customHeight="1" x14ac:dyDescent="0.25">
      <c r="B127" s="22" t="s">
        <v>133</v>
      </c>
      <c r="C127" s="11"/>
      <c r="D127" s="70"/>
      <c r="E127" s="23"/>
      <c r="F127" s="21"/>
      <c r="G127" s="21"/>
      <c r="H127" s="21"/>
      <c r="I127" s="21"/>
      <c r="J127" s="14"/>
      <c r="K127" s="14"/>
      <c r="L127" s="51"/>
      <c r="M127" s="14"/>
      <c r="N127" s="14"/>
      <c r="O127" s="14"/>
      <c r="P127" s="41"/>
      <c r="Q127" s="14"/>
      <c r="R127" s="14"/>
      <c r="S127" s="14"/>
      <c r="T127" s="43">
        <f>Ranking!AU127</f>
        <v>1</v>
      </c>
      <c r="U127" s="23"/>
      <c r="Y127" s="3"/>
      <c r="Z127" s="33"/>
    </row>
    <row r="128" spans="1:26" ht="54" customHeight="1" x14ac:dyDescent="0.25">
      <c r="B128" s="22" t="s">
        <v>134</v>
      </c>
      <c r="C128" s="11"/>
      <c r="D128" s="70"/>
      <c r="E128" s="23"/>
      <c r="F128" s="21"/>
      <c r="G128" s="21"/>
      <c r="H128" s="21"/>
      <c r="I128" s="21"/>
      <c r="J128" s="14"/>
      <c r="K128" s="14"/>
      <c r="L128" s="51"/>
      <c r="M128" s="14"/>
      <c r="N128" s="14"/>
      <c r="O128" s="14"/>
      <c r="P128" s="41"/>
      <c r="Q128" s="14"/>
      <c r="R128" s="14"/>
      <c r="S128" s="14"/>
      <c r="T128" s="43">
        <f>Ranking!AU128</f>
        <v>1</v>
      </c>
      <c r="U128" s="23"/>
      <c r="Y128" s="3"/>
      <c r="Z128" s="33"/>
    </row>
    <row r="129" spans="1:26" ht="54" customHeight="1" x14ac:dyDescent="0.25">
      <c r="B129" s="22" t="s">
        <v>135</v>
      </c>
      <c r="C129" s="11"/>
      <c r="D129" s="70"/>
      <c r="E129" s="23"/>
      <c r="F129" s="21"/>
      <c r="G129" s="14"/>
      <c r="H129" s="14"/>
      <c r="I129" s="14"/>
      <c r="J129" s="14"/>
      <c r="K129" s="14"/>
      <c r="L129" s="51"/>
      <c r="M129" s="14"/>
      <c r="N129" s="14"/>
      <c r="O129" s="14"/>
      <c r="P129" s="41"/>
      <c r="Q129" s="14"/>
      <c r="R129" s="14"/>
      <c r="S129" s="14"/>
      <c r="T129" s="43">
        <f>Ranking!AU129</f>
        <v>1</v>
      </c>
      <c r="U129" s="23"/>
      <c r="Y129" s="3"/>
      <c r="Z129" s="33"/>
    </row>
    <row r="130" spans="1:26" ht="54" customHeight="1" x14ac:dyDescent="0.25">
      <c r="B130" s="22" t="s">
        <v>136</v>
      </c>
      <c r="C130" s="11"/>
      <c r="D130" s="70"/>
      <c r="E130" s="23"/>
      <c r="F130" s="21"/>
      <c r="G130" s="14"/>
      <c r="H130" s="14"/>
      <c r="I130" s="14"/>
      <c r="J130" s="14"/>
      <c r="K130" s="14"/>
      <c r="L130" s="51"/>
      <c r="M130" s="14"/>
      <c r="N130" s="14"/>
      <c r="O130" s="14"/>
      <c r="P130" s="41"/>
      <c r="Q130" s="14"/>
      <c r="R130" s="14"/>
      <c r="S130" s="14"/>
      <c r="T130" s="43">
        <f>Ranking!AU130</f>
        <v>1</v>
      </c>
      <c r="U130" s="23"/>
      <c r="Y130" s="3"/>
      <c r="Z130" s="33"/>
    </row>
    <row r="131" spans="1:26" ht="54" customHeight="1" x14ac:dyDescent="0.25">
      <c r="B131" s="22" t="s">
        <v>137</v>
      </c>
      <c r="C131" s="11"/>
      <c r="D131" s="70"/>
      <c r="E131" s="23"/>
      <c r="F131" s="21"/>
      <c r="G131" s="21"/>
      <c r="H131" s="21"/>
      <c r="I131" s="21"/>
      <c r="J131" s="14"/>
      <c r="K131" s="14"/>
      <c r="L131" s="51"/>
      <c r="M131" s="14"/>
      <c r="N131" s="14"/>
      <c r="O131" s="14"/>
      <c r="P131" s="41"/>
      <c r="Q131" s="14"/>
      <c r="R131" s="14"/>
      <c r="S131" s="14"/>
      <c r="T131" s="43">
        <f>Ranking!AU131</f>
        <v>1</v>
      </c>
      <c r="U131" s="23"/>
      <c r="Y131" s="3"/>
      <c r="Z131" s="33"/>
    </row>
    <row r="132" spans="1:26" ht="54" customHeight="1" x14ac:dyDescent="0.25">
      <c r="B132" s="22" t="s">
        <v>138</v>
      </c>
      <c r="C132" s="11"/>
      <c r="D132" s="70"/>
      <c r="E132" s="23"/>
      <c r="F132" s="21"/>
      <c r="G132" s="14"/>
      <c r="H132" s="14"/>
      <c r="I132" s="21"/>
      <c r="J132" s="14"/>
      <c r="K132" s="14"/>
      <c r="L132" s="51"/>
      <c r="M132" s="14"/>
      <c r="N132" s="14"/>
      <c r="O132" s="14"/>
      <c r="P132" s="41"/>
      <c r="Q132" s="14"/>
      <c r="R132" s="14"/>
      <c r="S132" s="14"/>
      <c r="T132" s="43">
        <f>Ranking!AU132</f>
        <v>1</v>
      </c>
      <c r="U132" s="23"/>
      <c r="Y132" s="3"/>
      <c r="Z132" s="33"/>
    </row>
    <row r="133" spans="1:26" ht="54" customHeight="1" x14ac:dyDescent="0.25">
      <c r="B133" s="22" t="s">
        <v>139</v>
      </c>
      <c r="C133" s="11"/>
      <c r="D133" s="70"/>
      <c r="E133" s="23"/>
      <c r="F133" s="21"/>
      <c r="G133" s="14"/>
      <c r="H133" s="14"/>
      <c r="I133" s="14"/>
      <c r="J133" s="14"/>
      <c r="K133" s="14"/>
      <c r="L133" s="51"/>
      <c r="M133" s="14"/>
      <c r="N133" s="14"/>
      <c r="O133" s="14"/>
      <c r="P133" s="41"/>
      <c r="Q133" s="14"/>
      <c r="R133" s="14"/>
      <c r="S133" s="14"/>
      <c r="T133" s="43">
        <f>Ranking!AU133</f>
        <v>1</v>
      </c>
      <c r="U133" s="23"/>
      <c r="Y133" s="3"/>
      <c r="Z133" s="33"/>
    </row>
    <row r="134" spans="1:26" ht="54" customHeight="1" x14ac:dyDescent="0.25">
      <c r="B134" s="22" t="s">
        <v>140</v>
      </c>
      <c r="C134" s="11"/>
      <c r="D134" s="70"/>
      <c r="E134" s="23"/>
      <c r="F134" s="21"/>
      <c r="G134" s="14"/>
      <c r="H134" s="14"/>
      <c r="I134" s="14"/>
      <c r="J134" s="14"/>
      <c r="K134" s="14"/>
      <c r="L134" s="51"/>
      <c r="M134" s="14"/>
      <c r="N134" s="14"/>
      <c r="O134" s="14"/>
      <c r="P134" s="41"/>
      <c r="Q134" s="14"/>
      <c r="R134" s="14"/>
      <c r="S134" s="14"/>
      <c r="T134" s="43">
        <f>Ranking!AU134</f>
        <v>1</v>
      </c>
      <c r="U134" s="29"/>
      <c r="Y134" s="3"/>
      <c r="Z134" s="33"/>
    </row>
    <row r="135" spans="1:26" ht="54" customHeight="1" x14ac:dyDescent="0.25">
      <c r="B135" s="22" t="s">
        <v>141</v>
      </c>
      <c r="C135" s="11"/>
      <c r="D135" s="70"/>
      <c r="E135" s="23"/>
      <c r="F135" s="21"/>
      <c r="G135" s="14"/>
      <c r="H135" s="14"/>
      <c r="I135" s="14"/>
      <c r="J135" s="14"/>
      <c r="K135" s="14"/>
      <c r="L135" s="51"/>
      <c r="M135" s="14"/>
      <c r="N135" s="14"/>
      <c r="O135" s="14"/>
      <c r="P135" s="41"/>
      <c r="Q135" s="14"/>
      <c r="R135" s="14"/>
      <c r="S135" s="14"/>
      <c r="T135" s="43">
        <f>Ranking!AU135</f>
        <v>1</v>
      </c>
      <c r="U135" s="23"/>
      <c r="Y135" s="3"/>
      <c r="Z135" s="33"/>
    </row>
    <row r="136" spans="1:26" ht="54" customHeight="1" x14ac:dyDescent="0.25">
      <c r="B136" s="22" t="s">
        <v>142</v>
      </c>
      <c r="C136" s="11"/>
      <c r="D136" s="70"/>
      <c r="E136" s="23"/>
      <c r="F136" s="21"/>
      <c r="G136" s="14"/>
      <c r="H136" s="14"/>
      <c r="I136" s="21"/>
      <c r="J136" s="21"/>
      <c r="K136" s="14"/>
      <c r="L136" s="51"/>
      <c r="M136" s="14"/>
      <c r="N136" s="14"/>
      <c r="O136" s="14"/>
      <c r="P136" s="41"/>
      <c r="Q136" s="14"/>
      <c r="R136" s="14"/>
      <c r="S136" s="14"/>
      <c r="T136" s="43">
        <f>Ranking!AU136</f>
        <v>1</v>
      </c>
      <c r="U136" s="23"/>
      <c r="Y136" s="3"/>
      <c r="Z136" s="33"/>
    </row>
    <row r="137" spans="1:26" ht="54" customHeight="1" x14ac:dyDescent="0.25">
      <c r="B137" s="22" t="s">
        <v>143</v>
      </c>
      <c r="C137" s="11"/>
      <c r="D137" s="70"/>
      <c r="E137" s="23"/>
      <c r="F137" s="21"/>
      <c r="G137" s="14"/>
      <c r="H137" s="14"/>
      <c r="I137" s="21"/>
      <c r="J137" s="21"/>
      <c r="K137" s="14"/>
      <c r="L137" s="51"/>
      <c r="M137" s="14"/>
      <c r="N137" s="14"/>
      <c r="O137" s="14"/>
      <c r="P137" s="41"/>
      <c r="Q137" s="14"/>
      <c r="R137" s="14"/>
      <c r="S137" s="14"/>
      <c r="T137" s="43">
        <f>Ranking!AU137</f>
        <v>1</v>
      </c>
      <c r="U137" s="23"/>
      <c r="Y137" s="3"/>
      <c r="Z137" s="33"/>
    </row>
    <row r="138" spans="1:26" ht="54" customHeight="1" x14ac:dyDescent="0.25">
      <c r="B138" s="22" t="s">
        <v>144</v>
      </c>
      <c r="C138" s="11"/>
      <c r="D138" s="70"/>
      <c r="E138" s="23"/>
      <c r="F138" s="21"/>
      <c r="G138" s="14"/>
      <c r="H138" s="14"/>
      <c r="I138" s="21"/>
      <c r="J138" s="14"/>
      <c r="K138" s="14"/>
      <c r="L138" s="51"/>
      <c r="M138" s="14"/>
      <c r="N138" s="14"/>
      <c r="O138" s="14"/>
      <c r="P138" s="41"/>
      <c r="Q138" s="14"/>
      <c r="R138" s="14"/>
      <c r="S138" s="14"/>
      <c r="T138" s="43">
        <f>Ranking!AU138</f>
        <v>1</v>
      </c>
      <c r="U138" s="23"/>
      <c r="Y138" s="3"/>
      <c r="Z138" s="33"/>
    </row>
    <row r="139" spans="1:26" ht="54" customHeight="1" x14ac:dyDescent="0.25">
      <c r="A139" s="36"/>
      <c r="B139" s="22" t="s">
        <v>145</v>
      </c>
      <c r="C139" s="11"/>
      <c r="D139" s="70"/>
      <c r="E139" s="23"/>
      <c r="F139" s="21"/>
      <c r="G139" s="21"/>
      <c r="H139" s="21"/>
      <c r="I139" s="21"/>
      <c r="J139" s="21"/>
      <c r="K139" s="14"/>
      <c r="L139" s="51"/>
      <c r="M139" s="14"/>
      <c r="N139" s="14"/>
      <c r="O139" s="14"/>
      <c r="P139" s="41"/>
      <c r="Q139" s="14"/>
      <c r="R139" s="14"/>
      <c r="S139" s="14"/>
      <c r="T139" s="43">
        <f>Ranking!AU139</f>
        <v>1</v>
      </c>
      <c r="U139" s="23"/>
      <c r="Y139" s="3"/>
      <c r="Z139" s="33"/>
    </row>
    <row r="140" spans="1:26" ht="54" customHeight="1" x14ac:dyDescent="0.25">
      <c r="A140" s="36"/>
      <c r="B140" s="22" t="s">
        <v>146</v>
      </c>
      <c r="C140" s="11"/>
      <c r="D140" s="70"/>
      <c r="E140" s="23"/>
      <c r="F140" s="21"/>
      <c r="G140" s="21"/>
      <c r="H140" s="21"/>
      <c r="I140" s="21"/>
      <c r="J140" s="21"/>
      <c r="K140" s="14"/>
      <c r="L140" s="51"/>
      <c r="M140" s="14"/>
      <c r="N140" s="14"/>
      <c r="O140" s="14"/>
      <c r="P140" s="41"/>
      <c r="Q140" s="14"/>
      <c r="R140" s="14"/>
      <c r="S140" s="14"/>
      <c r="T140" s="43">
        <f>Ranking!AU140</f>
        <v>1</v>
      </c>
      <c r="U140" s="23"/>
      <c r="Y140" s="3"/>
      <c r="Z140" s="33"/>
    </row>
    <row r="141" spans="1:26" ht="54" customHeight="1" x14ac:dyDescent="0.25">
      <c r="A141" s="36"/>
      <c r="B141" s="22" t="s">
        <v>147</v>
      </c>
      <c r="C141" s="11"/>
      <c r="D141" s="70"/>
      <c r="E141" s="23"/>
      <c r="F141" s="21"/>
      <c r="G141" s="21"/>
      <c r="H141" s="21"/>
      <c r="I141" s="21"/>
      <c r="J141" s="21"/>
      <c r="K141" s="14"/>
      <c r="L141" s="51"/>
      <c r="M141" s="14"/>
      <c r="N141" s="14"/>
      <c r="O141" s="14"/>
      <c r="P141" s="41"/>
      <c r="Q141" s="14"/>
      <c r="R141" s="14"/>
      <c r="S141" s="14"/>
      <c r="T141" s="43">
        <f>Ranking!AU141</f>
        <v>1</v>
      </c>
      <c r="U141" s="23"/>
      <c r="Y141" s="3"/>
      <c r="Z141" s="33"/>
    </row>
    <row r="142" spans="1:26" ht="54" customHeight="1" x14ac:dyDescent="0.25">
      <c r="A142" s="36"/>
      <c r="B142" s="22" t="s">
        <v>148</v>
      </c>
      <c r="C142" s="11"/>
      <c r="D142" s="70"/>
      <c r="E142" s="23"/>
      <c r="F142" s="21"/>
      <c r="G142" s="21"/>
      <c r="H142" s="21"/>
      <c r="I142" s="21"/>
      <c r="J142" s="21"/>
      <c r="K142" s="14"/>
      <c r="L142" s="51"/>
      <c r="M142" s="14"/>
      <c r="N142" s="14"/>
      <c r="O142" s="14"/>
      <c r="P142" s="41"/>
      <c r="Q142" s="14"/>
      <c r="R142" s="14"/>
      <c r="S142" s="14"/>
      <c r="T142" s="43">
        <f>Ranking!AU142</f>
        <v>1</v>
      </c>
      <c r="U142" s="23"/>
      <c r="Y142" s="3"/>
      <c r="Z142" s="33"/>
    </row>
    <row r="143" spans="1:26" ht="54" customHeight="1" x14ac:dyDescent="0.25">
      <c r="A143" s="36"/>
      <c r="B143" s="22" t="s">
        <v>149</v>
      </c>
      <c r="C143" s="11"/>
      <c r="D143" s="70"/>
      <c r="E143" s="23"/>
      <c r="F143" s="21"/>
      <c r="G143" s="21"/>
      <c r="H143" s="21"/>
      <c r="I143" s="21"/>
      <c r="J143" s="21"/>
      <c r="K143" s="14"/>
      <c r="L143" s="51"/>
      <c r="M143" s="14"/>
      <c r="N143" s="14"/>
      <c r="O143" s="14"/>
      <c r="P143" s="41"/>
      <c r="Q143" s="14"/>
      <c r="R143" s="14"/>
      <c r="S143" s="14"/>
      <c r="T143" s="43">
        <f>Ranking!AU143</f>
        <v>1</v>
      </c>
      <c r="U143" s="23"/>
      <c r="Y143" s="3"/>
      <c r="Z143" s="33"/>
    </row>
    <row r="144" spans="1:26" ht="54" customHeight="1" x14ac:dyDescent="0.25">
      <c r="A144" s="36"/>
      <c r="B144" s="22" t="s">
        <v>150</v>
      </c>
      <c r="C144" s="11"/>
      <c r="D144" s="70"/>
      <c r="E144" s="23"/>
      <c r="F144" s="21"/>
      <c r="G144" s="21"/>
      <c r="H144" s="21"/>
      <c r="I144" s="21"/>
      <c r="J144" s="21"/>
      <c r="K144" s="14"/>
      <c r="L144" s="51"/>
      <c r="M144" s="14"/>
      <c r="N144" s="14"/>
      <c r="O144" s="14"/>
      <c r="P144" s="41"/>
      <c r="Q144" s="14"/>
      <c r="R144" s="14"/>
      <c r="S144" s="14"/>
      <c r="T144" s="43">
        <f>Ranking!AU144</f>
        <v>1</v>
      </c>
      <c r="U144" s="23"/>
      <c r="Y144" s="3"/>
      <c r="Z144" s="33"/>
    </row>
    <row r="145" spans="1:26" ht="54" customHeight="1" x14ac:dyDescent="0.25">
      <c r="A145" s="36"/>
      <c r="B145" s="22" t="s">
        <v>151</v>
      </c>
      <c r="C145" s="11"/>
      <c r="D145" s="70"/>
      <c r="E145" s="23"/>
      <c r="F145" s="21"/>
      <c r="G145" s="21"/>
      <c r="H145" s="21"/>
      <c r="I145" s="21"/>
      <c r="J145" s="21"/>
      <c r="K145" s="14"/>
      <c r="L145" s="51"/>
      <c r="M145" s="14"/>
      <c r="N145" s="14"/>
      <c r="O145" s="14"/>
      <c r="P145" s="41"/>
      <c r="Q145" s="14"/>
      <c r="R145" s="14"/>
      <c r="S145" s="14"/>
      <c r="T145" s="43">
        <f>Ranking!AU145</f>
        <v>1</v>
      </c>
      <c r="U145" s="23"/>
      <c r="Y145" s="3"/>
      <c r="Z145" s="33"/>
    </row>
    <row r="146" spans="1:26" ht="54" customHeight="1" x14ac:dyDescent="0.25">
      <c r="A146" s="36"/>
      <c r="B146" s="22" t="s">
        <v>152</v>
      </c>
      <c r="C146" s="11"/>
      <c r="D146" s="70"/>
      <c r="E146" s="23"/>
      <c r="F146" s="21"/>
      <c r="G146" s="21"/>
      <c r="H146" s="21"/>
      <c r="I146" s="21"/>
      <c r="J146" s="21"/>
      <c r="K146" s="14"/>
      <c r="L146" s="51"/>
      <c r="M146" s="14"/>
      <c r="N146" s="14"/>
      <c r="O146" s="14"/>
      <c r="P146" s="41"/>
      <c r="Q146" s="14"/>
      <c r="R146" s="14"/>
      <c r="S146" s="14"/>
      <c r="T146" s="43">
        <f>Ranking!AU146</f>
        <v>1</v>
      </c>
      <c r="U146" s="23"/>
      <c r="Y146" s="3"/>
      <c r="Z146" s="33"/>
    </row>
    <row r="147" spans="1:26" ht="54" customHeight="1" x14ac:dyDescent="0.25">
      <c r="A147" s="36"/>
      <c r="B147" s="22" t="s">
        <v>153</v>
      </c>
      <c r="C147" s="11"/>
      <c r="D147" s="70"/>
      <c r="E147" s="23"/>
      <c r="F147" s="21"/>
      <c r="G147" s="21"/>
      <c r="H147" s="21"/>
      <c r="I147" s="21"/>
      <c r="J147" s="21"/>
      <c r="K147" s="14"/>
      <c r="L147" s="51"/>
      <c r="M147" s="14"/>
      <c r="N147" s="14"/>
      <c r="O147" s="14"/>
      <c r="P147" s="41"/>
      <c r="Q147" s="14"/>
      <c r="R147" s="14"/>
      <c r="S147" s="14"/>
      <c r="T147" s="43">
        <f>Ranking!AU147</f>
        <v>1</v>
      </c>
      <c r="U147" s="23"/>
      <c r="Y147" s="3"/>
      <c r="Z147" s="33"/>
    </row>
    <row r="148" spans="1:26" ht="54" customHeight="1" x14ac:dyDescent="0.25">
      <c r="A148" s="36"/>
      <c r="B148" s="22" t="s">
        <v>154</v>
      </c>
      <c r="C148" s="11"/>
      <c r="D148" s="70"/>
      <c r="E148" s="23"/>
      <c r="F148" s="21"/>
      <c r="G148" s="21"/>
      <c r="H148" s="21"/>
      <c r="I148" s="21"/>
      <c r="J148" s="21"/>
      <c r="K148" s="14"/>
      <c r="L148" s="51"/>
      <c r="M148" s="14"/>
      <c r="N148" s="14"/>
      <c r="O148" s="14"/>
      <c r="P148" s="41"/>
      <c r="Q148" s="14"/>
      <c r="R148" s="14"/>
      <c r="S148" s="14"/>
      <c r="T148" s="43">
        <f>Ranking!AU148</f>
        <v>1</v>
      </c>
      <c r="U148" s="23"/>
      <c r="Y148" s="3"/>
      <c r="Z148" s="33"/>
    </row>
    <row r="149" spans="1:26" ht="54" customHeight="1" x14ac:dyDescent="0.25">
      <c r="A149" s="36"/>
      <c r="B149" s="22" t="s">
        <v>155</v>
      </c>
      <c r="C149" s="11"/>
      <c r="D149" s="70"/>
      <c r="E149" s="23"/>
      <c r="F149" s="21"/>
      <c r="G149" s="21"/>
      <c r="H149" s="21"/>
      <c r="I149" s="21"/>
      <c r="J149" s="21"/>
      <c r="K149" s="14"/>
      <c r="L149" s="51"/>
      <c r="M149" s="14"/>
      <c r="N149" s="14"/>
      <c r="O149" s="14"/>
      <c r="P149" s="41"/>
      <c r="Q149" s="14"/>
      <c r="R149" s="14"/>
      <c r="S149" s="14"/>
      <c r="T149" s="43">
        <f>Ranking!AU149</f>
        <v>1</v>
      </c>
      <c r="U149" s="23"/>
      <c r="Y149" s="3"/>
      <c r="Z149" s="33"/>
    </row>
    <row r="150" spans="1:26" ht="54" customHeight="1" x14ac:dyDescent="0.25">
      <c r="A150" s="36"/>
      <c r="B150" s="22" t="s">
        <v>156</v>
      </c>
      <c r="C150" s="11"/>
      <c r="D150" s="70"/>
      <c r="E150" s="23"/>
      <c r="F150" s="21"/>
      <c r="G150" s="21"/>
      <c r="H150" s="21"/>
      <c r="I150" s="21"/>
      <c r="J150" s="21"/>
      <c r="K150" s="14"/>
      <c r="L150" s="51"/>
      <c r="M150" s="14"/>
      <c r="N150" s="14"/>
      <c r="O150" s="14"/>
      <c r="P150" s="41"/>
      <c r="Q150" s="14"/>
      <c r="R150" s="14"/>
      <c r="S150" s="14"/>
      <c r="T150" s="43">
        <f>Ranking!AU150</f>
        <v>1</v>
      </c>
      <c r="U150" s="23"/>
      <c r="Y150" s="3"/>
      <c r="Z150" s="33"/>
    </row>
    <row r="151" spans="1:26" ht="54" customHeight="1" x14ac:dyDescent="0.25">
      <c r="A151" s="36"/>
      <c r="B151" s="22" t="s">
        <v>157</v>
      </c>
      <c r="C151" s="11"/>
      <c r="D151" s="70"/>
      <c r="E151" s="23"/>
      <c r="F151" s="21"/>
      <c r="G151" s="21"/>
      <c r="H151" s="21"/>
      <c r="I151" s="21"/>
      <c r="J151" s="21"/>
      <c r="K151" s="14"/>
      <c r="L151" s="51"/>
      <c r="M151" s="14"/>
      <c r="N151" s="14"/>
      <c r="O151" s="14"/>
      <c r="P151" s="41"/>
      <c r="Q151" s="14"/>
      <c r="R151" s="14"/>
      <c r="S151" s="14"/>
      <c r="T151" s="43">
        <f>Ranking!AU151</f>
        <v>1</v>
      </c>
      <c r="U151" s="23"/>
      <c r="Y151" s="3"/>
      <c r="Z151" s="33"/>
    </row>
    <row r="152" spans="1:26" ht="54" customHeight="1" x14ac:dyDescent="0.25">
      <c r="A152" s="36"/>
      <c r="B152" s="22" t="s">
        <v>158</v>
      </c>
      <c r="C152" s="11"/>
      <c r="D152" s="70"/>
      <c r="E152" s="23"/>
      <c r="F152" s="21"/>
      <c r="G152" s="21"/>
      <c r="H152" s="21"/>
      <c r="I152" s="21"/>
      <c r="J152" s="21"/>
      <c r="K152" s="14"/>
      <c r="L152" s="51"/>
      <c r="M152" s="14"/>
      <c r="N152" s="14"/>
      <c r="O152" s="14"/>
      <c r="P152" s="41"/>
      <c r="Q152" s="14"/>
      <c r="R152" s="14"/>
      <c r="S152" s="14"/>
      <c r="T152" s="43">
        <f>Ranking!AU152</f>
        <v>1</v>
      </c>
      <c r="U152" s="23"/>
      <c r="Y152" s="3"/>
      <c r="Z152" s="33"/>
    </row>
    <row r="153" spans="1:26" ht="54" customHeight="1" x14ac:dyDescent="0.25">
      <c r="A153" s="36"/>
      <c r="B153" s="22" t="s">
        <v>159</v>
      </c>
      <c r="C153" s="11"/>
      <c r="D153" s="70"/>
      <c r="E153" s="23"/>
      <c r="F153" s="21"/>
      <c r="G153" s="21"/>
      <c r="H153" s="21"/>
      <c r="I153" s="21"/>
      <c r="J153" s="21"/>
      <c r="K153" s="14"/>
      <c r="L153" s="51"/>
      <c r="M153" s="14"/>
      <c r="N153" s="14"/>
      <c r="O153" s="14"/>
      <c r="P153" s="41"/>
      <c r="Q153" s="14"/>
      <c r="R153" s="14"/>
      <c r="S153" s="14"/>
      <c r="T153" s="43">
        <f>Ranking!AU153</f>
        <v>1</v>
      </c>
      <c r="U153" s="23"/>
      <c r="Y153" s="3"/>
      <c r="Z153" s="33"/>
    </row>
    <row r="154" spans="1:26" ht="54" customHeight="1" x14ac:dyDescent="0.25">
      <c r="A154" s="36"/>
      <c r="B154" s="22" t="s">
        <v>160</v>
      </c>
      <c r="C154" s="11"/>
      <c r="D154" s="70"/>
      <c r="E154" s="23"/>
      <c r="F154" s="21"/>
      <c r="G154" s="21"/>
      <c r="H154" s="21"/>
      <c r="I154" s="21"/>
      <c r="J154" s="21"/>
      <c r="K154" s="14"/>
      <c r="L154" s="51"/>
      <c r="M154" s="14"/>
      <c r="N154" s="14"/>
      <c r="O154" s="14"/>
      <c r="P154" s="41"/>
      <c r="Q154" s="14"/>
      <c r="R154" s="14"/>
      <c r="S154" s="14"/>
      <c r="T154" s="43">
        <f>Ranking!AU154</f>
        <v>1</v>
      </c>
      <c r="U154" s="23"/>
      <c r="Y154" s="3"/>
      <c r="Z154" s="33"/>
    </row>
    <row r="155" spans="1:26" ht="54" customHeight="1" x14ac:dyDescent="0.25">
      <c r="A155" s="36"/>
      <c r="B155" s="22" t="s">
        <v>161</v>
      </c>
      <c r="C155" s="11"/>
      <c r="D155" s="70"/>
      <c r="E155" s="23"/>
      <c r="F155" s="21"/>
      <c r="G155" s="21"/>
      <c r="H155" s="21"/>
      <c r="I155" s="21"/>
      <c r="J155" s="21"/>
      <c r="K155" s="14"/>
      <c r="L155" s="51"/>
      <c r="M155" s="14"/>
      <c r="N155" s="14"/>
      <c r="O155" s="14"/>
      <c r="P155" s="41"/>
      <c r="Q155" s="14"/>
      <c r="R155" s="14"/>
      <c r="S155" s="14"/>
      <c r="T155" s="43">
        <f>Ranking!AU155</f>
        <v>1</v>
      </c>
      <c r="U155" s="23"/>
      <c r="Y155" s="3"/>
      <c r="Z155" s="33"/>
    </row>
    <row r="156" spans="1:26" ht="54" customHeight="1" x14ac:dyDescent="0.25">
      <c r="B156" s="22" t="s">
        <v>162</v>
      </c>
      <c r="C156" s="11"/>
      <c r="D156" s="70"/>
      <c r="E156" s="23"/>
      <c r="F156" s="21"/>
      <c r="G156" s="21"/>
      <c r="H156" s="21"/>
      <c r="I156" s="21"/>
      <c r="J156" s="21"/>
      <c r="K156" s="14"/>
      <c r="L156" s="51"/>
      <c r="M156" s="14"/>
      <c r="N156" s="14"/>
      <c r="O156" s="14"/>
      <c r="P156" s="41"/>
      <c r="Q156" s="14"/>
      <c r="R156" s="14"/>
      <c r="S156" s="14"/>
      <c r="T156" s="43">
        <f>Ranking!AU156</f>
        <v>1</v>
      </c>
      <c r="U156" s="23"/>
      <c r="Y156" s="3"/>
      <c r="Z156" s="33"/>
    </row>
    <row r="157" spans="1:26" ht="54" customHeight="1" x14ac:dyDescent="0.25">
      <c r="B157" s="22" t="s">
        <v>163</v>
      </c>
      <c r="C157" s="11"/>
      <c r="D157" s="70"/>
      <c r="E157" s="23"/>
      <c r="F157" s="21"/>
      <c r="G157" s="21"/>
      <c r="H157" s="21"/>
      <c r="I157" s="21"/>
      <c r="J157" s="21"/>
      <c r="K157" s="14"/>
      <c r="L157" s="51"/>
      <c r="M157" s="14"/>
      <c r="N157" s="14"/>
      <c r="O157" s="14"/>
      <c r="P157" s="41"/>
      <c r="Q157" s="14"/>
      <c r="R157" s="14"/>
      <c r="S157" s="14"/>
      <c r="T157" s="43">
        <f>Ranking!AU157</f>
        <v>1</v>
      </c>
      <c r="U157" s="23"/>
      <c r="Y157" s="3"/>
      <c r="Z157" s="33"/>
    </row>
    <row r="158" spans="1:26" ht="54" customHeight="1" x14ac:dyDescent="0.25">
      <c r="B158" s="22" t="s">
        <v>164</v>
      </c>
      <c r="C158" s="11"/>
      <c r="D158" s="70"/>
      <c r="E158" s="23"/>
      <c r="F158" s="21"/>
      <c r="G158" s="21"/>
      <c r="H158" s="21"/>
      <c r="I158" s="21"/>
      <c r="J158" s="14"/>
      <c r="K158" s="14"/>
      <c r="L158" s="51"/>
      <c r="M158" s="14"/>
      <c r="N158" s="14"/>
      <c r="O158" s="14"/>
      <c r="P158" s="41"/>
      <c r="Q158" s="14"/>
      <c r="R158" s="14"/>
      <c r="S158" s="14"/>
      <c r="T158" s="43">
        <f>Ranking!AU158</f>
        <v>1</v>
      </c>
      <c r="U158" s="23"/>
      <c r="Y158" s="3"/>
      <c r="Z158" s="33"/>
    </row>
    <row r="159" spans="1:26" ht="54" customHeight="1" x14ac:dyDescent="0.25">
      <c r="B159" s="22" t="s">
        <v>165</v>
      </c>
      <c r="C159" s="11"/>
      <c r="D159" s="70"/>
      <c r="E159" s="23"/>
      <c r="F159" s="21"/>
      <c r="G159" s="21"/>
      <c r="H159" s="21"/>
      <c r="I159" s="21"/>
      <c r="J159" s="14"/>
      <c r="K159" s="14"/>
      <c r="L159" s="51"/>
      <c r="M159" s="14"/>
      <c r="N159" s="14"/>
      <c r="O159" s="14"/>
      <c r="P159" s="41"/>
      <c r="Q159" s="14"/>
      <c r="R159" s="14"/>
      <c r="S159" s="14"/>
      <c r="T159" s="43">
        <f>Ranking!AU159</f>
        <v>1</v>
      </c>
      <c r="U159" s="23"/>
      <c r="Y159" s="3"/>
      <c r="Z159" s="33"/>
    </row>
    <row r="160" spans="1:26" ht="54" customHeight="1" x14ac:dyDescent="0.25">
      <c r="B160" s="22" t="s">
        <v>166</v>
      </c>
      <c r="C160" s="11"/>
      <c r="D160" s="70"/>
      <c r="E160" s="23"/>
      <c r="F160" s="21"/>
      <c r="G160" s="21"/>
      <c r="H160" s="21"/>
      <c r="I160" s="21"/>
      <c r="J160" s="14"/>
      <c r="K160" s="14"/>
      <c r="L160" s="51"/>
      <c r="M160" s="14"/>
      <c r="N160" s="14"/>
      <c r="O160" s="14"/>
      <c r="P160" s="41"/>
      <c r="Q160" s="14"/>
      <c r="R160" s="14"/>
      <c r="S160" s="14"/>
      <c r="T160" s="43">
        <f>Ranking!AU160</f>
        <v>1</v>
      </c>
      <c r="U160" s="23"/>
      <c r="Y160" s="3"/>
      <c r="Z160" s="33"/>
    </row>
    <row r="161" spans="1:26" ht="54" customHeight="1" x14ac:dyDescent="0.25">
      <c r="B161" s="22" t="s">
        <v>167</v>
      </c>
      <c r="C161" s="11"/>
      <c r="D161" s="70"/>
      <c r="E161" s="23"/>
      <c r="F161" s="21"/>
      <c r="G161" s="21"/>
      <c r="H161" s="21"/>
      <c r="I161" s="21"/>
      <c r="J161" s="14"/>
      <c r="K161" s="14"/>
      <c r="L161" s="51"/>
      <c r="M161" s="14"/>
      <c r="N161" s="14"/>
      <c r="O161" s="14"/>
      <c r="P161" s="41"/>
      <c r="Q161" s="14"/>
      <c r="R161" s="14"/>
      <c r="S161" s="14"/>
      <c r="T161" s="43">
        <f>Ranking!AU161</f>
        <v>1</v>
      </c>
      <c r="U161" s="23"/>
      <c r="Y161" s="3"/>
      <c r="Z161" s="33"/>
    </row>
    <row r="162" spans="1:26" ht="54" customHeight="1" x14ac:dyDescent="0.25">
      <c r="B162" s="22" t="s">
        <v>168</v>
      </c>
      <c r="C162" s="11"/>
      <c r="D162" s="70"/>
      <c r="E162" s="23"/>
      <c r="F162" s="21"/>
      <c r="G162" s="21"/>
      <c r="H162" s="21"/>
      <c r="I162" s="21"/>
      <c r="J162" s="14"/>
      <c r="K162" s="14"/>
      <c r="L162" s="51"/>
      <c r="M162" s="14"/>
      <c r="N162" s="14"/>
      <c r="O162" s="14"/>
      <c r="P162" s="41"/>
      <c r="Q162" s="14"/>
      <c r="R162" s="14"/>
      <c r="S162" s="14"/>
      <c r="T162" s="43">
        <f>Ranking!AU162</f>
        <v>1</v>
      </c>
      <c r="U162" s="23"/>
      <c r="Y162" s="3"/>
      <c r="Z162" s="33"/>
    </row>
    <row r="163" spans="1:26" ht="54" customHeight="1" x14ac:dyDescent="0.25">
      <c r="A163" s="36"/>
      <c r="B163" s="22" t="s">
        <v>169</v>
      </c>
      <c r="C163" s="11"/>
      <c r="D163" s="70"/>
      <c r="E163" s="23"/>
      <c r="F163" s="21"/>
      <c r="G163" s="21"/>
      <c r="H163" s="21"/>
      <c r="I163" s="21"/>
      <c r="J163" s="14"/>
      <c r="K163" s="14"/>
      <c r="L163" s="51"/>
      <c r="M163" s="14"/>
      <c r="N163" s="14"/>
      <c r="O163" s="14"/>
      <c r="P163" s="41"/>
      <c r="Q163" s="14"/>
      <c r="R163" s="14"/>
      <c r="S163" s="14"/>
      <c r="T163" s="43">
        <f>Ranking!AU163</f>
        <v>1</v>
      </c>
      <c r="U163" s="23"/>
      <c r="Y163" s="3"/>
      <c r="Z163" s="33"/>
    </row>
    <row r="164" spans="1:26" ht="54" customHeight="1" x14ac:dyDescent="0.25">
      <c r="A164" s="36"/>
      <c r="B164" s="22" t="s">
        <v>170</v>
      </c>
      <c r="C164" s="11"/>
      <c r="D164" s="70"/>
      <c r="E164" s="23"/>
      <c r="F164" s="21"/>
      <c r="G164" s="21"/>
      <c r="H164" s="21"/>
      <c r="I164" s="21"/>
      <c r="J164" s="14"/>
      <c r="K164" s="14"/>
      <c r="L164" s="51"/>
      <c r="M164" s="14"/>
      <c r="N164" s="14"/>
      <c r="O164" s="14"/>
      <c r="P164" s="41"/>
      <c r="Q164" s="14"/>
      <c r="R164" s="14"/>
      <c r="S164" s="14"/>
      <c r="T164" s="43">
        <f>Ranking!AU164</f>
        <v>1</v>
      </c>
      <c r="U164" s="23"/>
      <c r="Y164" s="3"/>
      <c r="Z164" s="33"/>
    </row>
    <row r="165" spans="1:26" ht="54" customHeight="1" x14ac:dyDescent="0.25">
      <c r="A165" s="36"/>
      <c r="B165" s="22" t="s">
        <v>171</v>
      </c>
      <c r="C165" s="11"/>
      <c r="D165" s="70"/>
      <c r="E165" s="23"/>
      <c r="F165" s="21"/>
      <c r="G165" s="21"/>
      <c r="H165" s="21"/>
      <c r="I165" s="21"/>
      <c r="J165" s="14"/>
      <c r="K165" s="14"/>
      <c r="L165" s="51"/>
      <c r="M165" s="14"/>
      <c r="N165" s="14"/>
      <c r="O165" s="14"/>
      <c r="P165" s="41"/>
      <c r="Q165" s="14"/>
      <c r="R165" s="14"/>
      <c r="S165" s="14"/>
      <c r="T165" s="43">
        <f>Ranking!AU165</f>
        <v>1</v>
      </c>
      <c r="U165" s="23"/>
      <c r="Y165" s="3"/>
      <c r="Z165" s="33"/>
    </row>
    <row r="166" spans="1:26" ht="18.75" hidden="1" x14ac:dyDescent="0.25">
      <c r="A166" s="36"/>
      <c r="B166" s="22" t="s">
        <v>172</v>
      </c>
      <c r="C166" s="11"/>
      <c r="D166" s="70"/>
      <c r="E166" s="23"/>
      <c r="F166" s="21"/>
      <c r="G166" s="21"/>
      <c r="H166" s="21"/>
      <c r="I166" s="21"/>
      <c r="J166" s="14"/>
      <c r="K166" s="14"/>
      <c r="L166" s="51"/>
      <c r="M166" s="14"/>
      <c r="N166" s="14"/>
      <c r="O166" s="14"/>
      <c r="P166" s="41"/>
      <c r="Q166" s="14"/>
      <c r="R166" s="14"/>
      <c r="S166" s="14"/>
      <c r="T166" s="43">
        <f>Ranking!AU166</f>
        <v>1</v>
      </c>
      <c r="U166" s="23"/>
      <c r="Y166" s="3"/>
      <c r="Z166" s="33"/>
    </row>
    <row r="167" spans="1:26" ht="18.75" hidden="1" x14ac:dyDescent="0.25">
      <c r="A167" s="36"/>
      <c r="B167" s="22" t="s">
        <v>173</v>
      </c>
      <c r="C167" s="11"/>
      <c r="D167" s="70"/>
      <c r="E167" s="23"/>
      <c r="F167" s="21"/>
      <c r="G167" s="21"/>
      <c r="H167" s="21"/>
      <c r="I167" s="21"/>
      <c r="J167" s="14"/>
      <c r="K167" s="14"/>
      <c r="L167" s="51"/>
      <c r="M167" s="14"/>
      <c r="N167" s="14"/>
      <c r="O167" s="14"/>
      <c r="P167" s="41"/>
      <c r="Q167" s="14"/>
      <c r="R167" s="14"/>
      <c r="S167" s="14"/>
      <c r="T167" s="43">
        <f>Ranking!AU167</f>
        <v>1</v>
      </c>
      <c r="U167" s="23"/>
      <c r="Y167" s="3"/>
      <c r="Z167" s="33"/>
    </row>
    <row r="168" spans="1:26" ht="18.75" hidden="1" x14ac:dyDescent="0.25">
      <c r="A168" s="36"/>
      <c r="B168" s="22" t="s">
        <v>174</v>
      </c>
      <c r="C168" s="11"/>
      <c r="D168" s="70"/>
      <c r="E168" s="23"/>
      <c r="F168" s="21"/>
      <c r="G168" s="21"/>
      <c r="H168" s="21"/>
      <c r="I168" s="21"/>
      <c r="J168" s="14"/>
      <c r="K168" s="14"/>
      <c r="L168" s="51"/>
      <c r="M168" s="14"/>
      <c r="N168" s="14"/>
      <c r="O168" s="14"/>
      <c r="P168" s="41"/>
      <c r="Q168" s="14"/>
      <c r="R168" s="14"/>
      <c r="S168" s="14"/>
      <c r="T168" s="43">
        <f>Ranking!AU168</f>
        <v>1</v>
      </c>
      <c r="U168" s="23"/>
      <c r="Y168" s="3"/>
      <c r="Z168" s="33"/>
    </row>
    <row r="169" spans="1:26" ht="18.75" hidden="1" x14ac:dyDescent="0.25">
      <c r="B169" s="22" t="s">
        <v>175</v>
      </c>
      <c r="C169" s="11"/>
      <c r="D169" s="70"/>
      <c r="E169" s="23"/>
      <c r="F169" s="21"/>
      <c r="G169" s="14"/>
      <c r="H169" s="14"/>
      <c r="I169" s="14"/>
      <c r="J169" s="14"/>
      <c r="K169" s="14"/>
      <c r="L169" s="51"/>
      <c r="M169" s="14"/>
      <c r="N169" s="14"/>
      <c r="O169" s="14"/>
      <c r="P169" s="41"/>
      <c r="Q169" s="14"/>
      <c r="R169" s="14"/>
      <c r="S169" s="14"/>
      <c r="T169" s="43">
        <f>Ranking!AU169</f>
        <v>1</v>
      </c>
      <c r="U169" s="23"/>
      <c r="Y169" s="3"/>
      <c r="Z169" s="33"/>
    </row>
    <row r="170" spans="1:26" ht="18.75" hidden="1" x14ac:dyDescent="0.25">
      <c r="B170" s="22" t="s">
        <v>176</v>
      </c>
      <c r="C170" s="11"/>
      <c r="D170" s="70"/>
      <c r="E170" s="23"/>
      <c r="F170" s="21"/>
      <c r="G170" s="14"/>
      <c r="H170" s="14"/>
      <c r="I170" s="21"/>
      <c r="J170" s="21"/>
      <c r="K170" s="14"/>
      <c r="L170" s="51"/>
      <c r="M170" s="14"/>
      <c r="N170" s="14"/>
      <c r="O170" s="14"/>
      <c r="P170" s="41"/>
      <c r="Q170" s="14"/>
      <c r="R170" s="14"/>
      <c r="S170" s="14"/>
      <c r="T170" s="43">
        <f>Ranking!AU170</f>
        <v>1</v>
      </c>
      <c r="U170" s="23"/>
      <c r="Y170" s="3"/>
      <c r="Z170" s="33"/>
    </row>
    <row r="171" spans="1:26" ht="18.75" hidden="1" x14ac:dyDescent="0.25">
      <c r="B171" s="22" t="s">
        <v>177</v>
      </c>
      <c r="C171" s="11"/>
      <c r="D171" s="70"/>
      <c r="E171" s="23"/>
      <c r="F171" s="21"/>
      <c r="G171" s="21"/>
      <c r="H171" s="21"/>
      <c r="I171" s="21"/>
      <c r="J171" s="21"/>
      <c r="K171" s="21"/>
      <c r="L171" s="52"/>
      <c r="M171" s="14"/>
      <c r="N171" s="14"/>
      <c r="O171" s="14"/>
      <c r="P171" s="41"/>
      <c r="Q171" s="14"/>
      <c r="R171" s="14"/>
      <c r="S171" s="14"/>
      <c r="T171" s="43">
        <f>Ranking!AU171</f>
        <v>1</v>
      </c>
      <c r="U171" s="23"/>
      <c r="Y171" s="3"/>
      <c r="Z171" s="33"/>
    </row>
    <row r="172" spans="1:26" ht="18.75" hidden="1" x14ac:dyDescent="0.25">
      <c r="B172" s="22" t="s">
        <v>178</v>
      </c>
      <c r="C172" s="11"/>
      <c r="D172" s="70"/>
      <c r="E172" s="23"/>
      <c r="F172" s="21"/>
      <c r="G172" s="21"/>
      <c r="H172" s="21"/>
      <c r="I172" s="21"/>
      <c r="J172" s="21"/>
      <c r="K172" s="21"/>
      <c r="L172" s="52"/>
      <c r="M172" s="14"/>
      <c r="N172" s="14"/>
      <c r="O172" s="14"/>
      <c r="P172" s="41"/>
      <c r="Q172" s="14"/>
      <c r="R172" s="14"/>
      <c r="S172" s="14"/>
      <c r="T172" s="43">
        <f>Ranking!AU172</f>
        <v>1</v>
      </c>
      <c r="U172" s="23"/>
      <c r="Y172" s="3"/>
      <c r="Z172" s="33"/>
    </row>
    <row r="173" spans="1:26" ht="18.75" hidden="1" x14ac:dyDescent="0.25">
      <c r="B173" s="22" t="s">
        <v>179</v>
      </c>
      <c r="C173" s="11"/>
      <c r="D173" s="70"/>
      <c r="E173" s="23"/>
      <c r="F173" s="21"/>
      <c r="G173" s="21"/>
      <c r="H173" s="21"/>
      <c r="I173" s="21"/>
      <c r="J173" s="21"/>
      <c r="K173" s="21"/>
      <c r="L173" s="52"/>
      <c r="M173" s="14"/>
      <c r="N173" s="14"/>
      <c r="O173" s="14"/>
      <c r="P173" s="41"/>
      <c r="Q173" s="14"/>
      <c r="R173" s="14"/>
      <c r="S173" s="14"/>
      <c r="T173" s="43">
        <f>Ranking!AU173</f>
        <v>1</v>
      </c>
      <c r="U173" s="23"/>
      <c r="Y173" s="3"/>
      <c r="Z173" s="33"/>
    </row>
    <row r="174" spans="1:26" ht="18.75" hidden="1" x14ac:dyDescent="0.25">
      <c r="B174" s="22" t="s">
        <v>180</v>
      </c>
      <c r="C174" s="11"/>
      <c r="D174" s="70"/>
      <c r="E174" s="23"/>
      <c r="F174" s="21"/>
      <c r="G174" s="21"/>
      <c r="H174" s="21"/>
      <c r="I174" s="21"/>
      <c r="J174" s="21"/>
      <c r="K174" s="21"/>
      <c r="L174" s="52"/>
      <c r="M174" s="14"/>
      <c r="N174" s="14"/>
      <c r="O174" s="14"/>
      <c r="P174" s="41"/>
      <c r="Q174" s="14"/>
      <c r="R174" s="14"/>
      <c r="S174" s="14"/>
      <c r="T174" s="43">
        <f>Ranking!AU174</f>
        <v>1</v>
      </c>
      <c r="U174" s="23"/>
      <c r="Y174" s="3"/>
      <c r="Z174" s="33"/>
    </row>
    <row r="175" spans="1:26" ht="18.75" hidden="1" x14ac:dyDescent="0.25">
      <c r="B175" s="22" t="s">
        <v>181</v>
      </c>
      <c r="C175" s="11"/>
      <c r="D175" s="70"/>
      <c r="E175" s="23"/>
      <c r="F175" s="21"/>
      <c r="G175" s="21"/>
      <c r="H175" s="21"/>
      <c r="I175" s="21"/>
      <c r="J175" s="21"/>
      <c r="K175" s="21"/>
      <c r="L175" s="52"/>
      <c r="M175" s="14"/>
      <c r="N175" s="14"/>
      <c r="O175" s="14"/>
      <c r="P175" s="41"/>
      <c r="Q175" s="14"/>
      <c r="R175" s="14"/>
      <c r="S175" s="14"/>
      <c r="T175" s="43">
        <f>Ranking!AU175</f>
        <v>1</v>
      </c>
      <c r="U175" s="23"/>
      <c r="Y175" s="3"/>
      <c r="Z175" s="33"/>
    </row>
    <row r="176" spans="1:26" ht="18.75" hidden="1" x14ac:dyDescent="0.25">
      <c r="B176" s="22" t="s">
        <v>182</v>
      </c>
      <c r="C176" s="11"/>
      <c r="D176" s="70"/>
      <c r="E176" s="23"/>
      <c r="F176" s="21"/>
      <c r="G176" s="21"/>
      <c r="H176" s="21"/>
      <c r="I176" s="21"/>
      <c r="J176" s="21"/>
      <c r="K176" s="21"/>
      <c r="L176" s="51"/>
      <c r="M176" s="14"/>
      <c r="N176" s="14"/>
      <c r="O176" s="14"/>
      <c r="P176" s="41"/>
      <c r="Q176" s="14"/>
      <c r="R176" s="14"/>
      <c r="S176" s="14"/>
      <c r="T176" s="43">
        <f>Ranking!AU176</f>
        <v>1</v>
      </c>
      <c r="U176" s="23"/>
      <c r="Y176" s="3"/>
      <c r="Z176" s="33"/>
    </row>
    <row r="177" spans="1:26" ht="18.75" hidden="1" x14ac:dyDescent="0.25">
      <c r="B177" s="22" t="s">
        <v>183</v>
      </c>
      <c r="C177" s="11"/>
      <c r="D177" s="70"/>
      <c r="E177" s="23"/>
      <c r="F177" s="21"/>
      <c r="G177" s="14"/>
      <c r="H177" s="14"/>
      <c r="I177" s="14"/>
      <c r="J177" s="14"/>
      <c r="K177" s="14"/>
      <c r="L177" s="51"/>
      <c r="M177" s="14"/>
      <c r="N177" s="14"/>
      <c r="O177" s="14"/>
      <c r="P177" s="41"/>
      <c r="Q177" s="14"/>
      <c r="R177" s="14"/>
      <c r="S177" s="14"/>
      <c r="T177" s="43">
        <f>Ranking!AU177</f>
        <v>1</v>
      </c>
      <c r="U177" s="23"/>
      <c r="Y177" s="3"/>
      <c r="Z177" s="33"/>
    </row>
    <row r="178" spans="1:26" ht="18.75" hidden="1" x14ac:dyDescent="0.25">
      <c r="B178" s="22" t="s">
        <v>184</v>
      </c>
      <c r="C178" s="11"/>
      <c r="D178" s="70"/>
      <c r="E178" s="23"/>
      <c r="F178" s="21"/>
      <c r="G178" s="14"/>
      <c r="H178" s="14"/>
      <c r="I178" s="14"/>
      <c r="J178" s="14"/>
      <c r="K178" s="14"/>
      <c r="L178" s="51"/>
      <c r="M178" s="14"/>
      <c r="N178" s="14"/>
      <c r="O178" s="14"/>
      <c r="P178" s="41"/>
      <c r="Q178" s="14"/>
      <c r="R178" s="14"/>
      <c r="S178" s="14"/>
      <c r="T178" s="43">
        <f>Ranking!AU178</f>
        <v>1</v>
      </c>
      <c r="U178" s="23"/>
      <c r="Y178" s="3"/>
      <c r="Z178" s="33"/>
    </row>
    <row r="179" spans="1:26" ht="18.75" hidden="1" x14ac:dyDescent="0.25">
      <c r="B179" s="22" t="s">
        <v>185</v>
      </c>
      <c r="C179" s="11"/>
      <c r="D179" s="70"/>
      <c r="E179" s="23"/>
      <c r="F179" s="21"/>
      <c r="G179" s="21"/>
      <c r="H179" s="21"/>
      <c r="I179" s="21"/>
      <c r="J179" s="21"/>
      <c r="K179" s="21"/>
      <c r="L179" s="51"/>
      <c r="M179" s="14"/>
      <c r="N179" s="14"/>
      <c r="O179" s="14"/>
      <c r="P179" s="41"/>
      <c r="Q179" s="14"/>
      <c r="R179" s="14"/>
      <c r="S179" s="14"/>
      <c r="T179" s="43">
        <f>Ranking!AU179</f>
        <v>1</v>
      </c>
      <c r="U179" s="23"/>
      <c r="Y179" s="3"/>
      <c r="Z179" s="33"/>
    </row>
    <row r="180" spans="1:26" ht="18.75" hidden="1" x14ac:dyDescent="0.25">
      <c r="B180" s="22" t="s">
        <v>186</v>
      </c>
      <c r="C180" s="11"/>
      <c r="D180" s="70"/>
      <c r="E180" s="23"/>
      <c r="F180" s="21"/>
      <c r="G180" s="21"/>
      <c r="H180" s="21"/>
      <c r="I180" s="21"/>
      <c r="J180" s="21"/>
      <c r="K180" s="21"/>
      <c r="L180" s="51"/>
      <c r="M180" s="14"/>
      <c r="N180" s="14"/>
      <c r="O180" s="14"/>
      <c r="P180" s="41"/>
      <c r="Q180" s="14"/>
      <c r="R180" s="14"/>
      <c r="S180" s="14"/>
      <c r="T180" s="43">
        <f>Ranking!AU180</f>
        <v>1</v>
      </c>
      <c r="U180" s="23"/>
      <c r="Y180" s="3"/>
      <c r="Z180" s="33"/>
    </row>
    <row r="181" spans="1:26" ht="18.75" hidden="1" x14ac:dyDescent="0.25">
      <c r="B181" s="22" t="s">
        <v>187</v>
      </c>
      <c r="C181" s="11"/>
      <c r="D181" s="70"/>
      <c r="E181" s="23"/>
      <c r="F181" s="21"/>
      <c r="G181" s="21"/>
      <c r="H181" s="21"/>
      <c r="I181" s="21"/>
      <c r="J181" s="21"/>
      <c r="K181" s="21"/>
      <c r="L181" s="51"/>
      <c r="M181" s="14"/>
      <c r="N181" s="14"/>
      <c r="O181" s="14"/>
      <c r="P181" s="41"/>
      <c r="Q181" s="14"/>
      <c r="R181" s="14"/>
      <c r="S181" s="14"/>
      <c r="T181" s="43">
        <f>Ranking!AU181</f>
        <v>1</v>
      </c>
      <c r="U181" s="23"/>
      <c r="Y181" s="3"/>
      <c r="Z181" s="33"/>
    </row>
    <row r="182" spans="1:26" ht="18.75" hidden="1" x14ac:dyDescent="0.25">
      <c r="B182" s="22" t="s">
        <v>188</v>
      </c>
      <c r="C182" s="11"/>
      <c r="D182" s="70"/>
      <c r="E182" s="23"/>
      <c r="F182" s="21"/>
      <c r="G182" s="21"/>
      <c r="H182" s="21"/>
      <c r="I182" s="21"/>
      <c r="J182" s="21"/>
      <c r="K182" s="21"/>
      <c r="L182" s="51"/>
      <c r="M182" s="14"/>
      <c r="N182" s="14"/>
      <c r="O182" s="14"/>
      <c r="P182" s="41"/>
      <c r="Q182" s="14"/>
      <c r="R182" s="14"/>
      <c r="S182" s="14"/>
      <c r="T182" s="43">
        <f>Ranking!AU182</f>
        <v>1</v>
      </c>
      <c r="U182" s="23"/>
      <c r="Y182" s="3"/>
      <c r="Z182" s="33"/>
    </row>
    <row r="183" spans="1:26" ht="18.75" hidden="1" x14ac:dyDescent="0.25">
      <c r="B183" s="22" t="s">
        <v>189</v>
      </c>
      <c r="C183" s="11"/>
      <c r="D183" s="70"/>
      <c r="E183" s="23"/>
      <c r="F183" s="21"/>
      <c r="G183" s="21"/>
      <c r="H183" s="21"/>
      <c r="I183" s="21"/>
      <c r="J183" s="14"/>
      <c r="K183" s="14"/>
      <c r="L183" s="51"/>
      <c r="M183" s="14"/>
      <c r="N183" s="14"/>
      <c r="O183" s="14"/>
      <c r="P183" s="41"/>
      <c r="Q183" s="14"/>
      <c r="R183" s="14"/>
      <c r="S183" s="14"/>
      <c r="T183" s="43">
        <f>Ranking!AU183</f>
        <v>1</v>
      </c>
      <c r="U183" s="23"/>
      <c r="Y183" s="3"/>
      <c r="Z183" s="33"/>
    </row>
    <row r="184" spans="1:26" ht="18.75" hidden="1" x14ac:dyDescent="0.25">
      <c r="B184" s="22" t="s">
        <v>190</v>
      </c>
      <c r="C184" s="11"/>
      <c r="D184" s="70"/>
      <c r="E184" s="23"/>
      <c r="F184" s="21"/>
      <c r="G184" s="21"/>
      <c r="H184" s="21"/>
      <c r="I184" s="21"/>
      <c r="J184" s="14"/>
      <c r="K184" s="14"/>
      <c r="L184" s="51"/>
      <c r="M184" s="14"/>
      <c r="N184" s="14"/>
      <c r="O184" s="14"/>
      <c r="P184" s="41"/>
      <c r="Q184" s="14"/>
      <c r="R184" s="14"/>
      <c r="S184" s="14"/>
      <c r="T184" s="43">
        <f>Ranking!AU184</f>
        <v>1</v>
      </c>
      <c r="U184" s="23"/>
      <c r="Y184" s="3"/>
      <c r="Z184" s="33"/>
    </row>
    <row r="185" spans="1:26" ht="18.75" hidden="1" x14ac:dyDescent="0.25">
      <c r="B185" s="22" t="s">
        <v>191</v>
      </c>
      <c r="C185" s="11"/>
      <c r="D185" s="70"/>
      <c r="E185" s="23"/>
      <c r="F185" s="21"/>
      <c r="G185" s="21"/>
      <c r="H185" s="21"/>
      <c r="I185" s="21"/>
      <c r="J185" s="14"/>
      <c r="K185" s="14"/>
      <c r="L185" s="51"/>
      <c r="M185" s="14"/>
      <c r="N185" s="14"/>
      <c r="O185" s="14"/>
      <c r="P185" s="41"/>
      <c r="Q185" s="14"/>
      <c r="R185" s="14"/>
      <c r="S185" s="14"/>
      <c r="T185" s="43">
        <f>Ranking!AU185</f>
        <v>1</v>
      </c>
      <c r="U185" s="23"/>
      <c r="Y185" s="3"/>
      <c r="Z185" s="33"/>
    </row>
    <row r="186" spans="1:26" ht="18.75" hidden="1" x14ac:dyDescent="0.25">
      <c r="A186" s="36"/>
      <c r="B186" s="22" t="s">
        <v>192</v>
      </c>
      <c r="C186" s="11"/>
      <c r="D186" s="70"/>
      <c r="E186" s="23"/>
      <c r="F186" s="21"/>
      <c r="G186" s="21"/>
      <c r="H186" s="21"/>
      <c r="I186" s="21"/>
      <c r="J186" s="14"/>
      <c r="K186" s="14"/>
      <c r="L186" s="51"/>
      <c r="M186" s="14"/>
      <c r="N186" s="14"/>
      <c r="O186" s="14"/>
      <c r="P186" s="41"/>
      <c r="Q186" s="14"/>
      <c r="R186" s="14"/>
      <c r="S186" s="14"/>
      <c r="T186" s="43">
        <f>Ranking!AU186</f>
        <v>1</v>
      </c>
      <c r="U186" s="23"/>
      <c r="Y186" s="3"/>
      <c r="Z186" s="33"/>
    </row>
    <row r="187" spans="1:26" ht="18.75" hidden="1" x14ac:dyDescent="0.25">
      <c r="A187" s="36"/>
      <c r="B187" s="22" t="s">
        <v>193</v>
      </c>
      <c r="C187" s="11"/>
      <c r="D187" s="70"/>
      <c r="E187" s="23"/>
      <c r="F187" s="21"/>
      <c r="G187" s="21"/>
      <c r="H187" s="21"/>
      <c r="I187" s="21"/>
      <c r="J187" s="14"/>
      <c r="K187" s="14"/>
      <c r="L187" s="51"/>
      <c r="M187" s="14"/>
      <c r="N187" s="14"/>
      <c r="O187" s="14"/>
      <c r="P187" s="41"/>
      <c r="Q187" s="14"/>
      <c r="R187" s="14"/>
      <c r="S187" s="14"/>
      <c r="T187" s="43">
        <f>Ranking!AU187</f>
        <v>1</v>
      </c>
      <c r="U187" s="23"/>
      <c r="Y187" s="3"/>
      <c r="Z187" s="33"/>
    </row>
    <row r="188" spans="1:26" ht="18.75" hidden="1" x14ac:dyDescent="0.25">
      <c r="A188" s="36"/>
      <c r="B188" s="22" t="s">
        <v>194</v>
      </c>
      <c r="C188" s="11"/>
      <c r="D188" s="70"/>
      <c r="E188" s="23"/>
      <c r="F188" s="21"/>
      <c r="G188" s="21"/>
      <c r="H188" s="21"/>
      <c r="I188" s="21"/>
      <c r="J188" s="14"/>
      <c r="K188" s="14"/>
      <c r="L188" s="51"/>
      <c r="M188" s="14"/>
      <c r="N188" s="14"/>
      <c r="O188" s="14"/>
      <c r="P188" s="41"/>
      <c r="Q188" s="14"/>
      <c r="R188" s="14"/>
      <c r="S188" s="14"/>
      <c r="T188" s="43">
        <f>Ranking!AU188</f>
        <v>1</v>
      </c>
      <c r="U188" s="23"/>
      <c r="Y188" s="3"/>
      <c r="Z188" s="33"/>
    </row>
    <row r="189" spans="1:26" ht="18.75" hidden="1" x14ac:dyDescent="0.25">
      <c r="A189" s="36"/>
      <c r="B189" s="22" t="s">
        <v>195</v>
      </c>
      <c r="C189" s="11"/>
      <c r="D189" s="70"/>
      <c r="E189" s="23"/>
      <c r="F189" s="21"/>
      <c r="G189" s="21"/>
      <c r="H189" s="21"/>
      <c r="I189" s="21"/>
      <c r="J189" s="14"/>
      <c r="K189" s="14"/>
      <c r="L189" s="51"/>
      <c r="M189" s="14"/>
      <c r="N189" s="14"/>
      <c r="O189" s="14"/>
      <c r="P189" s="41"/>
      <c r="Q189" s="14"/>
      <c r="R189" s="14"/>
      <c r="S189" s="14"/>
      <c r="T189" s="43">
        <f>Ranking!AU189</f>
        <v>1</v>
      </c>
      <c r="U189" s="23"/>
      <c r="Y189" s="3"/>
      <c r="Z189" s="33"/>
    </row>
    <row r="190" spans="1:26" ht="18.75" hidden="1" x14ac:dyDescent="0.25">
      <c r="A190" s="36"/>
      <c r="B190" s="22" t="s">
        <v>196</v>
      </c>
      <c r="C190" s="11"/>
      <c r="D190" s="70"/>
      <c r="E190" s="23"/>
      <c r="F190" s="21"/>
      <c r="G190" s="21"/>
      <c r="H190" s="21"/>
      <c r="I190" s="21"/>
      <c r="J190" s="14"/>
      <c r="K190" s="14"/>
      <c r="L190" s="51"/>
      <c r="M190" s="14"/>
      <c r="N190" s="14"/>
      <c r="O190" s="14"/>
      <c r="P190" s="41"/>
      <c r="Q190" s="14"/>
      <c r="R190" s="14"/>
      <c r="S190" s="14"/>
      <c r="T190" s="43">
        <f>Ranking!AU190</f>
        <v>1</v>
      </c>
      <c r="U190" s="23"/>
      <c r="Y190" s="3"/>
      <c r="Z190" s="33"/>
    </row>
    <row r="191" spans="1:26" ht="18.75" hidden="1" x14ac:dyDescent="0.25">
      <c r="A191" s="36"/>
      <c r="B191" s="22" t="s">
        <v>197</v>
      </c>
      <c r="C191" s="11"/>
      <c r="D191" s="70"/>
      <c r="E191" s="23"/>
      <c r="F191" s="21"/>
      <c r="G191" s="21"/>
      <c r="H191" s="21"/>
      <c r="I191" s="21"/>
      <c r="J191" s="14"/>
      <c r="K191" s="14"/>
      <c r="L191" s="51"/>
      <c r="M191" s="14"/>
      <c r="N191" s="14"/>
      <c r="O191" s="14"/>
      <c r="P191" s="41"/>
      <c r="Q191" s="14"/>
      <c r="R191" s="14"/>
      <c r="S191" s="14"/>
      <c r="T191" s="43">
        <f>Ranking!AU191</f>
        <v>1</v>
      </c>
      <c r="U191" s="23"/>
      <c r="Y191" s="3"/>
      <c r="Z191" s="33"/>
    </row>
    <row r="192" spans="1:26" ht="18.75" hidden="1" x14ac:dyDescent="0.25">
      <c r="A192" s="36"/>
      <c r="B192" s="22" t="s">
        <v>198</v>
      </c>
      <c r="C192" s="11"/>
      <c r="D192" s="70"/>
      <c r="E192" s="23"/>
      <c r="F192" s="21"/>
      <c r="G192" s="21"/>
      <c r="H192" s="21"/>
      <c r="I192" s="21"/>
      <c r="J192" s="14"/>
      <c r="K192" s="14"/>
      <c r="L192" s="51"/>
      <c r="M192" s="14"/>
      <c r="N192" s="14"/>
      <c r="O192" s="14"/>
      <c r="P192" s="41"/>
      <c r="Q192" s="14"/>
      <c r="R192" s="14"/>
      <c r="S192" s="14"/>
      <c r="T192" s="43">
        <f>Ranking!AU192</f>
        <v>1</v>
      </c>
      <c r="U192" s="23"/>
      <c r="Y192" s="3"/>
      <c r="Z192" s="33"/>
    </row>
    <row r="193" spans="1:26" ht="18.75" hidden="1" x14ac:dyDescent="0.25">
      <c r="A193" s="36"/>
      <c r="B193" s="22" t="s">
        <v>199</v>
      </c>
      <c r="C193" s="11"/>
      <c r="D193" s="70"/>
      <c r="E193" s="23"/>
      <c r="F193" s="21"/>
      <c r="G193" s="21"/>
      <c r="H193" s="21"/>
      <c r="I193" s="21"/>
      <c r="J193" s="14"/>
      <c r="K193" s="14"/>
      <c r="L193" s="51"/>
      <c r="M193" s="14"/>
      <c r="N193" s="14"/>
      <c r="O193" s="14"/>
      <c r="P193" s="41"/>
      <c r="Q193" s="14"/>
      <c r="R193" s="14"/>
      <c r="S193" s="14"/>
      <c r="T193" s="43">
        <f>Ranking!AU193</f>
        <v>1</v>
      </c>
      <c r="U193" s="23"/>
      <c r="Y193" s="3"/>
      <c r="Z193" s="33"/>
    </row>
    <row r="194" spans="1:26" ht="18.75" hidden="1" x14ac:dyDescent="0.25">
      <c r="A194" s="36"/>
      <c r="B194" s="22" t="s">
        <v>200</v>
      </c>
      <c r="C194" s="11"/>
      <c r="D194" s="70"/>
      <c r="E194" s="23"/>
      <c r="F194" s="21"/>
      <c r="G194" s="21"/>
      <c r="H194" s="21"/>
      <c r="I194" s="21"/>
      <c r="J194" s="14"/>
      <c r="K194" s="14"/>
      <c r="L194" s="51"/>
      <c r="M194" s="14"/>
      <c r="N194" s="14"/>
      <c r="O194" s="14"/>
      <c r="P194" s="41"/>
      <c r="Q194" s="14"/>
      <c r="R194" s="14"/>
      <c r="S194" s="14"/>
      <c r="T194" s="43">
        <f>Ranking!AU194</f>
        <v>1</v>
      </c>
      <c r="U194" s="23"/>
      <c r="Y194" s="3"/>
      <c r="Z194" s="33"/>
    </row>
    <row r="195" spans="1:26" ht="18.75" hidden="1" x14ac:dyDescent="0.25">
      <c r="A195" s="36"/>
      <c r="B195" s="22" t="s">
        <v>201</v>
      </c>
      <c r="C195" s="11"/>
      <c r="D195" s="70"/>
      <c r="E195" s="23"/>
      <c r="F195" s="21"/>
      <c r="G195" s="21"/>
      <c r="H195" s="21"/>
      <c r="I195" s="21"/>
      <c r="J195" s="14"/>
      <c r="K195" s="14"/>
      <c r="L195" s="51"/>
      <c r="M195" s="14"/>
      <c r="N195" s="14"/>
      <c r="O195" s="14"/>
      <c r="P195" s="41"/>
      <c r="Q195" s="14"/>
      <c r="R195" s="14"/>
      <c r="S195" s="14"/>
      <c r="T195" s="43">
        <f>Ranking!AU195</f>
        <v>1</v>
      </c>
      <c r="U195" s="23"/>
      <c r="Y195" s="3"/>
      <c r="Z195" s="33"/>
    </row>
    <row r="196" spans="1:26" ht="18.75" hidden="1" x14ac:dyDescent="0.25">
      <c r="A196" s="36"/>
      <c r="B196" s="22" t="s">
        <v>202</v>
      </c>
      <c r="C196" s="11"/>
      <c r="D196" s="70"/>
      <c r="E196" s="23"/>
      <c r="F196" s="21"/>
      <c r="G196" s="21"/>
      <c r="H196" s="21"/>
      <c r="I196" s="21"/>
      <c r="J196" s="14"/>
      <c r="K196" s="14"/>
      <c r="L196" s="51"/>
      <c r="M196" s="14"/>
      <c r="N196" s="14"/>
      <c r="O196" s="14"/>
      <c r="P196" s="41"/>
      <c r="Q196" s="14"/>
      <c r="R196" s="14"/>
      <c r="S196" s="14"/>
      <c r="T196" s="43">
        <f>Ranking!AU196</f>
        <v>1</v>
      </c>
      <c r="U196" s="23"/>
      <c r="Y196" s="3"/>
      <c r="Z196" s="33"/>
    </row>
    <row r="197" spans="1:26" ht="18.75" hidden="1" x14ac:dyDescent="0.25">
      <c r="A197" s="36"/>
      <c r="B197" s="22" t="s">
        <v>203</v>
      </c>
      <c r="C197" s="11"/>
      <c r="D197" s="70"/>
      <c r="E197" s="23"/>
      <c r="F197" s="21"/>
      <c r="G197" s="21"/>
      <c r="H197" s="21"/>
      <c r="I197" s="21"/>
      <c r="J197" s="14"/>
      <c r="K197" s="14"/>
      <c r="L197" s="51"/>
      <c r="M197" s="14"/>
      <c r="N197" s="14"/>
      <c r="O197" s="14"/>
      <c r="P197" s="41"/>
      <c r="Q197" s="14"/>
      <c r="R197" s="14"/>
      <c r="S197" s="14"/>
      <c r="T197" s="43">
        <f>Ranking!AU197</f>
        <v>1</v>
      </c>
      <c r="U197" s="23"/>
      <c r="Y197" s="3"/>
      <c r="Z197" s="33"/>
    </row>
    <row r="198" spans="1:26" ht="18.75" hidden="1" x14ac:dyDescent="0.25">
      <c r="A198" s="36"/>
      <c r="B198" s="22" t="s">
        <v>204</v>
      </c>
      <c r="C198" s="11"/>
      <c r="D198" s="70"/>
      <c r="E198" s="23"/>
      <c r="F198" s="21"/>
      <c r="G198" s="21"/>
      <c r="H198" s="21"/>
      <c r="I198" s="21"/>
      <c r="J198" s="14"/>
      <c r="K198" s="14"/>
      <c r="L198" s="51"/>
      <c r="M198" s="14"/>
      <c r="N198" s="14"/>
      <c r="O198" s="14"/>
      <c r="P198" s="41"/>
      <c r="Q198" s="14"/>
      <c r="R198" s="14"/>
      <c r="S198" s="14"/>
      <c r="T198" s="43">
        <f>Ranking!AU198</f>
        <v>1</v>
      </c>
      <c r="U198" s="23"/>
      <c r="Y198" s="3"/>
      <c r="Z198" s="33"/>
    </row>
    <row r="199" spans="1:26" ht="18.75" hidden="1" x14ac:dyDescent="0.25">
      <c r="A199" s="36"/>
      <c r="B199" s="22" t="s">
        <v>205</v>
      </c>
      <c r="C199" s="11"/>
      <c r="D199" s="70"/>
      <c r="E199" s="23"/>
      <c r="F199" s="21"/>
      <c r="G199" s="21"/>
      <c r="H199" s="21"/>
      <c r="I199" s="21"/>
      <c r="J199" s="14"/>
      <c r="K199" s="14"/>
      <c r="L199" s="51"/>
      <c r="M199" s="14"/>
      <c r="N199" s="14"/>
      <c r="O199" s="14"/>
      <c r="P199" s="41"/>
      <c r="Q199" s="14"/>
      <c r="R199" s="14"/>
      <c r="S199" s="14"/>
      <c r="T199" s="43">
        <f>Ranking!AU199</f>
        <v>1</v>
      </c>
      <c r="U199" s="23"/>
      <c r="Y199" s="3"/>
      <c r="Z199" s="33"/>
    </row>
    <row r="200" spans="1:26" ht="18.75" hidden="1" x14ac:dyDescent="0.25">
      <c r="A200" s="36"/>
      <c r="B200" s="22" t="s">
        <v>206</v>
      </c>
      <c r="C200" s="11"/>
      <c r="D200" s="70"/>
      <c r="E200" s="23"/>
      <c r="F200" s="21"/>
      <c r="G200" s="21"/>
      <c r="H200" s="21"/>
      <c r="I200" s="21"/>
      <c r="J200" s="14"/>
      <c r="K200" s="14"/>
      <c r="L200" s="51"/>
      <c r="M200" s="14"/>
      <c r="N200" s="14"/>
      <c r="O200" s="14"/>
      <c r="P200" s="41"/>
      <c r="Q200" s="14"/>
      <c r="R200" s="14"/>
      <c r="S200" s="14"/>
      <c r="T200" s="43">
        <f>Ranking!AU200</f>
        <v>1</v>
      </c>
      <c r="U200" s="23"/>
      <c r="Y200" s="3"/>
      <c r="Z200" s="33"/>
    </row>
    <row r="201" spans="1:26" ht="18.75" hidden="1" x14ac:dyDescent="0.25">
      <c r="A201" s="36"/>
      <c r="B201" s="22" t="s">
        <v>207</v>
      </c>
      <c r="C201" s="11"/>
      <c r="D201" s="70"/>
      <c r="E201" s="23"/>
      <c r="F201" s="21"/>
      <c r="G201" s="21"/>
      <c r="H201" s="21"/>
      <c r="I201" s="21"/>
      <c r="J201" s="14"/>
      <c r="K201" s="14"/>
      <c r="L201" s="51"/>
      <c r="M201" s="14"/>
      <c r="N201" s="14"/>
      <c r="O201" s="14"/>
      <c r="P201" s="41"/>
      <c r="Q201" s="14"/>
      <c r="R201" s="14"/>
      <c r="S201" s="14"/>
      <c r="T201" s="43">
        <f>Ranking!AU201</f>
        <v>1</v>
      </c>
      <c r="U201" s="23"/>
      <c r="Y201" s="3"/>
      <c r="Z201" s="33"/>
    </row>
    <row r="202" spans="1:26" ht="18.75" hidden="1" x14ac:dyDescent="0.25">
      <c r="A202" s="36"/>
      <c r="B202" s="22" t="s">
        <v>208</v>
      </c>
      <c r="C202" s="11"/>
      <c r="D202" s="70"/>
      <c r="E202" s="23"/>
      <c r="F202" s="21"/>
      <c r="G202" s="21"/>
      <c r="H202" s="21"/>
      <c r="I202" s="21"/>
      <c r="J202" s="14"/>
      <c r="K202" s="14"/>
      <c r="L202" s="51"/>
      <c r="M202" s="14"/>
      <c r="N202" s="14"/>
      <c r="O202" s="14"/>
      <c r="P202" s="41"/>
      <c r="Q202" s="14"/>
      <c r="R202" s="14"/>
      <c r="S202" s="14"/>
      <c r="T202" s="43">
        <f>Ranking!AU202</f>
        <v>1</v>
      </c>
      <c r="U202" s="23"/>
      <c r="Y202" s="3"/>
      <c r="Z202" s="33"/>
    </row>
    <row r="203" spans="1:26" ht="18.75" hidden="1" x14ac:dyDescent="0.25">
      <c r="A203" s="36"/>
      <c r="B203" s="22" t="s">
        <v>209</v>
      </c>
      <c r="C203" s="11"/>
      <c r="D203" s="70"/>
      <c r="E203" s="23"/>
      <c r="F203" s="21"/>
      <c r="G203" s="21"/>
      <c r="H203" s="21"/>
      <c r="I203" s="21"/>
      <c r="J203" s="14"/>
      <c r="K203" s="14"/>
      <c r="L203" s="51"/>
      <c r="M203" s="14"/>
      <c r="N203" s="14"/>
      <c r="O203" s="14"/>
      <c r="P203" s="41"/>
      <c r="Q203" s="14"/>
      <c r="R203" s="14"/>
      <c r="S203" s="14"/>
      <c r="T203" s="43">
        <f>Ranking!AU203</f>
        <v>1</v>
      </c>
      <c r="U203" s="23"/>
      <c r="Y203" s="3"/>
      <c r="Z203" s="33"/>
    </row>
    <row r="204" spans="1:26" ht="18.75" hidden="1" x14ac:dyDescent="0.25">
      <c r="A204" s="36"/>
      <c r="B204" s="22" t="s">
        <v>210</v>
      </c>
      <c r="C204" s="11"/>
      <c r="D204" s="70"/>
      <c r="E204" s="23"/>
      <c r="F204" s="21"/>
      <c r="G204" s="21"/>
      <c r="H204" s="21"/>
      <c r="I204" s="21"/>
      <c r="J204" s="14"/>
      <c r="K204" s="14"/>
      <c r="L204" s="51"/>
      <c r="M204" s="14"/>
      <c r="N204" s="14"/>
      <c r="O204" s="14"/>
      <c r="P204" s="41"/>
      <c r="Q204" s="14"/>
      <c r="R204" s="14"/>
      <c r="S204" s="14"/>
      <c r="T204" s="43">
        <f>Ranking!AU204</f>
        <v>1</v>
      </c>
      <c r="U204" s="23"/>
      <c r="Y204" s="3"/>
      <c r="Z204" s="33"/>
    </row>
    <row r="205" spans="1:26" ht="18.75" hidden="1" x14ac:dyDescent="0.25">
      <c r="A205" s="36"/>
      <c r="B205" s="22" t="s">
        <v>211</v>
      </c>
      <c r="C205" s="11"/>
      <c r="D205" s="70"/>
      <c r="E205" s="23"/>
      <c r="F205" s="21"/>
      <c r="G205" s="21"/>
      <c r="H205" s="21"/>
      <c r="I205" s="21"/>
      <c r="J205" s="14"/>
      <c r="K205" s="14"/>
      <c r="L205" s="51"/>
      <c r="M205" s="14"/>
      <c r="N205" s="14"/>
      <c r="O205" s="14"/>
      <c r="P205" s="41"/>
      <c r="Q205" s="14"/>
      <c r="R205" s="14"/>
      <c r="S205" s="14"/>
      <c r="T205" s="43">
        <f>Ranking!AU205</f>
        <v>1</v>
      </c>
      <c r="U205" s="23"/>
      <c r="Y205" s="3"/>
      <c r="Z205" s="33"/>
    </row>
    <row r="206" spans="1:26" ht="18.75" hidden="1" x14ac:dyDescent="0.25">
      <c r="B206" s="22" t="s">
        <v>212</v>
      </c>
      <c r="C206" s="11"/>
      <c r="D206" s="70"/>
      <c r="E206" s="23"/>
      <c r="F206" s="21"/>
      <c r="G206" s="21"/>
      <c r="H206" s="21"/>
      <c r="I206" s="21"/>
      <c r="J206" s="14"/>
      <c r="K206" s="14"/>
      <c r="L206" s="51"/>
      <c r="M206" s="14"/>
      <c r="N206" s="14"/>
      <c r="O206" s="14"/>
      <c r="P206" s="41"/>
      <c r="Q206" s="14"/>
      <c r="R206" s="14"/>
      <c r="S206" s="14"/>
      <c r="T206" s="43">
        <f>Ranking!AU206</f>
        <v>1</v>
      </c>
      <c r="U206" s="23"/>
      <c r="Y206" s="3"/>
      <c r="Z206" s="33"/>
    </row>
    <row r="207" spans="1:26" ht="18.75" hidden="1" x14ac:dyDescent="0.25">
      <c r="B207" s="22" t="s">
        <v>213</v>
      </c>
      <c r="C207" s="11"/>
      <c r="D207" s="70"/>
      <c r="E207" s="23"/>
      <c r="F207" s="21"/>
      <c r="G207" s="21"/>
      <c r="H207" s="21"/>
      <c r="I207" s="21"/>
      <c r="J207" s="14"/>
      <c r="K207" s="14"/>
      <c r="L207" s="51"/>
      <c r="M207" s="14"/>
      <c r="N207" s="14"/>
      <c r="O207" s="14"/>
      <c r="P207" s="41"/>
      <c r="Q207" s="14"/>
      <c r="R207" s="14"/>
      <c r="S207" s="14"/>
      <c r="T207" s="43">
        <f>Ranking!AU207</f>
        <v>1</v>
      </c>
      <c r="U207" s="23"/>
      <c r="Y207" s="3"/>
      <c r="Z207" s="33"/>
    </row>
    <row r="208" spans="1:26" ht="18.75" hidden="1" x14ac:dyDescent="0.25">
      <c r="B208" s="22" t="s">
        <v>214</v>
      </c>
      <c r="C208" s="11"/>
      <c r="D208" s="70"/>
      <c r="E208" s="23"/>
      <c r="F208" s="21"/>
      <c r="G208" s="21"/>
      <c r="H208" s="21"/>
      <c r="I208" s="21"/>
      <c r="J208" s="14"/>
      <c r="K208" s="14"/>
      <c r="L208" s="51"/>
      <c r="M208" s="14"/>
      <c r="N208" s="14"/>
      <c r="O208" s="14"/>
      <c r="P208" s="41"/>
      <c r="Q208" s="14"/>
      <c r="R208" s="14"/>
      <c r="S208" s="14"/>
      <c r="T208" s="43">
        <f>Ranking!AU208</f>
        <v>1</v>
      </c>
      <c r="U208" s="23"/>
      <c r="Y208" s="3"/>
      <c r="Z208" s="33"/>
    </row>
    <row r="209" spans="1:26" ht="18.75" hidden="1" x14ac:dyDescent="0.25">
      <c r="B209" s="22" t="s">
        <v>223</v>
      </c>
      <c r="C209" s="11"/>
      <c r="D209" s="70"/>
      <c r="E209" s="23"/>
      <c r="F209" s="21"/>
      <c r="G209" s="21"/>
      <c r="H209" s="21"/>
      <c r="I209" s="21"/>
      <c r="J209" s="21"/>
      <c r="K209" s="21"/>
      <c r="L209" s="51"/>
      <c r="M209" s="14"/>
      <c r="N209" s="14"/>
      <c r="O209" s="14"/>
      <c r="P209" s="41"/>
      <c r="Q209" s="14"/>
      <c r="R209" s="14"/>
      <c r="S209" s="14"/>
      <c r="T209" s="43">
        <f>Ranking!AU209</f>
        <v>1</v>
      </c>
      <c r="U209" s="23"/>
      <c r="Y209" s="3"/>
      <c r="Z209" s="33"/>
    </row>
    <row r="210" spans="1:26" ht="18.75" hidden="1" x14ac:dyDescent="0.25">
      <c r="B210" s="22" t="s">
        <v>224</v>
      </c>
      <c r="C210" s="11"/>
      <c r="D210" s="70"/>
      <c r="E210" s="23"/>
      <c r="F210" s="21"/>
      <c r="G210" s="21"/>
      <c r="H210" s="21"/>
      <c r="I210" s="21"/>
      <c r="J210" s="21"/>
      <c r="K210" s="21"/>
      <c r="L210" s="51"/>
      <c r="M210" s="14"/>
      <c r="N210" s="14"/>
      <c r="O210" s="14"/>
      <c r="P210" s="41"/>
      <c r="Q210" s="14"/>
      <c r="R210" s="14"/>
      <c r="S210" s="14"/>
      <c r="T210" s="43">
        <f>Ranking!AU210</f>
        <v>1</v>
      </c>
      <c r="U210" s="23"/>
      <c r="Y210" s="3"/>
      <c r="Z210" s="33"/>
    </row>
    <row r="211" spans="1:26" ht="18.75" hidden="1" x14ac:dyDescent="0.25">
      <c r="B211" s="22" t="s">
        <v>225</v>
      </c>
      <c r="C211" s="11"/>
      <c r="D211" s="70"/>
      <c r="E211" s="23"/>
      <c r="F211" s="21"/>
      <c r="G211" s="21"/>
      <c r="H211" s="21"/>
      <c r="I211" s="21"/>
      <c r="J211" s="21"/>
      <c r="K211" s="21"/>
      <c r="L211" s="51"/>
      <c r="M211" s="14"/>
      <c r="N211" s="14"/>
      <c r="O211" s="14"/>
      <c r="P211" s="41"/>
      <c r="Q211" s="14"/>
      <c r="R211" s="14"/>
      <c r="S211" s="14"/>
      <c r="T211" s="43">
        <f>Ranking!AU211</f>
        <v>1</v>
      </c>
      <c r="U211" s="23"/>
      <c r="Y211" s="3"/>
      <c r="Z211" s="33"/>
    </row>
    <row r="212" spans="1:26" ht="18.75" hidden="1" x14ac:dyDescent="0.25">
      <c r="B212" s="22" t="s">
        <v>226</v>
      </c>
      <c r="C212" s="11"/>
      <c r="D212" s="70"/>
      <c r="E212" s="23"/>
      <c r="F212" s="21"/>
      <c r="G212" s="21"/>
      <c r="H212" s="21"/>
      <c r="I212" s="21"/>
      <c r="J212" s="21"/>
      <c r="K212" s="21"/>
      <c r="L212" s="51"/>
      <c r="M212" s="14"/>
      <c r="N212" s="14"/>
      <c r="O212" s="14"/>
      <c r="P212" s="41"/>
      <c r="Q212" s="14"/>
      <c r="R212" s="14"/>
      <c r="S212" s="14"/>
      <c r="T212" s="43">
        <f>Ranking!AU212</f>
        <v>1</v>
      </c>
      <c r="U212" s="23"/>
      <c r="Y212" s="3"/>
      <c r="Z212" s="33"/>
    </row>
    <row r="213" spans="1:26" ht="18.75" hidden="1" x14ac:dyDescent="0.25">
      <c r="B213" s="22" t="s">
        <v>227</v>
      </c>
      <c r="C213" s="11"/>
      <c r="D213" s="70"/>
      <c r="E213" s="23"/>
      <c r="F213" s="21"/>
      <c r="G213" s="21"/>
      <c r="H213" s="21"/>
      <c r="I213" s="21"/>
      <c r="J213" s="21"/>
      <c r="K213" s="21"/>
      <c r="L213" s="51"/>
      <c r="M213" s="14"/>
      <c r="N213" s="14"/>
      <c r="O213" s="14"/>
      <c r="P213" s="41"/>
      <c r="Q213" s="14"/>
      <c r="R213" s="14"/>
      <c r="S213" s="14"/>
      <c r="T213" s="43">
        <f>Ranking!AU213</f>
        <v>1</v>
      </c>
      <c r="U213" s="23"/>
      <c r="Y213" s="3"/>
      <c r="Z213" s="33"/>
    </row>
    <row r="214" spans="1:26" ht="18.75" hidden="1" x14ac:dyDescent="0.25">
      <c r="B214" s="22" t="s">
        <v>228</v>
      </c>
      <c r="C214" s="11"/>
      <c r="D214" s="70"/>
      <c r="E214" s="23"/>
      <c r="F214" s="21"/>
      <c r="G214" s="21"/>
      <c r="H214" s="21"/>
      <c r="I214" s="21"/>
      <c r="J214" s="21"/>
      <c r="K214" s="21"/>
      <c r="L214" s="51"/>
      <c r="M214" s="14"/>
      <c r="N214" s="14"/>
      <c r="O214" s="14"/>
      <c r="P214" s="41"/>
      <c r="Q214" s="14"/>
      <c r="R214" s="14"/>
      <c r="S214" s="14"/>
      <c r="T214" s="43">
        <f>Ranking!AU214</f>
        <v>1</v>
      </c>
      <c r="U214" s="23"/>
      <c r="Y214" s="3"/>
      <c r="Z214" s="33"/>
    </row>
    <row r="215" spans="1:26" ht="18.75" hidden="1" x14ac:dyDescent="0.25">
      <c r="B215" s="22" t="s">
        <v>229</v>
      </c>
      <c r="C215" s="11"/>
      <c r="D215" s="70"/>
      <c r="E215" s="23"/>
      <c r="F215" s="21"/>
      <c r="G215" s="21"/>
      <c r="H215" s="21"/>
      <c r="I215" s="21"/>
      <c r="J215" s="21"/>
      <c r="K215" s="21"/>
      <c r="L215" s="51"/>
      <c r="M215" s="14"/>
      <c r="N215" s="14"/>
      <c r="O215" s="14"/>
      <c r="P215" s="41"/>
      <c r="Q215" s="14"/>
      <c r="R215" s="14"/>
      <c r="S215" s="14"/>
      <c r="T215" s="43">
        <f>Ranking!AU215</f>
        <v>1</v>
      </c>
      <c r="U215" s="23"/>
      <c r="Y215" s="3"/>
      <c r="Z215" s="33"/>
    </row>
    <row r="216" spans="1:26" ht="18.75" hidden="1" x14ac:dyDescent="0.25">
      <c r="B216" s="22" t="s">
        <v>230</v>
      </c>
      <c r="C216" s="11"/>
      <c r="D216" s="70"/>
      <c r="E216" s="23"/>
      <c r="F216" s="21"/>
      <c r="G216" s="21"/>
      <c r="H216" s="21"/>
      <c r="I216" s="21"/>
      <c r="J216" s="21"/>
      <c r="K216" s="21"/>
      <c r="L216" s="51"/>
      <c r="M216" s="14"/>
      <c r="N216" s="14"/>
      <c r="O216" s="14"/>
      <c r="P216" s="41"/>
      <c r="Q216" s="14"/>
      <c r="R216" s="14"/>
      <c r="S216" s="14"/>
      <c r="T216" s="43">
        <f>Ranking!AU216</f>
        <v>1</v>
      </c>
      <c r="U216" s="23"/>
      <c r="Y216" s="3"/>
      <c r="Z216" s="33"/>
    </row>
    <row r="217" spans="1:26" ht="18.75" hidden="1" x14ac:dyDescent="0.25">
      <c r="B217" s="22" t="s">
        <v>231</v>
      </c>
      <c r="C217" s="11"/>
      <c r="D217" s="70"/>
      <c r="E217" s="23"/>
      <c r="F217" s="21"/>
      <c r="G217" s="21"/>
      <c r="H217" s="21"/>
      <c r="I217" s="21"/>
      <c r="J217" s="21"/>
      <c r="K217" s="21"/>
      <c r="L217" s="51"/>
      <c r="M217" s="14"/>
      <c r="N217" s="14"/>
      <c r="O217" s="14"/>
      <c r="P217" s="41"/>
      <c r="Q217" s="14"/>
      <c r="R217" s="14"/>
      <c r="S217" s="14"/>
      <c r="T217" s="43">
        <f>Ranking!AU217</f>
        <v>1</v>
      </c>
      <c r="U217" s="23"/>
      <c r="Y217" s="3"/>
      <c r="Z217" s="33"/>
    </row>
    <row r="218" spans="1:26" ht="18.75" hidden="1" x14ac:dyDescent="0.25">
      <c r="B218" s="22" t="s">
        <v>232</v>
      </c>
      <c r="C218" s="11"/>
      <c r="D218" s="70"/>
      <c r="E218" s="23"/>
      <c r="F218" s="21"/>
      <c r="G218" s="21"/>
      <c r="H218" s="21"/>
      <c r="I218" s="21"/>
      <c r="J218" s="21"/>
      <c r="K218" s="21"/>
      <c r="L218" s="51"/>
      <c r="M218" s="14"/>
      <c r="N218" s="14"/>
      <c r="O218" s="14"/>
      <c r="P218" s="41"/>
      <c r="Q218" s="14"/>
      <c r="R218" s="14"/>
      <c r="S218" s="14"/>
      <c r="T218" s="43">
        <f>Ranking!AU218</f>
        <v>1</v>
      </c>
      <c r="U218" s="23"/>
      <c r="Y218" s="3"/>
      <c r="Z218" s="33"/>
    </row>
    <row r="219" spans="1:26" ht="18.75" hidden="1" x14ac:dyDescent="0.25">
      <c r="B219" s="22" t="s">
        <v>233</v>
      </c>
      <c r="C219" s="11"/>
      <c r="D219" s="70"/>
      <c r="E219" s="23"/>
      <c r="F219" s="21"/>
      <c r="G219" s="21"/>
      <c r="H219" s="21"/>
      <c r="I219" s="21"/>
      <c r="J219" s="14"/>
      <c r="K219" s="14"/>
      <c r="L219" s="51"/>
      <c r="M219" s="14"/>
      <c r="N219" s="14"/>
      <c r="O219" s="14"/>
      <c r="P219" s="41"/>
      <c r="Q219" s="14"/>
      <c r="R219" s="14"/>
      <c r="S219" s="14"/>
      <c r="T219" s="43">
        <f>Ranking!AU219</f>
        <v>1</v>
      </c>
      <c r="U219" s="23"/>
      <c r="Y219" s="3"/>
      <c r="Z219" s="33"/>
    </row>
    <row r="220" spans="1:26" ht="18.75" hidden="1" x14ac:dyDescent="0.25">
      <c r="B220" s="22" t="s">
        <v>234</v>
      </c>
      <c r="C220" s="11"/>
      <c r="D220" s="70"/>
      <c r="E220" s="23"/>
      <c r="F220" s="21"/>
      <c r="G220" s="21"/>
      <c r="H220" s="21"/>
      <c r="I220" s="21"/>
      <c r="J220" s="14"/>
      <c r="K220" s="14"/>
      <c r="L220" s="51"/>
      <c r="M220" s="14"/>
      <c r="N220" s="14"/>
      <c r="O220" s="14"/>
      <c r="P220" s="41"/>
      <c r="Q220" s="14"/>
      <c r="R220" s="14"/>
      <c r="S220" s="14"/>
      <c r="T220" s="43">
        <f>Ranking!AU220</f>
        <v>1</v>
      </c>
      <c r="U220" s="23"/>
      <c r="Y220" s="3"/>
      <c r="Z220" s="33"/>
    </row>
    <row r="221" spans="1:26" ht="18.75" hidden="1" x14ac:dyDescent="0.25">
      <c r="B221" s="22" t="s">
        <v>235</v>
      </c>
      <c r="C221" s="11"/>
      <c r="D221" s="70"/>
      <c r="E221" s="23"/>
      <c r="F221" s="21"/>
      <c r="G221" s="14"/>
      <c r="H221" s="14"/>
      <c r="I221" s="14"/>
      <c r="J221" s="14"/>
      <c r="K221" s="14"/>
      <c r="L221" s="51"/>
      <c r="M221" s="14"/>
      <c r="N221" s="14"/>
      <c r="O221" s="14"/>
      <c r="P221" s="41"/>
      <c r="Q221" s="14"/>
      <c r="R221" s="14"/>
      <c r="S221" s="14"/>
      <c r="T221" s="43">
        <f>Ranking!AU221</f>
        <v>1</v>
      </c>
      <c r="U221" s="23"/>
      <c r="Y221" s="3"/>
      <c r="Z221" s="33"/>
    </row>
    <row r="222" spans="1:26" ht="18.75" hidden="1" x14ac:dyDescent="0.25">
      <c r="B222" s="22" t="s">
        <v>236</v>
      </c>
      <c r="C222" s="11"/>
      <c r="D222" s="70"/>
      <c r="E222" s="23"/>
      <c r="F222" s="21"/>
      <c r="G222" s="21"/>
      <c r="H222" s="21"/>
      <c r="I222" s="21"/>
      <c r="J222" s="14"/>
      <c r="K222" s="14"/>
      <c r="L222" s="51"/>
      <c r="M222" s="14"/>
      <c r="N222" s="14"/>
      <c r="O222" s="14"/>
      <c r="P222" s="41"/>
      <c r="Q222" s="14"/>
      <c r="R222" s="14"/>
      <c r="S222" s="14"/>
      <c r="T222" s="43">
        <f>Ranking!AU222</f>
        <v>1</v>
      </c>
      <c r="U222" s="23"/>
      <c r="Y222" s="3"/>
      <c r="Z222" s="33"/>
    </row>
    <row r="223" spans="1:26" ht="18.75" hidden="1" x14ac:dyDescent="0.25">
      <c r="B223" s="22" t="s">
        <v>237</v>
      </c>
      <c r="C223" s="11"/>
      <c r="D223" s="70"/>
      <c r="E223" s="23"/>
      <c r="F223" s="21"/>
      <c r="G223" s="21"/>
      <c r="H223" s="21"/>
      <c r="I223" s="21"/>
      <c r="J223" s="14"/>
      <c r="K223" s="14"/>
      <c r="L223" s="51"/>
      <c r="M223" s="14"/>
      <c r="N223" s="14"/>
      <c r="O223" s="14"/>
      <c r="P223" s="41"/>
      <c r="Q223" s="14"/>
      <c r="R223" s="14"/>
      <c r="S223" s="14"/>
      <c r="T223" s="43">
        <f>Ranking!AU223</f>
        <v>1</v>
      </c>
      <c r="U223" s="23"/>
      <c r="Y223" s="3"/>
      <c r="Z223" s="33"/>
    </row>
    <row r="224" spans="1:26" ht="18.75" hidden="1" x14ac:dyDescent="0.25">
      <c r="A224" s="36"/>
      <c r="B224" s="22" t="s">
        <v>238</v>
      </c>
      <c r="C224" s="11"/>
      <c r="D224" s="70"/>
      <c r="E224" s="23"/>
      <c r="F224" s="21"/>
      <c r="G224" s="21"/>
      <c r="H224" s="21"/>
      <c r="I224" s="21"/>
      <c r="J224" s="14"/>
      <c r="K224" s="14"/>
      <c r="L224" s="51"/>
      <c r="M224" s="14"/>
      <c r="N224" s="14"/>
      <c r="O224" s="14"/>
      <c r="P224" s="41"/>
      <c r="Q224" s="14"/>
      <c r="R224" s="14"/>
      <c r="S224" s="14"/>
      <c r="T224" s="43">
        <f>Ranking!AU224</f>
        <v>1</v>
      </c>
      <c r="U224" s="23"/>
      <c r="Y224" s="3"/>
      <c r="Z224" s="33"/>
    </row>
    <row r="225" spans="1:26" ht="18.75" hidden="1" x14ac:dyDescent="0.25">
      <c r="A225" s="36"/>
      <c r="B225" s="22" t="s">
        <v>239</v>
      </c>
      <c r="C225" s="11"/>
      <c r="D225" s="70"/>
      <c r="E225" s="23"/>
      <c r="F225" s="21"/>
      <c r="G225" s="21"/>
      <c r="H225" s="21"/>
      <c r="I225" s="21"/>
      <c r="J225" s="14"/>
      <c r="K225" s="14"/>
      <c r="L225" s="51"/>
      <c r="M225" s="14"/>
      <c r="N225" s="14"/>
      <c r="O225" s="14"/>
      <c r="P225" s="41"/>
      <c r="Q225" s="14"/>
      <c r="R225" s="14"/>
      <c r="S225" s="14"/>
      <c r="T225" s="43">
        <f>Ranking!AU225</f>
        <v>1</v>
      </c>
      <c r="U225" s="23"/>
      <c r="Y225" s="3"/>
      <c r="Z225" s="33"/>
    </row>
    <row r="226" spans="1:26" ht="18.75" hidden="1" x14ac:dyDescent="0.25">
      <c r="A226" s="36"/>
      <c r="B226" s="22" t="s">
        <v>240</v>
      </c>
      <c r="C226" s="11"/>
      <c r="D226" s="70"/>
      <c r="E226" s="23"/>
      <c r="F226" s="21"/>
      <c r="G226" s="21"/>
      <c r="H226" s="21"/>
      <c r="I226" s="21"/>
      <c r="J226" s="14"/>
      <c r="K226" s="14"/>
      <c r="L226" s="51"/>
      <c r="M226" s="14"/>
      <c r="N226" s="14"/>
      <c r="O226" s="14"/>
      <c r="P226" s="41"/>
      <c r="Q226" s="14"/>
      <c r="R226" s="14"/>
      <c r="S226" s="14"/>
      <c r="T226" s="43">
        <f>Ranking!AU226</f>
        <v>1</v>
      </c>
      <c r="U226" s="23"/>
      <c r="Y226" s="3"/>
      <c r="Z226" s="33"/>
    </row>
    <row r="227" spans="1:26" ht="18.75" hidden="1" x14ac:dyDescent="0.25">
      <c r="A227" s="36"/>
      <c r="B227" s="22" t="s">
        <v>241</v>
      </c>
      <c r="C227" s="11"/>
      <c r="D227" s="70"/>
      <c r="E227" s="23"/>
      <c r="F227" s="21"/>
      <c r="G227" s="21"/>
      <c r="H227" s="21"/>
      <c r="I227" s="21"/>
      <c r="J227" s="14"/>
      <c r="K227" s="14"/>
      <c r="L227" s="51"/>
      <c r="M227" s="14"/>
      <c r="N227" s="14"/>
      <c r="O227" s="14"/>
      <c r="P227" s="41"/>
      <c r="Q227" s="14"/>
      <c r="R227" s="14"/>
      <c r="S227" s="14"/>
      <c r="T227" s="43">
        <f>Ranking!AU227</f>
        <v>1</v>
      </c>
      <c r="U227" s="23"/>
      <c r="Y227" s="3"/>
      <c r="Z227" s="33"/>
    </row>
    <row r="228" spans="1:26" ht="18.75" hidden="1" x14ac:dyDescent="0.25">
      <c r="A228" s="36"/>
      <c r="B228" s="22" t="s">
        <v>242</v>
      </c>
      <c r="C228" s="11"/>
      <c r="D228" s="70"/>
      <c r="E228" s="23"/>
      <c r="F228" s="21"/>
      <c r="G228" s="21"/>
      <c r="H228" s="21"/>
      <c r="I228" s="21"/>
      <c r="J228" s="14"/>
      <c r="K228" s="14"/>
      <c r="L228" s="51"/>
      <c r="M228" s="14"/>
      <c r="N228" s="14"/>
      <c r="O228" s="14"/>
      <c r="P228" s="41"/>
      <c r="Q228" s="14"/>
      <c r="R228" s="14"/>
      <c r="S228" s="14"/>
      <c r="T228" s="43">
        <f>Ranking!AU228</f>
        <v>1</v>
      </c>
      <c r="U228" s="23"/>
      <c r="Y228" s="3"/>
      <c r="Z228" s="33"/>
    </row>
    <row r="229" spans="1:26" ht="18.75" hidden="1" x14ac:dyDescent="0.25">
      <c r="A229" s="36"/>
      <c r="B229" s="22" t="s">
        <v>243</v>
      </c>
      <c r="C229" s="11"/>
      <c r="D229" s="70"/>
      <c r="E229" s="23"/>
      <c r="F229" s="21"/>
      <c r="G229" s="21"/>
      <c r="H229" s="21"/>
      <c r="I229" s="21"/>
      <c r="J229" s="14"/>
      <c r="K229" s="14"/>
      <c r="L229" s="51"/>
      <c r="M229" s="14"/>
      <c r="N229" s="14"/>
      <c r="O229" s="14"/>
      <c r="P229" s="41"/>
      <c r="Q229" s="14"/>
      <c r="R229" s="14"/>
      <c r="S229" s="14"/>
      <c r="T229" s="43">
        <f>Ranking!AU229</f>
        <v>1</v>
      </c>
      <c r="U229" s="23"/>
      <c r="Y229" s="3"/>
      <c r="Z229" s="33"/>
    </row>
    <row r="230" spans="1:26" ht="18.75" hidden="1" x14ac:dyDescent="0.25">
      <c r="B230" s="22" t="s">
        <v>244</v>
      </c>
      <c r="C230" s="11"/>
      <c r="D230" s="70"/>
      <c r="E230" s="23"/>
      <c r="F230" s="21"/>
      <c r="G230" s="21"/>
      <c r="H230" s="21"/>
      <c r="I230" s="21"/>
      <c r="J230" s="14"/>
      <c r="K230" s="14"/>
      <c r="L230" s="51"/>
      <c r="M230" s="14"/>
      <c r="N230" s="14"/>
      <c r="O230" s="14"/>
      <c r="P230" s="41"/>
      <c r="Q230" s="14"/>
      <c r="R230" s="14"/>
      <c r="S230" s="14"/>
      <c r="T230" s="43">
        <f>Ranking!AU230</f>
        <v>1</v>
      </c>
      <c r="U230" s="23"/>
      <c r="Y230" s="3"/>
      <c r="Z230" s="33"/>
    </row>
    <row r="231" spans="1:26" ht="18.75" hidden="1" x14ac:dyDescent="0.25">
      <c r="B231" s="22" t="s">
        <v>245</v>
      </c>
      <c r="C231" s="11"/>
      <c r="D231" s="70"/>
      <c r="E231" s="23"/>
      <c r="F231" s="21"/>
      <c r="G231" s="21"/>
      <c r="H231" s="21"/>
      <c r="I231" s="21"/>
      <c r="J231" s="14"/>
      <c r="K231" s="14"/>
      <c r="L231" s="51"/>
      <c r="M231" s="14"/>
      <c r="N231" s="14"/>
      <c r="O231" s="14"/>
      <c r="P231" s="41"/>
      <c r="Q231" s="14"/>
      <c r="R231" s="14"/>
      <c r="S231" s="14"/>
      <c r="T231" s="43">
        <f>Ranking!AU231</f>
        <v>1</v>
      </c>
      <c r="U231" s="23"/>
      <c r="Y231" s="3"/>
      <c r="Z231" s="33"/>
    </row>
    <row r="232" spans="1:26" ht="18.75" hidden="1" x14ac:dyDescent="0.25">
      <c r="A232" s="36"/>
      <c r="B232" s="22" t="s">
        <v>246</v>
      </c>
      <c r="C232" s="11"/>
      <c r="D232" s="70"/>
      <c r="E232" s="23"/>
      <c r="F232" s="21"/>
      <c r="G232" s="21"/>
      <c r="H232" s="21"/>
      <c r="I232" s="21"/>
      <c r="J232" s="14"/>
      <c r="K232" s="14"/>
      <c r="L232" s="51"/>
      <c r="M232" s="14"/>
      <c r="N232" s="14"/>
      <c r="O232" s="14"/>
      <c r="P232" s="41"/>
      <c r="Q232" s="14"/>
      <c r="R232" s="14"/>
      <c r="S232" s="14"/>
      <c r="T232" s="43">
        <f>Ranking!AU232</f>
        <v>1</v>
      </c>
      <c r="U232" s="23"/>
      <c r="Y232" s="3"/>
      <c r="Z232" s="33"/>
    </row>
    <row r="233" spans="1:26" ht="18.75" hidden="1" x14ac:dyDescent="0.25">
      <c r="A233" s="36"/>
      <c r="B233" s="22" t="s">
        <v>247</v>
      </c>
      <c r="C233" s="11"/>
      <c r="D233" s="70"/>
      <c r="E233" s="23"/>
      <c r="F233" s="21"/>
      <c r="G233" s="21"/>
      <c r="H233" s="21"/>
      <c r="I233" s="21"/>
      <c r="J233" s="14"/>
      <c r="K233" s="14"/>
      <c r="L233" s="51"/>
      <c r="M233" s="14"/>
      <c r="N233" s="14"/>
      <c r="O233" s="14"/>
      <c r="P233" s="41"/>
      <c r="Q233" s="14"/>
      <c r="R233" s="14"/>
      <c r="S233" s="14"/>
      <c r="T233" s="43">
        <f>Ranking!AU233</f>
        <v>1</v>
      </c>
      <c r="U233" s="23"/>
      <c r="Y233" s="3"/>
      <c r="Z233" s="33"/>
    </row>
    <row r="234" spans="1:26" ht="18.75" hidden="1" x14ac:dyDescent="0.25">
      <c r="A234" s="36"/>
      <c r="B234" s="22" t="s">
        <v>248</v>
      </c>
      <c r="C234" s="11"/>
      <c r="D234" s="70"/>
      <c r="E234" s="23"/>
      <c r="F234" s="21"/>
      <c r="G234" s="21"/>
      <c r="H234" s="21"/>
      <c r="I234" s="21"/>
      <c r="J234" s="14"/>
      <c r="K234" s="14"/>
      <c r="L234" s="51"/>
      <c r="M234" s="14"/>
      <c r="N234" s="14"/>
      <c r="O234" s="14"/>
      <c r="P234" s="41"/>
      <c r="Q234" s="14"/>
      <c r="R234" s="14"/>
      <c r="S234" s="14"/>
      <c r="T234" s="43">
        <f>Ranking!AU234</f>
        <v>1</v>
      </c>
      <c r="U234" s="23"/>
      <c r="Y234" s="3"/>
      <c r="Z234" s="33"/>
    </row>
    <row r="235" spans="1:26" ht="18.75" hidden="1" x14ac:dyDescent="0.25">
      <c r="B235" s="22" t="s">
        <v>249</v>
      </c>
      <c r="C235" s="11"/>
      <c r="D235" s="70"/>
      <c r="E235" s="23"/>
      <c r="F235" s="21"/>
      <c r="G235" s="14"/>
      <c r="H235" s="14"/>
      <c r="I235" s="14"/>
      <c r="J235" s="14"/>
      <c r="K235" s="14"/>
      <c r="L235" s="51"/>
      <c r="M235" s="14"/>
      <c r="N235" s="14"/>
      <c r="O235" s="14"/>
      <c r="P235" s="41"/>
      <c r="Q235" s="14"/>
      <c r="R235" s="14"/>
      <c r="S235" s="14"/>
      <c r="T235" s="43">
        <f>Ranking!AU235</f>
        <v>1</v>
      </c>
      <c r="U235" s="23"/>
      <c r="Y235" s="3"/>
      <c r="Z235" s="33"/>
    </row>
    <row r="236" spans="1:26" ht="18.75" hidden="1" x14ac:dyDescent="0.25">
      <c r="B236" s="22" t="s">
        <v>250</v>
      </c>
      <c r="C236" s="11"/>
      <c r="D236" s="70"/>
      <c r="E236" s="23"/>
      <c r="F236" s="21"/>
      <c r="G236" s="14"/>
      <c r="H236" s="14"/>
      <c r="I236" s="14"/>
      <c r="J236" s="14"/>
      <c r="K236" s="14"/>
      <c r="L236" s="51"/>
      <c r="M236" s="14"/>
      <c r="N236" s="14"/>
      <c r="O236" s="14"/>
      <c r="P236" s="41"/>
      <c r="Q236" s="14"/>
      <c r="R236" s="14"/>
      <c r="S236" s="14"/>
      <c r="T236" s="43">
        <f>Ranking!AU236</f>
        <v>1</v>
      </c>
      <c r="U236" s="23"/>
      <c r="Y236" s="3"/>
      <c r="Z236" s="33"/>
    </row>
    <row r="237" spans="1:26" ht="18.75" hidden="1" x14ac:dyDescent="0.25">
      <c r="B237" s="22" t="s">
        <v>251</v>
      </c>
      <c r="C237" s="11"/>
      <c r="D237" s="70"/>
      <c r="E237" s="23"/>
      <c r="F237" s="21"/>
      <c r="G237" s="14"/>
      <c r="H237" s="14"/>
      <c r="I237" s="21"/>
      <c r="J237" s="14"/>
      <c r="K237" s="14"/>
      <c r="L237" s="51"/>
      <c r="M237" s="14"/>
      <c r="N237" s="14"/>
      <c r="O237" s="14"/>
      <c r="P237" s="41"/>
      <c r="Q237" s="14"/>
      <c r="R237" s="14"/>
      <c r="S237" s="14"/>
      <c r="T237" s="43">
        <f>Ranking!AU237</f>
        <v>1</v>
      </c>
      <c r="U237" s="23"/>
      <c r="Y237" s="3"/>
      <c r="Z237" s="33"/>
    </row>
    <row r="238" spans="1:26" ht="18.75" hidden="1" x14ac:dyDescent="0.25">
      <c r="B238" s="22" t="s">
        <v>252</v>
      </c>
      <c r="C238" s="11"/>
      <c r="D238" s="70"/>
      <c r="E238" s="23"/>
      <c r="F238" s="21"/>
      <c r="G238" s="21"/>
      <c r="H238" s="21"/>
      <c r="I238" s="21"/>
      <c r="J238" s="21"/>
      <c r="K238" s="21"/>
      <c r="L238" s="51"/>
      <c r="M238" s="14"/>
      <c r="N238" s="14"/>
      <c r="O238" s="14"/>
      <c r="P238" s="41"/>
      <c r="Q238" s="14"/>
      <c r="R238" s="14"/>
      <c r="S238" s="14"/>
      <c r="T238" s="43">
        <f>Ranking!AU238</f>
        <v>1</v>
      </c>
      <c r="U238" s="23"/>
      <c r="Y238" s="3"/>
      <c r="Z238" s="33"/>
    </row>
    <row r="239" spans="1:26" ht="18.75" hidden="1" x14ac:dyDescent="0.25">
      <c r="B239" s="22" t="s">
        <v>253</v>
      </c>
      <c r="C239" s="11"/>
      <c r="D239" s="70"/>
      <c r="E239" s="23"/>
      <c r="F239" s="21"/>
      <c r="G239" s="21"/>
      <c r="H239" s="21"/>
      <c r="I239" s="21"/>
      <c r="J239" s="21"/>
      <c r="K239" s="14"/>
      <c r="L239" s="51"/>
      <c r="M239" s="14"/>
      <c r="N239" s="14"/>
      <c r="O239" s="14"/>
      <c r="P239" s="41"/>
      <c r="Q239" s="14"/>
      <c r="R239" s="14"/>
      <c r="S239" s="14"/>
      <c r="T239" s="43">
        <f>Ranking!AU239</f>
        <v>1</v>
      </c>
      <c r="U239" s="23"/>
      <c r="Y239" s="3"/>
      <c r="Z239" s="33"/>
    </row>
    <row r="240" spans="1:26" ht="18.75" hidden="1" x14ac:dyDescent="0.25">
      <c r="B240" s="22" t="s">
        <v>254</v>
      </c>
      <c r="C240" s="11"/>
      <c r="D240" s="70"/>
      <c r="E240" s="23"/>
      <c r="F240" s="21"/>
      <c r="G240" s="21"/>
      <c r="H240" s="21"/>
      <c r="I240" s="21"/>
      <c r="J240" s="14"/>
      <c r="K240" s="14"/>
      <c r="L240" s="51"/>
      <c r="M240" s="14"/>
      <c r="N240" s="14"/>
      <c r="O240" s="14"/>
      <c r="P240" s="41"/>
      <c r="Q240" s="14"/>
      <c r="R240" s="14"/>
      <c r="S240" s="14"/>
      <c r="T240" s="43">
        <f>Ranking!AU240</f>
        <v>1</v>
      </c>
      <c r="U240" s="23"/>
      <c r="Y240" s="3"/>
      <c r="Z240" s="33"/>
    </row>
    <row r="241" spans="1:26" ht="18.75" hidden="1" x14ac:dyDescent="0.25">
      <c r="B241" s="22" t="s">
        <v>255</v>
      </c>
      <c r="C241" s="11"/>
      <c r="D241" s="70"/>
      <c r="E241" s="23"/>
      <c r="F241" s="21"/>
      <c r="G241" s="14"/>
      <c r="H241" s="14"/>
      <c r="I241" s="21"/>
      <c r="J241" s="14"/>
      <c r="K241" s="14"/>
      <c r="L241" s="51"/>
      <c r="M241" s="14"/>
      <c r="N241" s="14"/>
      <c r="O241" s="14"/>
      <c r="P241" s="41"/>
      <c r="Q241" s="14"/>
      <c r="R241" s="14"/>
      <c r="S241" s="14"/>
      <c r="T241" s="43">
        <f>Ranking!AU241</f>
        <v>1</v>
      </c>
      <c r="U241" s="23"/>
      <c r="Y241" s="3"/>
      <c r="Z241" s="33"/>
    </row>
    <row r="242" spans="1:26" ht="18.75" hidden="1" x14ac:dyDescent="0.25">
      <c r="B242" s="22" t="s">
        <v>256</v>
      </c>
      <c r="C242" s="11"/>
      <c r="D242" s="70"/>
      <c r="E242" s="23"/>
      <c r="F242" s="21"/>
      <c r="G242" s="14"/>
      <c r="H242" s="14"/>
      <c r="I242" s="21"/>
      <c r="J242" s="14"/>
      <c r="K242" s="14"/>
      <c r="L242" s="51"/>
      <c r="M242" s="14"/>
      <c r="N242" s="14"/>
      <c r="O242" s="14"/>
      <c r="P242" s="41"/>
      <c r="Q242" s="14"/>
      <c r="R242" s="14"/>
      <c r="S242" s="14"/>
      <c r="T242" s="43">
        <f>Ranking!AU242</f>
        <v>1</v>
      </c>
      <c r="U242" s="23"/>
      <c r="Y242" s="3"/>
      <c r="Z242" s="33"/>
    </row>
    <row r="243" spans="1:26" ht="18.75" hidden="1" x14ac:dyDescent="0.25">
      <c r="B243" s="22" t="s">
        <v>257</v>
      </c>
      <c r="C243" s="11"/>
      <c r="D243" s="70"/>
      <c r="E243" s="23"/>
      <c r="F243" s="21"/>
      <c r="G243" s="14"/>
      <c r="H243" s="14"/>
      <c r="I243" s="14"/>
      <c r="J243" s="14"/>
      <c r="K243" s="14"/>
      <c r="L243" s="51"/>
      <c r="M243" s="14"/>
      <c r="N243" s="14"/>
      <c r="O243" s="14"/>
      <c r="P243" s="41"/>
      <c r="Q243" s="14"/>
      <c r="R243" s="14"/>
      <c r="S243" s="14"/>
      <c r="T243" s="43">
        <f>Ranking!AU243</f>
        <v>1</v>
      </c>
      <c r="U243" s="23"/>
      <c r="Y243" s="3"/>
      <c r="Z243" s="33"/>
    </row>
    <row r="244" spans="1:26" ht="18.75" hidden="1" x14ac:dyDescent="0.25">
      <c r="B244" s="22" t="s">
        <v>258</v>
      </c>
      <c r="C244" s="11"/>
      <c r="D244" s="70"/>
      <c r="E244" s="23"/>
      <c r="F244" s="21" t="s">
        <v>216</v>
      </c>
      <c r="G244" s="21" t="s">
        <v>216</v>
      </c>
      <c r="H244" s="21" t="s">
        <v>216</v>
      </c>
      <c r="I244" s="21" t="s">
        <v>216</v>
      </c>
      <c r="J244" s="21" t="s">
        <v>216</v>
      </c>
      <c r="K244" s="14" t="s">
        <v>215</v>
      </c>
      <c r="L244" s="51" t="s">
        <v>217</v>
      </c>
      <c r="M244" s="14" t="s">
        <v>217</v>
      </c>
      <c r="N244" s="14" t="s">
        <v>217</v>
      </c>
      <c r="O244" s="14"/>
      <c r="P244" s="41"/>
      <c r="Q244" s="14"/>
      <c r="R244" s="14"/>
      <c r="S244" s="14"/>
      <c r="T244" s="43">
        <f>Ranking!AU244</f>
        <v>0.41791044776119396</v>
      </c>
      <c r="U244" s="23"/>
      <c r="Y244" s="3"/>
      <c r="Z244" s="33"/>
    </row>
    <row r="245" spans="1:26" ht="18.75" hidden="1" x14ac:dyDescent="0.25">
      <c r="B245" s="22" t="s">
        <v>259</v>
      </c>
      <c r="C245" s="11"/>
      <c r="D245" s="70"/>
      <c r="E245" s="23"/>
      <c r="F245" s="21" t="s">
        <v>216</v>
      </c>
      <c r="G245" s="14" t="s">
        <v>215</v>
      </c>
      <c r="H245" s="14" t="s">
        <v>215</v>
      </c>
      <c r="I245" s="14" t="s">
        <v>215</v>
      </c>
      <c r="J245" s="14" t="s">
        <v>216</v>
      </c>
      <c r="K245" s="14" t="s">
        <v>216</v>
      </c>
      <c r="L245" s="51" t="s">
        <v>217</v>
      </c>
      <c r="M245" s="14" t="s">
        <v>217</v>
      </c>
      <c r="N245" s="14" t="s">
        <v>217</v>
      </c>
      <c r="O245" s="14"/>
      <c r="P245" s="41"/>
      <c r="Q245" s="14"/>
      <c r="R245" s="14"/>
      <c r="S245" s="14"/>
      <c r="T245" s="43">
        <f>Ranking!AU245</f>
        <v>0.58208955223880587</v>
      </c>
      <c r="U245" s="23"/>
      <c r="Y245" s="3"/>
      <c r="Z245" s="33"/>
    </row>
    <row r="246" spans="1:26" ht="18.75" hidden="1" x14ac:dyDescent="0.25">
      <c r="B246" s="22" t="s">
        <v>260</v>
      </c>
      <c r="C246" s="11"/>
      <c r="D246" s="70"/>
      <c r="E246" s="23"/>
      <c r="F246" s="21" t="s">
        <v>216</v>
      </c>
      <c r="G246" s="14" t="s">
        <v>215</v>
      </c>
      <c r="H246" s="14" t="s">
        <v>215</v>
      </c>
      <c r="I246" s="14" t="s">
        <v>215</v>
      </c>
      <c r="J246" s="14" t="s">
        <v>215</v>
      </c>
      <c r="K246" s="14" t="s">
        <v>216</v>
      </c>
      <c r="L246" s="51" t="s">
        <v>217</v>
      </c>
      <c r="M246" s="14" t="s">
        <v>217</v>
      </c>
      <c r="N246" s="14" t="s">
        <v>217</v>
      </c>
      <c r="O246" s="14"/>
      <c r="P246" s="41"/>
      <c r="Q246" s="14"/>
      <c r="R246" s="14"/>
      <c r="S246" s="14"/>
      <c r="T246" s="43">
        <f>Ranking!AU246</f>
        <v>0.89552238805970141</v>
      </c>
      <c r="U246" s="23"/>
      <c r="Y246" s="3"/>
      <c r="Z246" s="33"/>
    </row>
    <row r="247" spans="1:26" ht="18.75" hidden="1" x14ac:dyDescent="0.25">
      <c r="B247" s="22" t="s">
        <v>261</v>
      </c>
      <c r="C247" s="11"/>
      <c r="D247" s="70"/>
      <c r="E247" s="23"/>
      <c r="F247" s="21" t="s">
        <v>216</v>
      </c>
      <c r="G247" s="14" t="s">
        <v>215</v>
      </c>
      <c r="H247" s="14" t="s">
        <v>215</v>
      </c>
      <c r="I247" s="14" t="s">
        <v>215</v>
      </c>
      <c r="J247" s="14" t="s">
        <v>215</v>
      </c>
      <c r="K247" s="14" t="s">
        <v>216</v>
      </c>
      <c r="L247" s="51" t="s">
        <v>217</v>
      </c>
      <c r="M247" s="14" t="s">
        <v>217</v>
      </c>
      <c r="N247" s="14" t="s">
        <v>217</v>
      </c>
      <c r="O247" s="14"/>
      <c r="P247" s="41"/>
      <c r="Q247" s="14"/>
      <c r="R247" s="14"/>
      <c r="S247" s="14"/>
      <c r="T247" s="43">
        <f>Ranking!AU247</f>
        <v>0.89552238805970141</v>
      </c>
      <c r="U247" s="23"/>
      <c r="Y247" s="3"/>
      <c r="Z247" s="33"/>
    </row>
    <row r="248" spans="1:26" ht="18.75" hidden="1" x14ac:dyDescent="0.25">
      <c r="B248" s="22" t="s">
        <v>262</v>
      </c>
      <c r="C248" s="11"/>
      <c r="D248" s="70"/>
      <c r="E248" s="23"/>
      <c r="F248" s="21" t="s">
        <v>216</v>
      </c>
      <c r="G248" s="14" t="s">
        <v>215</v>
      </c>
      <c r="H248" s="14" t="s">
        <v>215</v>
      </c>
      <c r="I248" s="14" t="s">
        <v>215</v>
      </c>
      <c r="J248" s="14" t="s">
        <v>215</v>
      </c>
      <c r="K248" s="14" t="s">
        <v>216</v>
      </c>
      <c r="L248" s="51" t="s">
        <v>217</v>
      </c>
      <c r="M248" s="14" t="s">
        <v>215</v>
      </c>
      <c r="N248" s="14" t="s">
        <v>215</v>
      </c>
      <c r="O248" s="14"/>
      <c r="P248" s="41"/>
      <c r="Q248" s="14"/>
      <c r="R248" s="14"/>
      <c r="S248" s="14"/>
      <c r="T248" s="43">
        <f>Ranking!AU248</f>
        <v>0.90789473684210509</v>
      </c>
      <c r="U248" s="23"/>
      <c r="Y248" s="3"/>
      <c r="Z248" s="33"/>
    </row>
    <row r="249" spans="1:26" ht="18.75" hidden="1" x14ac:dyDescent="0.25">
      <c r="B249" s="22" t="s">
        <v>263</v>
      </c>
      <c r="C249" s="11"/>
      <c r="D249" s="70"/>
      <c r="E249" s="23"/>
      <c r="F249" s="21" t="s">
        <v>216</v>
      </c>
      <c r="G249" s="14" t="s">
        <v>215</v>
      </c>
      <c r="H249" s="14" t="s">
        <v>215</v>
      </c>
      <c r="I249" s="14" t="s">
        <v>215</v>
      </c>
      <c r="J249" s="14" t="s">
        <v>215</v>
      </c>
      <c r="K249" s="14" t="s">
        <v>216</v>
      </c>
      <c r="L249" s="51" t="s">
        <v>217</v>
      </c>
      <c r="M249" s="14" t="s">
        <v>215</v>
      </c>
      <c r="N249" s="14" t="s">
        <v>215</v>
      </c>
      <c r="O249" s="14"/>
      <c r="P249" s="41"/>
      <c r="Q249" s="14"/>
      <c r="R249" s="14"/>
      <c r="S249" s="14"/>
      <c r="T249" s="43">
        <f>Ranking!AU249</f>
        <v>0.90789473684210509</v>
      </c>
      <c r="U249" s="23"/>
      <c r="Y249" s="3"/>
      <c r="Z249" s="33"/>
    </row>
    <row r="250" spans="1:26" ht="18.75" hidden="1" x14ac:dyDescent="0.25">
      <c r="B250" s="22" t="s">
        <v>264</v>
      </c>
      <c r="C250" s="11"/>
      <c r="D250" s="70"/>
      <c r="E250" s="23"/>
      <c r="F250" s="21" t="s">
        <v>216</v>
      </c>
      <c r="G250" s="14" t="s">
        <v>215</v>
      </c>
      <c r="H250" s="14" t="s">
        <v>215</v>
      </c>
      <c r="I250" s="14" t="s">
        <v>215</v>
      </c>
      <c r="J250" s="14" t="s">
        <v>215</v>
      </c>
      <c r="K250" s="14" t="s">
        <v>216</v>
      </c>
      <c r="L250" s="51" t="s">
        <v>217</v>
      </c>
      <c r="M250" s="14" t="s">
        <v>215</v>
      </c>
      <c r="N250" s="14" t="s">
        <v>215</v>
      </c>
      <c r="O250" s="14"/>
      <c r="P250" s="41"/>
      <c r="Q250" s="14"/>
      <c r="R250" s="14"/>
      <c r="S250" s="14"/>
      <c r="T250" s="43">
        <f>Ranking!AU250</f>
        <v>0.90789473684210509</v>
      </c>
      <c r="U250" s="23"/>
      <c r="Y250" s="3"/>
      <c r="Z250" s="33"/>
    </row>
    <row r="251" spans="1:26" ht="18.75" hidden="1" x14ac:dyDescent="0.25">
      <c r="A251" s="36"/>
      <c r="B251" s="22" t="s">
        <v>265</v>
      </c>
      <c r="C251" s="11"/>
      <c r="D251" s="70"/>
      <c r="E251" s="23"/>
      <c r="F251" s="21" t="s">
        <v>215</v>
      </c>
      <c r="G251" s="21" t="s">
        <v>215</v>
      </c>
      <c r="H251" s="21" t="s">
        <v>215</v>
      </c>
      <c r="I251" s="21" t="s">
        <v>216</v>
      </c>
      <c r="J251" s="14" t="s">
        <v>215</v>
      </c>
      <c r="K251" s="14" t="s">
        <v>215</v>
      </c>
      <c r="L251" s="51" t="s">
        <v>215</v>
      </c>
      <c r="M251" s="14" t="s">
        <v>217</v>
      </c>
      <c r="N251" s="14" t="s">
        <v>217</v>
      </c>
      <c r="O251" s="14"/>
      <c r="P251" s="41"/>
      <c r="Q251" s="14"/>
      <c r="R251" s="14"/>
      <c r="S251" s="14"/>
      <c r="T251" s="43">
        <f>Ranking!AU251</f>
        <v>0.89010989010989017</v>
      </c>
      <c r="U251" s="23"/>
      <c r="Y251" s="3"/>
      <c r="Z251" s="33"/>
    </row>
    <row r="252" spans="1:26" ht="18.75" hidden="1" x14ac:dyDescent="0.25">
      <c r="A252" s="36"/>
      <c r="B252" s="22" t="s">
        <v>266</v>
      </c>
      <c r="C252" s="11"/>
      <c r="D252" s="70"/>
      <c r="E252" s="23"/>
      <c r="F252" s="21" t="s">
        <v>215</v>
      </c>
      <c r="G252" s="21" t="s">
        <v>215</v>
      </c>
      <c r="H252" s="21" t="s">
        <v>215</v>
      </c>
      <c r="I252" s="21" t="s">
        <v>215</v>
      </c>
      <c r="J252" s="14" t="s">
        <v>215</v>
      </c>
      <c r="K252" s="14" t="s">
        <v>215</v>
      </c>
      <c r="L252" s="51" t="s">
        <v>217</v>
      </c>
      <c r="M252" s="14" t="s">
        <v>215</v>
      </c>
      <c r="N252" s="14" t="s">
        <v>215</v>
      </c>
      <c r="O252" s="14"/>
      <c r="P252" s="41"/>
      <c r="Q252" s="14"/>
      <c r="R252" s="14"/>
      <c r="S252" s="14"/>
      <c r="T252" s="43">
        <f>Ranking!AU252</f>
        <v>0.99999999999999978</v>
      </c>
      <c r="U252" s="23"/>
      <c r="Y252" s="3"/>
      <c r="Z252" s="33"/>
    </row>
    <row r="253" spans="1:26" ht="18.75" hidden="1" x14ac:dyDescent="0.25">
      <c r="A253" s="36"/>
      <c r="B253" s="22" t="s">
        <v>267</v>
      </c>
      <c r="C253" s="11"/>
      <c r="D253" s="70"/>
      <c r="E253" s="23"/>
      <c r="F253" s="21" t="s">
        <v>215</v>
      </c>
      <c r="G253" s="21" t="s">
        <v>215</v>
      </c>
      <c r="H253" s="21" t="s">
        <v>215</v>
      </c>
      <c r="I253" s="21" t="s">
        <v>215</v>
      </c>
      <c r="J253" s="14" t="s">
        <v>215</v>
      </c>
      <c r="K253" s="14" t="s">
        <v>215</v>
      </c>
      <c r="L253" s="51" t="s">
        <v>217</v>
      </c>
      <c r="M253" s="14" t="s">
        <v>215</v>
      </c>
      <c r="N253" s="14" t="s">
        <v>215</v>
      </c>
      <c r="O253" s="14"/>
      <c r="P253" s="41"/>
      <c r="Q253" s="14"/>
      <c r="R253" s="14"/>
      <c r="S253" s="14"/>
      <c r="T253" s="43">
        <f>Ranking!AU253</f>
        <v>0.99999999999999978</v>
      </c>
      <c r="U253" s="23"/>
      <c r="Y253" s="3"/>
      <c r="Z253" s="33"/>
    </row>
    <row r="254" spans="1:26" ht="18.75" hidden="1" x14ac:dyDescent="0.25">
      <c r="A254" s="36"/>
      <c r="B254" s="22" t="s">
        <v>268</v>
      </c>
      <c r="C254" s="11"/>
      <c r="D254" s="70"/>
      <c r="E254" s="23"/>
      <c r="F254" s="21" t="s">
        <v>215</v>
      </c>
      <c r="G254" s="21" t="s">
        <v>215</v>
      </c>
      <c r="H254" s="21" t="s">
        <v>215</v>
      </c>
      <c r="I254" s="21" t="s">
        <v>215</v>
      </c>
      <c r="J254" s="14" t="s">
        <v>215</v>
      </c>
      <c r="K254" s="14" t="s">
        <v>215</v>
      </c>
      <c r="L254" s="51" t="s">
        <v>217</v>
      </c>
      <c r="M254" s="14" t="s">
        <v>215</v>
      </c>
      <c r="N254" s="14" t="s">
        <v>215</v>
      </c>
      <c r="O254" s="14"/>
      <c r="P254" s="41"/>
      <c r="Q254" s="14"/>
      <c r="R254" s="14"/>
      <c r="S254" s="14"/>
      <c r="T254" s="43">
        <f>Ranking!AU254</f>
        <v>0.99999999999999978</v>
      </c>
      <c r="U254" s="23"/>
      <c r="Y254" s="3"/>
      <c r="Z254" s="33"/>
    </row>
    <row r="255" spans="1:26" ht="18.75" hidden="1" x14ac:dyDescent="0.25">
      <c r="A255" s="36"/>
      <c r="B255" s="22" t="s">
        <v>269</v>
      </c>
      <c r="C255" s="11"/>
      <c r="D255" s="70"/>
      <c r="E255" s="23"/>
      <c r="F255" s="21" t="s">
        <v>215</v>
      </c>
      <c r="G255" s="21" t="s">
        <v>215</v>
      </c>
      <c r="H255" s="21" t="s">
        <v>215</v>
      </c>
      <c r="I255" s="21" t="s">
        <v>215</v>
      </c>
      <c r="J255" s="14" t="s">
        <v>215</v>
      </c>
      <c r="K255" s="14" t="s">
        <v>215</v>
      </c>
      <c r="L255" s="51" t="s">
        <v>217</v>
      </c>
      <c r="M255" s="14" t="s">
        <v>215</v>
      </c>
      <c r="N255" s="14" t="s">
        <v>215</v>
      </c>
      <c r="O255" s="14"/>
      <c r="P255" s="41"/>
      <c r="Q255" s="14"/>
      <c r="R255" s="14"/>
      <c r="S255" s="14"/>
      <c r="T255" s="43">
        <f>Ranking!AU255</f>
        <v>0.99999999999999978</v>
      </c>
      <c r="U255" s="23"/>
      <c r="Y255" s="3"/>
      <c r="Z255" s="33"/>
    </row>
    <row r="256" spans="1:26" ht="18.75" hidden="1" x14ac:dyDescent="0.25">
      <c r="B256" s="22" t="s">
        <v>270</v>
      </c>
      <c r="C256" s="11"/>
      <c r="D256" s="70"/>
      <c r="E256" s="23"/>
      <c r="F256" s="21" t="s">
        <v>215</v>
      </c>
      <c r="G256" s="21" t="s">
        <v>215</v>
      </c>
      <c r="H256" s="21" t="s">
        <v>215</v>
      </c>
      <c r="I256" s="21" t="s">
        <v>215</v>
      </c>
      <c r="J256" s="14" t="s">
        <v>216</v>
      </c>
      <c r="K256" s="14" t="s">
        <v>216</v>
      </c>
      <c r="L256" s="51" t="s">
        <v>217</v>
      </c>
      <c r="M256" s="14" t="s">
        <v>217</v>
      </c>
      <c r="N256" s="14" t="s">
        <v>217</v>
      </c>
      <c r="O256" s="14"/>
      <c r="P256" s="41"/>
      <c r="Q256" s="14"/>
      <c r="R256" s="14"/>
      <c r="S256" s="14"/>
      <c r="T256" s="43">
        <f>Ranking!AU256</f>
        <v>0.61194029850746268</v>
      </c>
      <c r="U256" s="23"/>
      <c r="Y256" s="3"/>
      <c r="Z256" s="33"/>
    </row>
    <row r="257" spans="1:26" ht="18.75" hidden="1" x14ac:dyDescent="0.25">
      <c r="B257" s="22" t="s">
        <v>271</v>
      </c>
      <c r="C257" s="11"/>
      <c r="D257" s="70"/>
      <c r="E257" s="23"/>
      <c r="F257" s="21" t="s">
        <v>215</v>
      </c>
      <c r="G257" s="21" t="s">
        <v>215</v>
      </c>
      <c r="H257" s="21" t="s">
        <v>215</v>
      </c>
      <c r="I257" s="21" t="s">
        <v>215</v>
      </c>
      <c r="J257" s="14" t="s">
        <v>216</v>
      </c>
      <c r="K257" s="14" t="s">
        <v>216</v>
      </c>
      <c r="L257" s="51" t="s">
        <v>217</v>
      </c>
      <c r="M257" s="14" t="s">
        <v>217</v>
      </c>
      <c r="N257" s="14" t="s">
        <v>217</v>
      </c>
      <c r="O257" s="14"/>
      <c r="P257" s="41"/>
      <c r="Q257" s="14"/>
      <c r="R257" s="14"/>
      <c r="S257" s="14"/>
      <c r="T257" s="43">
        <f>Ranking!AU257</f>
        <v>0.61194029850746268</v>
      </c>
      <c r="U257" s="23"/>
      <c r="Y257" s="3"/>
      <c r="Z257" s="33"/>
    </row>
    <row r="258" spans="1:26" ht="18.75" hidden="1" x14ac:dyDescent="0.25">
      <c r="B258" s="22" t="s">
        <v>272</v>
      </c>
      <c r="C258" s="11"/>
      <c r="D258" s="70"/>
      <c r="E258" s="23"/>
      <c r="F258" s="21" t="s">
        <v>215</v>
      </c>
      <c r="G258" s="14" t="s">
        <v>216</v>
      </c>
      <c r="H258" s="14" t="s">
        <v>216</v>
      </c>
      <c r="I258" s="21" t="s">
        <v>217</v>
      </c>
      <c r="J258" s="14" t="s">
        <v>215</v>
      </c>
      <c r="K258" s="14" t="s">
        <v>215</v>
      </c>
      <c r="L258" s="51" t="s">
        <v>217</v>
      </c>
      <c r="M258" s="14" t="s">
        <v>217</v>
      </c>
      <c r="N258" s="14" t="s">
        <v>217</v>
      </c>
      <c r="O258" s="14"/>
      <c r="P258" s="41"/>
      <c r="Q258" s="14"/>
      <c r="R258" s="14"/>
      <c r="S258" s="14"/>
      <c r="T258" s="43">
        <f>Ranking!AU258</f>
        <v>0.89473684210526305</v>
      </c>
      <c r="U258" s="23"/>
      <c r="Y258" s="3"/>
      <c r="Z258" s="33"/>
    </row>
    <row r="259" spans="1:26" ht="18.75" hidden="1" x14ac:dyDescent="0.25">
      <c r="B259" s="22" t="s">
        <v>273</v>
      </c>
      <c r="C259" s="11"/>
      <c r="D259" s="70"/>
      <c r="E259" s="23"/>
      <c r="F259" s="21" t="s">
        <v>215</v>
      </c>
      <c r="G259" s="21" t="s">
        <v>215</v>
      </c>
      <c r="H259" s="21" t="s">
        <v>215</v>
      </c>
      <c r="I259" s="21" t="s">
        <v>215</v>
      </c>
      <c r="J259" s="21" t="s">
        <v>215</v>
      </c>
      <c r="K259" s="21" t="s">
        <v>215</v>
      </c>
      <c r="L259" s="51" t="s">
        <v>215</v>
      </c>
      <c r="M259" s="14" t="s">
        <v>217</v>
      </c>
      <c r="N259" s="14" t="s">
        <v>217</v>
      </c>
      <c r="O259" s="14"/>
      <c r="P259" s="41"/>
      <c r="Q259" s="14"/>
      <c r="R259" s="14"/>
      <c r="S259" s="14"/>
      <c r="T259" s="43">
        <f>Ranking!AU259</f>
        <v>1</v>
      </c>
      <c r="U259" s="23"/>
      <c r="Y259" s="3"/>
      <c r="Z259" s="33"/>
    </row>
    <row r="260" spans="1:26" ht="18.75" hidden="1" x14ac:dyDescent="0.25">
      <c r="B260" s="22" t="s">
        <v>274</v>
      </c>
      <c r="C260" s="11"/>
      <c r="D260" s="70"/>
      <c r="E260" s="23"/>
      <c r="F260" s="21" t="s">
        <v>215</v>
      </c>
      <c r="G260" s="21" t="s">
        <v>215</v>
      </c>
      <c r="H260" s="21" t="s">
        <v>215</v>
      </c>
      <c r="I260" s="21" t="s">
        <v>216</v>
      </c>
      <c r="J260" s="21" t="s">
        <v>216</v>
      </c>
      <c r="K260" s="14" t="s">
        <v>215</v>
      </c>
      <c r="L260" s="51" t="s">
        <v>217</v>
      </c>
      <c r="M260" s="14" t="s">
        <v>217</v>
      </c>
      <c r="N260" s="14" t="s">
        <v>217</v>
      </c>
      <c r="O260" s="14"/>
      <c r="P260" s="41"/>
      <c r="Q260" s="14"/>
      <c r="R260" s="14"/>
      <c r="S260" s="14"/>
      <c r="T260" s="43">
        <f>Ranking!AU260</f>
        <v>0.53731343283582089</v>
      </c>
      <c r="U260" s="23"/>
      <c r="Y260" s="3"/>
      <c r="Z260" s="33"/>
    </row>
    <row r="261" spans="1:26" ht="18.75" hidden="1" x14ac:dyDescent="0.25">
      <c r="B261" s="22" t="s">
        <v>275</v>
      </c>
      <c r="C261" s="11"/>
      <c r="D261" s="70"/>
      <c r="E261" s="23"/>
      <c r="F261" s="21" t="s">
        <v>215</v>
      </c>
      <c r="G261" s="21" t="s">
        <v>215</v>
      </c>
      <c r="H261" s="21" t="s">
        <v>215</v>
      </c>
      <c r="I261" s="21" t="s">
        <v>215</v>
      </c>
      <c r="J261" s="21" t="s">
        <v>215</v>
      </c>
      <c r="K261" s="21" t="s">
        <v>215</v>
      </c>
      <c r="L261" s="51" t="s">
        <v>217</v>
      </c>
      <c r="M261" s="14" t="s">
        <v>217</v>
      </c>
      <c r="N261" s="14" t="s">
        <v>217</v>
      </c>
      <c r="O261" s="14"/>
      <c r="P261" s="41"/>
      <c r="Q261" s="14"/>
      <c r="R261" s="14"/>
      <c r="S261" s="14"/>
      <c r="T261" s="43">
        <f>Ranking!AU261</f>
        <v>0.99999999999999989</v>
      </c>
      <c r="U261" s="23"/>
      <c r="Y261" s="3"/>
      <c r="Z261" s="33"/>
    </row>
    <row r="262" spans="1:26" ht="18.75" hidden="1" x14ac:dyDescent="0.25">
      <c r="B262" s="22" t="s">
        <v>276</v>
      </c>
      <c r="C262" s="11"/>
      <c r="D262" s="70"/>
      <c r="E262" s="23"/>
      <c r="F262" s="21" t="s">
        <v>215</v>
      </c>
      <c r="G262" s="21" t="s">
        <v>215</v>
      </c>
      <c r="H262" s="21" t="s">
        <v>215</v>
      </c>
      <c r="I262" s="21" t="s">
        <v>215</v>
      </c>
      <c r="J262" s="21" t="s">
        <v>215</v>
      </c>
      <c r="K262" s="21" t="s">
        <v>215</v>
      </c>
      <c r="L262" s="51" t="s">
        <v>217</v>
      </c>
      <c r="M262" s="14" t="s">
        <v>217</v>
      </c>
      <c r="N262" s="14" t="s">
        <v>217</v>
      </c>
      <c r="O262" s="14"/>
      <c r="P262" s="41"/>
      <c r="Q262" s="14"/>
      <c r="R262" s="14"/>
      <c r="S262" s="14"/>
      <c r="T262" s="43">
        <f>Ranking!AU262</f>
        <v>0.99999999999999989</v>
      </c>
      <c r="U262" s="23"/>
      <c r="Y262" s="3"/>
      <c r="Z262" s="33"/>
    </row>
    <row r="263" spans="1:26" ht="18.75" hidden="1" x14ac:dyDescent="0.25">
      <c r="B263" s="22" t="s">
        <v>277</v>
      </c>
      <c r="C263" s="11"/>
      <c r="D263" s="70"/>
      <c r="E263" s="23"/>
      <c r="F263" s="21" t="s">
        <v>216</v>
      </c>
      <c r="G263" s="21" t="s">
        <v>216</v>
      </c>
      <c r="H263" s="21" t="s">
        <v>216</v>
      </c>
      <c r="I263" s="21" t="s">
        <v>216</v>
      </c>
      <c r="J263" s="21" t="s">
        <v>216</v>
      </c>
      <c r="K263" s="21" t="s">
        <v>216</v>
      </c>
      <c r="L263" s="51" t="s">
        <v>217</v>
      </c>
      <c r="M263" s="14" t="s">
        <v>217</v>
      </c>
      <c r="N263" s="14" t="s">
        <v>217</v>
      </c>
      <c r="O263" s="14"/>
      <c r="P263" s="41"/>
      <c r="Q263" s="14"/>
      <c r="R263" s="14"/>
      <c r="S263" s="14"/>
      <c r="T263" s="43">
        <f>Ranking!AU263</f>
        <v>0.34328358208955218</v>
      </c>
      <c r="U263" s="23"/>
      <c r="Y263" s="3"/>
      <c r="Z263" s="33"/>
    </row>
    <row r="264" spans="1:26" ht="18.75" hidden="1" x14ac:dyDescent="0.25">
      <c r="B264" s="22" t="s">
        <v>278</v>
      </c>
      <c r="C264" s="11"/>
      <c r="D264" s="70"/>
      <c r="E264" s="23"/>
      <c r="F264" s="21" t="s">
        <v>216</v>
      </c>
      <c r="G264" s="14" t="s">
        <v>215</v>
      </c>
      <c r="H264" s="14" t="s">
        <v>215</v>
      </c>
      <c r="I264" s="21" t="s">
        <v>216</v>
      </c>
      <c r="J264" s="14" t="s">
        <v>215</v>
      </c>
      <c r="K264" s="14" t="s">
        <v>215</v>
      </c>
      <c r="L264" s="51" t="s">
        <v>216</v>
      </c>
      <c r="M264" s="14" t="s">
        <v>217</v>
      </c>
      <c r="N264" s="14" t="s">
        <v>217</v>
      </c>
      <c r="O264" s="14"/>
      <c r="P264" s="41"/>
      <c r="Q264" s="14"/>
      <c r="R264" s="14"/>
      <c r="S264" s="14"/>
      <c r="T264" s="43">
        <f>Ranking!AU264</f>
        <v>0.60439560439560447</v>
      </c>
      <c r="U264" s="23"/>
      <c r="Y264" s="3"/>
      <c r="Z264" s="33"/>
    </row>
    <row r="265" spans="1:26" ht="18.75" hidden="1" x14ac:dyDescent="0.25">
      <c r="A265" s="36"/>
      <c r="B265" s="22" t="s">
        <v>279</v>
      </c>
      <c r="C265" s="11"/>
      <c r="D265" s="70"/>
      <c r="E265" s="23"/>
      <c r="F265" s="21" t="s">
        <v>215</v>
      </c>
      <c r="G265" s="21" t="s">
        <v>215</v>
      </c>
      <c r="H265" s="21" t="s">
        <v>215</v>
      </c>
      <c r="I265" s="21" t="s">
        <v>216</v>
      </c>
      <c r="J265" s="14" t="s">
        <v>215</v>
      </c>
      <c r="K265" s="14" t="s">
        <v>215</v>
      </c>
      <c r="L265" s="51" t="s">
        <v>216</v>
      </c>
      <c r="M265" s="14" t="s">
        <v>216</v>
      </c>
      <c r="N265" s="14" t="s">
        <v>216</v>
      </c>
      <c r="O265" s="14"/>
      <c r="P265" s="41"/>
      <c r="Q265" s="14"/>
      <c r="R265" s="14"/>
      <c r="S265" s="14"/>
      <c r="T265" s="43">
        <f>Ranking!AU265</f>
        <v>0.57000000000000006</v>
      </c>
      <c r="U265" s="23"/>
      <c r="Y265" s="3"/>
      <c r="Z265" s="33"/>
    </row>
    <row r="266" spans="1:26" ht="18.75" hidden="1" x14ac:dyDescent="0.25">
      <c r="A266" s="36"/>
      <c r="B266" s="22" t="s">
        <v>280</v>
      </c>
      <c r="C266" s="11"/>
      <c r="D266" s="70"/>
      <c r="E266" s="23"/>
      <c r="F266" s="21" t="s">
        <v>215</v>
      </c>
      <c r="G266" s="21" t="s">
        <v>215</v>
      </c>
      <c r="H266" s="21" t="s">
        <v>215</v>
      </c>
      <c r="I266" s="21" t="s">
        <v>215</v>
      </c>
      <c r="J266" s="14" t="s">
        <v>215</v>
      </c>
      <c r="K266" s="14" t="s">
        <v>215</v>
      </c>
      <c r="L266" s="51" t="s">
        <v>216</v>
      </c>
      <c r="M266" s="14" t="s">
        <v>217</v>
      </c>
      <c r="N266" s="14" t="s">
        <v>217</v>
      </c>
      <c r="O266" s="14"/>
      <c r="P266" s="41"/>
      <c r="Q266" s="14"/>
      <c r="R266" s="14"/>
      <c r="S266" s="14"/>
      <c r="T266" s="43">
        <f>Ranking!AU266</f>
        <v>0.73626373626373631</v>
      </c>
      <c r="U266" s="23"/>
      <c r="Y266" s="3"/>
      <c r="Z266" s="33"/>
    </row>
    <row r="267" spans="1:26" ht="18.75" hidden="1" x14ac:dyDescent="0.25">
      <c r="A267" s="36"/>
      <c r="B267" s="22" t="s">
        <v>281</v>
      </c>
      <c r="C267" s="11"/>
      <c r="D267" s="70"/>
      <c r="E267" s="23"/>
      <c r="F267" s="21" t="s">
        <v>215</v>
      </c>
      <c r="G267" s="21" t="s">
        <v>215</v>
      </c>
      <c r="H267" s="21" t="s">
        <v>215</v>
      </c>
      <c r="I267" s="21" t="s">
        <v>215</v>
      </c>
      <c r="J267" s="14" t="s">
        <v>215</v>
      </c>
      <c r="K267" s="14" t="s">
        <v>215</v>
      </c>
      <c r="L267" s="51" t="s">
        <v>216</v>
      </c>
      <c r="M267" s="14" t="s">
        <v>217</v>
      </c>
      <c r="N267" s="14" t="s">
        <v>217</v>
      </c>
      <c r="O267" s="14"/>
      <c r="P267" s="41"/>
      <c r="Q267" s="14"/>
      <c r="R267" s="14"/>
      <c r="S267" s="14"/>
      <c r="T267" s="43">
        <f>Ranking!AU267</f>
        <v>0.73626373626373631</v>
      </c>
      <c r="U267" s="23"/>
      <c r="Y267" s="3"/>
      <c r="Z267" s="33"/>
    </row>
    <row r="268" spans="1:26" ht="18.75" hidden="1" x14ac:dyDescent="0.25">
      <c r="A268" s="36"/>
      <c r="B268" s="22" t="s">
        <v>282</v>
      </c>
      <c r="C268" s="11"/>
      <c r="D268" s="70"/>
      <c r="E268" s="23"/>
      <c r="F268" s="21" t="s">
        <v>215</v>
      </c>
      <c r="G268" s="21" t="s">
        <v>215</v>
      </c>
      <c r="H268" s="21" t="s">
        <v>215</v>
      </c>
      <c r="I268" s="21" t="s">
        <v>215</v>
      </c>
      <c r="J268" s="14" t="s">
        <v>215</v>
      </c>
      <c r="K268" s="14" t="s">
        <v>215</v>
      </c>
      <c r="L268" s="51" t="s">
        <v>215</v>
      </c>
      <c r="M268" s="14" t="s">
        <v>217</v>
      </c>
      <c r="N268" s="14" t="s">
        <v>217</v>
      </c>
      <c r="O268" s="14"/>
      <c r="P268" s="41"/>
      <c r="Q268" s="14"/>
      <c r="R268" s="14"/>
      <c r="S268" s="14"/>
      <c r="T268" s="43">
        <f>Ranking!AU268</f>
        <v>1</v>
      </c>
      <c r="U268" s="23"/>
      <c r="Y268" s="3"/>
      <c r="Z268" s="33"/>
    </row>
    <row r="269" spans="1:26" ht="18.75" hidden="1" x14ac:dyDescent="0.25">
      <c r="A269" s="36"/>
      <c r="B269" s="22" t="s">
        <v>283</v>
      </c>
      <c r="C269" s="11"/>
      <c r="D269" s="70"/>
      <c r="E269" s="23"/>
      <c r="F269" s="21" t="s">
        <v>215</v>
      </c>
      <c r="G269" s="21" t="s">
        <v>215</v>
      </c>
      <c r="H269" s="21" t="s">
        <v>215</v>
      </c>
      <c r="I269" s="21" t="s">
        <v>215</v>
      </c>
      <c r="J269" s="14" t="s">
        <v>215</v>
      </c>
      <c r="K269" s="14" t="s">
        <v>215</v>
      </c>
      <c r="L269" s="51" t="s">
        <v>217</v>
      </c>
      <c r="M269" s="14" t="s">
        <v>217</v>
      </c>
      <c r="N269" s="14" t="s">
        <v>217</v>
      </c>
      <c r="O269" s="14"/>
      <c r="P269" s="41"/>
      <c r="Q269" s="14"/>
      <c r="R269" s="14"/>
      <c r="S269" s="14"/>
      <c r="T269" s="43">
        <f>Ranking!AU269</f>
        <v>0.99999999999999989</v>
      </c>
      <c r="U269" s="23"/>
      <c r="Y269" s="3"/>
      <c r="Z269" s="33"/>
    </row>
    <row r="270" spans="1:26" ht="18.75" hidden="1" x14ac:dyDescent="0.25">
      <c r="A270" s="36"/>
      <c r="B270" s="22" t="s">
        <v>284</v>
      </c>
      <c r="C270" s="11"/>
      <c r="D270" s="70"/>
      <c r="E270" s="23"/>
      <c r="F270" s="21" t="s">
        <v>215</v>
      </c>
      <c r="G270" s="21" t="s">
        <v>215</v>
      </c>
      <c r="H270" s="21" t="s">
        <v>215</v>
      </c>
      <c r="I270" s="21" t="s">
        <v>215</v>
      </c>
      <c r="J270" s="14" t="s">
        <v>215</v>
      </c>
      <c r="K270" s="14" t="s">
        <v>215</v>
      </c>
      <c r="L270" s="51" t="s">
        <v>217</v>
      </c>
      <c r="M270" s="14" t="s">
        <v>217</v>
      </c>
      <c r="N270" s="14" t="s">
        <v>217</v>
      </c>
      <c r="O270" s="14"/>
      <c r="P270" s="41"/>
      <c r="Q270" s="14"/>
      <c r="R270" s="14"/>
      <c r="S270" s="14"/>
      <c r="T270" s="43">
        <f>Ranking!AU270</f>
        <v>0.99999999999999989</v>
      </c>
      <c r="U270" s="23"/>
      <c r="Y270" s="3"/>
      <c r="Z270" s="33"/>
    </row>
    <row r="271" spans="1:26" ht="18.75" hidden="1" x14ac:dyDescent="0.25">
      <c r="B271" s="22" t="s">
        <v>285</v>
      </c>
      <c r="C271" s="11"/>
      <c r="D271" s="70"/>
      <c r="E271" s="23"/>
      <c r="F271" s="21" t="s">
        <v>216</v>
      </c>
      <c r="G271" s="21" t="s">
        <v>216</v>
      </c>
      <c r="H271" s="21" t="s">
        <v>216</v>
      </c>
      <c r="I271" s="21" t="s">
        <v>216</v>
      </c>
      <c r="J271" s="14" t="s">
        <v>215</v>
      </c>
      <c r="K271" s="14" t="s">
        <v>215</v>
      </c>
      <c r="L271" s="51" t="s">
        <v>215</v>
      </c>
      <c r="M271" s="14" t="s">
        <v>216</v>
      </c>
      <c r="N271" s="14" t="s">
        <v>216</v>
      </c>
      <c r="O271" s="14"/>
      <c r="P271" s="41"/>
      <c r="Q271" s="14"/>
      <c r="R271" s="14"/>
      <c r="S271" s="14"/>
      <c r="T271" s="43">
        <f>Ranking!AU271</f>
        <v>0.73000000000000009</v>
      </c>
      <c r="U271" s="23"/>
      <c r="Y271" s="3"/>
      <c r="Z271" s="33"/>
    </row>
    <row r="272" spans="1:26" ht="18.75" hidden="1" x14ac:dyDescent="0.25">
      <c r="B272" s="22" t="s">
        <v>286</v>
      </c>
      <c r="C272" s="11"/>
      <c r="D272" s="70"/>
      <c r="E272" s="23"/>
      <c r="F272" s="21" t="s">
        <v>216</v>
      </c>
      <c r="G272" s="14" t="s">
        <v>215</v>
      </c>
      <c r="H272" s="14" t="s">
        <v>215</v>
      </c>
      <c r="I272" s="14" t="s">
        <v>215</v>
      </c>
      <c r="J272" s="14" t="s">
        <v>215</v>
      </c>
      <c r="K272" s="14" t="s">
        <v>215</v>
      </c>
      <c r="L272" s="51" t="s">
        <v>216</v>
      </c>
      <c r="M272" s="14" t="s">
        <v>217</v>
      </c>
      <c r="N272" s="14" t="s">
        <v>217</v>
      </c>
      <c r="O272" s="14"/>
      <c r="P272" s="41"/>
      <c r="Q272" s="14"/>
      <c r="R272" s="14"/>
      <c r="S272" s="14"/>
      <c r="T272" s="43">
        <f>Ranking!AU272</f>
        <v>0.71428571428571441</v>
      </c>
      <c r="U272" s="23"/>
      <c r="Y272" s="3"/>
      <c r="Z272" s="33"/>
    </row>
    <row r="273" spans="1:26" ht="18.75" hidden="1" x14ac:dyDescent="0.25">
      <c r="B273" s="22" t="s">
        <v>287</v>
      </c>
      <c r="C273" s="11"/>
      <c r="D273" s="70"/>
      <c r="E273" s="23"/>
      <c r="F273" s="21" t="s">
        <v>216</v>
      </c>
      <c r="G273" s="21" t="s">
        <v>216</v>
      </c>
      <c r="H273" s="21" t="s">
        <v>216</v>
      </c>
      <c r="I273" s="21" t="s">
        <v>216</v>
      </c>
      <c r="J273" s="21" t="s">
        <v>216</v>
      </c>
      <c r="K273" s="14" t="s">
        <v>215</v>
      </c>
      <c r="L273" s="51" t="s">
        <v>217</v>
      </c>
      <c r="M273" s="14" t="s">
        <v>216</v>
      </c>
      <c r="N273" s="14" t="s">
        <v>216</v>
      </c>
      <c r="O273" s="14"/>
      <c r="P273" s="41"/>
      <c r="Q273" s="14"/>
      <c r="R273" s="14"/>
      <c r="S273" s="14"/>
      <c r="T273" s="43">
        <f>Ranking!AU273</f>
        <v>0.36842105263157882</v>
      </c>
      <c r="U273" s="23"/>
      <c r="Y273" s="3"/>
      <c r="Z273" s="33"/>
    </row>
    <row r="274" spans="1:26" ht="18.75" hidden="1" x14ac:dyDescent="0.25">
      <c r="B274" s="22" t="s">
        <v>288</v>
      </c>
      <c r="C274" s="11"/>
      <c r="D274" s="70"/>
      <c r="E274" s="23"/>
      <c r="F274" s="21" t="s">
        <v>216</v>
      </c>
      <c r="G274" s="21" t="s">
        <v>216</v>
      </c>
      <c r="H274" s="21" t="s">
        <v>216</v>
      </c>
      <c r="I274" s="21" t="s">
        <v>216</v>
      </c>
      <c r="J274" s="21" t="s">
        <v>216</v>
      </c>
      <c r="K274" s="21" t="s">
        <v>216</v>
      </c>
      <c r="L274" s="52" t="s">
        <v>216</v>
      </c>
      <c r="M274" s="21" t="s">
        <v>216</v>
      </c>
      <c r="N274" s="21" t="s">
        <v>216</v>
      </c>
      <c r="O274" s="14"/>
      <c r="P274" s="41"/>
      <c r="Q274" s="14"/>
      <c r="R274" s="14"/>
      <c r="S274" s="14"/>
      <c r="T274" s="43">
        <f>Ranking!AU274</f>
        <v>0.22999999999999998</v>
      </c>
      <c r="U274" s="23"/>
      <c r="Y274" s="3"/>
      <c r="Z274" s="33"/>
    </row>
    <row r="275" spans="1:26" ht="18.75" hidden="1" x14ac:dyDescent="0.25">
      <c r="A275" s="36"/>
      <c r="B275" s="22" t="s">
        <v>289</v>
      </c>
      <c r="C275" s="11"/>
      <c r="D275" s="70"/>
      <c r="E275" s="23"/>
      <c r="F275" s="21" t="s">
        <v>215</v>
      </c>
      <c r="G275" s="21" t="s">
        <v>216</v>
      </c>
      <c r="H275" s="21" t="s">
        <v>216</v>
      </c>
      <c r="I275" s="21" t="s">
        <v>217</v>
      </c>
      <c r="J275" s="21" t="s">
        <v>216</v>
      </c>
      <c r="K275" s="21" t="s">
        <v>215</v>
      </c>
      <c r="L275" s="52" t="s">
        <v>217</v>
      </c>
      <c r="M275" s="21" t="s">
        <v>217</v>
      </c>
      <c r="N275" s="21" t="s">
        <v>217</v>
      </c>
      <c r="O275" s="14"/>
      <c r="P275" s="41"/>
      <c r="Q275" s="14"/>
      <c r="R275" s="14"/>
      <c r="S275" s="14"/>
      <c r="T275" s="43">
        <f>Ranking!AU275</f>
        <v>0.52631578947368418</v>
      </c>
      <c r="U275" s="23"/>
      <c r="Y275" s="3"/>
      <c r="Z275" s="33"/>
    </row>
    <row r="276" spans="1:26" ht="18.75" hidden="1" x14ac:dyDescent="0.25">
      <c r="A276" s="36"/>
      <c r="B276" s="22" t="s">
        <v>290</v>
      </c>
      <c r="C276" s="11"/>
      <c r="D276" s="70"/>
      <c r="E276" s="23"/>
      <c r="F276" s="21" t="s">
        <v>216</v>
      </c>
      <c r="G276" s="21" t="s">
        <v>216</v>
      </c>
      <c r="H276" s="21" t="s">
        <v>216</v>
      </c>
      <c r="I276" s="21" t="s">
        <v>217</v>
      </c>
      <c r="J276" s="21" t="s">
        <v>216</v>
      </c>
      <c r="K276" s="21" t="s">
        <v>216</v>
      </c>
      <c r="L276" s="52" t="s">
        <v>217</v>
      </c>
      <c r="M276" s="21" t="s">
        <v>217</v>
      </c>
      <c r="N276" s="21" t="s">
        <v>217</v>
      </c>
      <c r="O276" s="14"/>
      <c r="P276" s="41"/>
      <c r="Q276" s="14"/>
      <c r="R276" s="14"/>
      <c r="S276" s="14"/>
      <c r="T276" s="43">
        <f>Ranking!AU276</f>
        <v>0.40350877192982454</v>
      </c>
      <c r="U276" s="23"/>
      <c r="Y276" s="3"/>
      <c r="Z276" s="33"/>
    </row>
    <row r="277" spans="1:26" ht="18.75" hidden="1" x14ac:dyDescent="0.25">
      <c r="B277" s="22" t="s">
        <v>291</v>
      </c>
      <c r="C277" s="11"/>
      <c r="D277" s="70"/>
      <c r="E277" s="23"/>
      <c r="F277" s="21" t="s">
        <v>215</v>
      </c>
      <c r="G277" s="14" t="s">
        <v>216</v>
      </c>
      <c r="H277" s="14" t="s">
        <v>216</v>
      </c>
      <c r="I277" s="14" t="s">
        <v>216</v>
      </c>
      <c r="J277" s="14" t="s">
        <v>215</v>
      </c>
      <c r="K277" s="14" t="s">
        <v>216</v>
      </c>
      <c r="L277" s="51" t="s">
        <v>215</v>
      </c>
      <c r="M277" s="14" t="s">
        <v>217</v>
      </c>
      <c r="N277" s="14" t="s">
        <v>217</v>
      </c>
      <c r="O277" s="14"/>
      <c r="P277" s="41"/>
      <c r="Q277" s="14"/>
      <c r="R277" s="14"/>
      <c r="S277" s="14"/>
      <c r="T277" s="43">
        <f>Ranking!AU277</f>
        <v>0.76923076923076927</v>
      </c>
      <c r="U277" s="23"/>
      <c r="Y277" s="3"/>
      <c r="Z277" s="33"/>
    </row>
    <row r="278" spans="1:26" ht="18.75" hidden="1" x14ac:dyDescent="0.25">
      <c r="B278" s="22" t="s">
        <v>292</v>
      </c>
      <c r="C278" s="11"/>
      <c r="D278" s="70"/>
      <c r="E278" s="23"/>
      <c r="F278" s="21" t="s">
        <v>215</v>
      </c>
      <c r="G278" s="14" t="s">
        <v>216</v>
      </c>
      <c r="H278" s="14" t="s">
        <v>216</v>
      </c>
      <c r="I278" s="14" t="s">
        <v>216</v>
      </c>
      <c r="J278" s="14" t="s">
        <v>215</v>
      </c>
      <c r="K278" s="14" t="s">
        <v>216</v>
      </c>
      <c r="L278" s="51" t="s">
        <v>215</v>
      </c>
      <c r="M278" s="14" t="s">
        <v>217</v>
      </c>
      <c r="N278" s="14" t="s">
        <v>217</v>
      </c>
      <c r="O278" s="14"/>
      <c r="P278" s="41"/>
      <c r="Q278" s="14"/>
      <c r="R278" s="14"/>
      <c r="S278" s="14"/>
      <c r="T278" s="43">
        <f>Ranking!AU278</f>
        <v>0.76923076923076927</v>
      </c>
      <c r="U278" s="23"/>
      <c r="Y278" s="3"/>
      <c r="Z278" s="33"/>
    </row>
    <row r="279" spans="1:26" ht="18.75" hidden="1" x14ac:dyDescent="0.25">
      <c r="B279" s="22" t="s">
        <v>293</v>
      </c>
      <c r="C279" s="11"/>
      <c r="D279" s="70"/>
      <c r="E279" s="23"/>
      <c r="F279" s="21" t="s">
        <v>215</v>
      </c>
      <c r="G279" s="14" t="s">
        <v>216</v>
      </c>
      <c r="H279" s="14" t="s">
        <v>216</v>
      </c>
      <c r="I279" s="14" t="s">
        <v>216</v>
      </c>
      <c r="J279" s="14" t="s">
        <v>215</v>
      </c>
      <c r="K279" s="14" t="s">
        <v>216</v>
      </c>
      <c r="L279" s="51" t="s">
        <v>216</v>
      </c>
      <c r="M279" s="14" t="s">
        <v>216</v>
      </c>
      <c r="N279" s="14" t="s">
        <v>216</v>
      </c>
      <c r="O279" s="14"/>
      <c r="P279" s="41"/>
      <c r="Q279" s="14"/>
      <c r="R279" s="14"/>
      <c r="S279" s="14"/>
      <c r="T279" s="43">
        <f>Ranking!AU279</f>
        <v>0.46</v>
      </c>
      <c r="U279" s="23"/>
      <c r="Y279" s="3"/>
      <c r="Z279" s="33"/>
    </row>
    <row r="280" spans="1:26" ht="18.75" hidden="1" x14ac:dyDescent="0.25">
      <c r="B280" s="22" t="s">
        <v>294</v>
      </c>
      <c r="C280" s="11"/>
      <c r="D280" s="70"/>
      <c r="E280" s="23"/>
      <c r="F280" s="21" t="s">
        <v>215</v>
      </c>
      <c r="G280" s="14" t="s">
        <v>216</v>
      </c>
      <c r="H280" s="14" t="s">
        <v>216</v>
      </c>
      <c r="I280" s="14" t="s">
        <v>216</v>
      </c>
      <c r="J280" s="14" t="s">
        <v>215</v>
      </c>
      <c r="K280" s="14" t="s">
        <v>216</v>
      </c>
      <c r="L280" s="51" t="s">
        <v>216</v>
      </c>
      <c r="M280" s="14" t="s">
        <v>217</v>
      </c>
      <c r="N280" s="14" t="s">
        <v>217</v>
      </c>
      <c r="O280" s="14"/>
      <c r="P280" s="41"/>
      <c r="Q280" s="14"/>
      <c r="R280" s="14"/>
      <c r="S280" s="14"/>
      <c r="T280" s="43">
        <f>Ranking!AU280</f>
        <v>0.50549450549450547</v>
      </c>
      <c r="U280" s="23"/>
      <c r="Y280" s="3"/>
      <c r="Z280" s="33"/>
    </row>
    <row r="281" spans="1:26" ht="18.75" hidden="1" x14ac:dyDescent="0.25">
      <c r="B281" s="22" t="s">
        <v>295</v>
      </c>
      <c r="C281" s="11"/>
      <c r="D281" s="70"/>
      <c r="E281" s="23"/>
      <c r="F281" s="21" t="s">
        <v>215</v>
      </c>
      <c r="G281" s="14" t="s">
        <v>216</v>
      </c>
      <c r="H281" s="14" t="s">
        <v>216</v>
      </c>
      <c r="I281" s="14" t="s">
        <v>216</v>
      </c>
      <c r="J281" s="14" t="s">
        <v>215</v>
      </c>
      <c r="K281" s="14" t="s">
        <v>216</v>
      </c>
      <c r="L281" s="51" t="s">
        <v>217</v>
      </c>
      <c r="M281" s="14" t="s">
        <v>217</v>
      </c>
      <c r="N281" s="14" t="s">
        <v>217</v>
      </c>
      <c r="O281" s="14"/>
      <c r="P281" s="41"/>
      <c r="Q281" s="14"/>
      <c r="R281" s="14"/>
      <c r="S281" s="14"/>
      <c r="T281" s="43">
        <f>Ranking!AU281</f>
        <v>0.68656716417910435</v>
      </c>
      <c r="U281" s="23"/>
      <c r="Y281" s="3"/>
      <c r="Z281" s="33"/>
    </row>
    <row r="282" spans="1:26" ht="18.75" hidden="1" x14ac:dyDescent="0.25">
      <c r="B282" s="22" t="s">
        <v>296</v>
      </c>
      <c r="C282" s="11"/>
      <c r="D282" s="70"/>
      <c r="E282" s="23"/>
      <c r="F282" s="21" t="s">
        <v>216</v>
      </c>
      <c r="G282" s="21" t="s">
        <v>216</v>
      </c>
      <c r="H282" s="21" t="s">
        <v>216</v>
      </c>
      <c r="I282" s="21" t="s">
        <v>216</v>
      </c>
      <c r="J282" s="14" t="s">
        <v>215</v>
      </c>
      <c r="K282" s="14" t="s">
        <v>215</v>
      </c>
      <c r="L282" s="51" t="s">
        <v>215</v>
      </c>
      <c r="M282" s="14" t="s">
        <v>217</v>
      </c>
      <c r="N282" s="14" t="s">
        <v>217</v>
      </c>
      <c r="O282" s="14"/>
      <c r="P282" s="41"/>
      <c r="Q282" s="14"/>
      <c r="R282" s="14"/>
      <c r="S282" s="14"/>
      <c r="T282" s="43">
        <f>Ranking!AU282</f>
        <v>0.80219780219780235</v>
      </c>
      <c r="U282" s="23"/>
      <c r="Y282" s="3"/>
      <c r="Z282" s="33"/>
    </row>
    <row r="283" spans="1:26" ht="18.75" hidden="1" x14ac:dyDescent="0.25">
      <c r="B283" s="22" t="s">
        <v>297</v>
      </c>
      <c r="C283" s="11"/>
      <c r="D283" s="70"/>
      <c r="E283" s="23"/>
      <c r="F283" s="21" t="s">
        <v>216</v>
      </c>
      <c r="G283" s="21" t="s">
        <v>216</v>
      </c>
      <c r="H283" s="21" t="s">
        <v>216</v>
      </c>
      <c r="I283" s="21" t="s">
        <v>216</v>
      </c>
      <c r="J283" s="21" t="s">
        <v>216</v>
      </c>
      <c r="K283" s="21" t="s">
        <v>216</v>
      </c>
      <c r="L283" s="51" t="s">
        <v>217</v>
      </c>
      <c r="M283" s="14" t="s">
        <v>216</v>
      </c>
      <c r="N283" s="14" t="s">
        <v>216</v>
      </c>
      <c r="O283" s="14"/>
      <c r="P283" s="41"/>
      <c r="Q283" s="14"/>
      <c r="R283" s="14"/>
      <c r="S283" s="14"/>
      <c r="T283" s="43">
        <f>Ranking!AU283</f>
        <v>0.30263157894736831</v>
      </c>
      <c r="U283" s="23"/>
      <c r="Y283" s="3"/>
      <c r="Z283" s="33"/>
    </row>
    <row r="284" spans="1:26" ht="18.75" hidden="1" x14ac:dyDescent="0.25">
      <c r="B284" s="22" t="s">
        <v>298</v>
      </c>
      <c r="C284" s="11"/>
      <c r="D284" s="70"/>
      <c r="E284" s="23"/>
      <c r="F284" s="21" t="s">
        <v>216</v>
      </c>
      <c r="G284" s="21" t="s">
        <v>216</v>
      </c>
      <c r="H284" s="21" t="s">
        <v>216</v>
      </c>
      <c r="I284" s="21" t="s">
        <v>216</v>
      </c>
      <c r="J284" s="21" t="s">
        <v>216</v>
      </c>
      <c r="K284" s="21" t="s">
        <v>216</v>
      </c>
      <c r="L284" s="51" t="s">
        <v>217</v>
      </c>
      <c r="M284" s="14" t="s">
        <v>217</v>
      </c>
      <c r="N284" s="14" t="s">
        <v>217</v>
      </c>
      <c r="O284" s="14"/>
      <c r="P284" s="41"/>
      <c r="Q284" s="14"/>
      <c r="R284" s="14"/>
      <c r="S284" s="14"/>
      <c r="T284" s="43">
        <f>Ranking!AU284</f>
        <v>0.34328358208955218</v>
      </c>
      <c r="U284" s="23"/>
      <c r="Y284" s="3"/>
      <c r="Z284" s="33"/>
    </row>
    <row r="285" spans="1:26" ht="18.75" hidden="1" x14ac:dyDescent="0.25">
      <c r="A285" s="36"/>
      <c r="B285" s="22" t="s">
        <v>299</v>
      </c>
      <c r="C285" s="11"/>
      <c r="D285" s="70"/>
      <c r="E285" s="23"/>
      <c r="F285" s="21" t="s">
        <v>215</v>
      </c>
      <c r="G285" s="21" t="s">
        <v>215</v>
      </c>
      <c r="H285" s="21" t="s">
        <v>215</v>
      </c>
      <c r="I285" s="21" t="s">
        <v>216</v>
      </c>
      <c r="J285" s="21" t="s">
        <v>215</v>
      </c>
      <c r="K285" s="21" t="s">
        <v>215</v>
      </c>
      <c r="L285" s="51" t="s">
        <v>215</v>
      </c>
      <c r="M285" s="14" t="s">
        <v>217</v>
      </c>
      <c r="N285" s="14" t="s">
        <v>217</v>
      </c>
      <c r="O285" s="14"/>
      <c r="P285" s="41"/>
      <c r="Q285" s="14"/>
      <c r="R285" s="14"/>
      <c r="S285" s="14"/>
      <c r="T285" s="43">
        <f>Ranking!AU285</f>
        <v>0.89010989010989017</v>
      </c>
      <c r="U285" s="23"/>
      <c r="Y285" s="3"/>
      <c r="Z285" s="33"/>
    </row>
    <row r="286" spans="1:26" ht="18.75" hidden="1" x14ac:dyDescent="0.25">
      <c r="A286" s="36"/>
      <c r="B286" s="22" t="s">
        <v>300</v>
      </c>
      <c r="C286" s="11"/>
      <c r="D286" s="70"/>
      <c r="E286" s="23"/>
      <c r="F286" s="21" t="s">
        <v>215</v>
      </c>
      <c r="G286" s="21" t="s">
        <v>215</v>
      </c>
      <c r="H286" s="21" t="s">
        <v>215</v>
      </c>
      <c r="I286" s="21" t="s">
        <v>215</v>
      </c>
      <c r="J286" s="21" t="s">
        <v>215</v>
      </c>
      <c r="K286" s="21" t="s">
        <v>215</v>
      </c>
      <c r="L286" s="51" t="s">
        <v>216</v>
      </c>
      <c r="M286" s="14" t="s">
        <v>217</v>
      </c>
      <c r="N286" s="14" t="s">
        <v>217</v>
      </c>
      <c r="O286" s="14"/>
      <c r="P286" s="41"/>
      <c r="Q286" s="14"/>
      <c r="R286" s="14"/>
      <c r="S286" s="14"/>
      <c r="T286" s="43">
        <f>Ranking!AU286</f>
        <v>0.73626373626373631</v>
      </c>
      <c r="U286" s="23"/>
      <c r="Y286" s="3"/>
      <c r="Z286" s="33"/>
    </row>
    <row r="287" spans="1:26" ht="18.75" hidden="1" x14ac:dyDescent="0.25">
      <c r="A287" s="36"/>
      <c r="B287" s="22" t="s">
        <v>301</v>
      </c>
      <c r="C287" s="11"/>
      <c r="D287" s="70"/>
      <c r="E287" s="23"/>
      <c r="F287" s="21" t="s">
        <v>215</v>
      </c>
      <c r="G287" s="21" t="s">
        <v>215</v>
      </c>
      <c r="H287" s="21" t="s">
        <v>215</v>
      </c>
      <c r="I287" s="21" t="s">
        <v>216</v>
      </c>
      <c r="J287" s="21" t="s">
        <v>215</v>
      </c>
      <c r="K287" s="21" t="s">
        <v>215</v>
      </c>
      <c r="L287" s="51" t="s">
        <v>217</v>
      </c>
      <c r="M287" s="14" t="s">
        <v>217</v>
      </c>
      <c r="N287" s="14" t="s">
        <v>217</v>
      </c>
      <c r="O287" s="14"/>
      <c r="P287" s="41"/>
      <c r="Q287" s="14"/>
      <c r="R287" s="14"/>
      <c r="S287" s="14"/>
      <c r="T287" s="43">
        <f>Ranking!AU287</f>
        <v>0.85074626865671632</v>
      </c>
      <c r="U287" s="23"/>
      <c r="Y287" s="3"/>
      <c r="Z287" s="33"/>
    </row>
    <row r="288" spans="1:26" ht="18.75" hidden="1" x14ac:dyDescent="0.25">
      <c r="A288" s="36"/>
      <c r="B288" s="22" t="s">
        <v>302</v>
      </c>
      <c r="C288" s="11"/>
      <c r="D288" s="70"/>
      <c r="E288" s="23"/>
      <c r="F288" s="21" t="s">
        <v>215</v>
      </c>
      <c r="G288" s="21" t="s">
        <v>215</v>
      </c>
      <c r="H288" s="21" t="s">
        <v>215</v>
      </c>
      <c r="I288" s="21" t="s">
        <v>215</v>
      </c>
      <c r="J288" s="21" t="s">
        <v>215</v>
      </c>
      <c r="K288" s="21" t="s">
        <v>215</v>
      </c>
      <c r="L288" s="51" t="s">
        <v>215</v>
      </c>
      <c r="M288" s="14" t="s">
        <v>217</v>
      </c>
      <c r="N288" s="14" t="s">
        <v>217</v>
      </c>
      <c r="O288" s="14"/>
      <c r="P288" s="41"/>
      <c r="Q288" s="14"/>
      <c r="R288" s="14"/>
      <c r="S288" s="14"/>
      <c r="T288" s="43">
        <f>Ranking!AU288</f>
        <v>1</v>
      </c>
      <c r="U288" s="23"/>
      <c r="Y288" s="3"/>
      <c r="Z288" s="33"/>
    </row>
    <row r="289" spans="1:26" ht="18.75" hidden="1" x14ac:dyDescent="0.25">
      <c r="A289" s="36"/>
      <c r="B289" s="22" t="s">
        <v>303</v>
      </c>
      <c r="C289" s="11"/>
      <c r="D289" s="70"/>
      <c r="E289" s="23"/>
      <c r="F289" s="21" t="s">
        <v>215</v>
      </c>
      <c r="G289" s="21" t="s">
        <v>215</v>
      </c>
      <c r="H289" s="21" t="s">
        <v>215</v>
      </c>
      <c r="I289" s="21" t="s">
        <v>215</v>
      </c>
      <c r="J289" s="21" t="s">
        <v>215</v>
      </c>
      <c r="K289" s="21" t="s">
        <v>215</v>
      </c>
      <c r="L289" s="51" t="s">
        <v>215</v>
      </c>
      <c r="M289" s="14" t="s">
        <v>217</v>
      </c>
      <c r="N289" s="14" t="s">
        <v>217</v>
      </c>
      <c r="O289" s="14"/>
      <c r="P289" s="41"/>
      <c r="Q289" s="14"/>
      <c r="R289" s="14"/>
      <c r="S289" s="14"/>
      <c r="T289" s="43">
        <f>Ranking!AU289</f>
        <v>1</v>
      </c>
      <c r="U289" s="23"/>
      <c r="Y289" s="3"/>
      <c r="Z289" s="33"/>
    </row>
    <row r="290" spans="1:26" ht="18.75" hidden="1" x14ac:dyDescent="0.25">
      <c r="A290" s="36"/>
      <c r="B290" s="22" t="s">
        <v>304</v>
      </c>
      <c r="C290" s="11"/>
      <c r="D290" s="70"/>
      <c r="E290" s="23"/>
      <c r="F290" s="21" t="s">
        <v>215</v>
      </c>
      <c r="G290" s="21" t="s">
        <v>215</v>
      </c>
      <c r="H290" s="21" t="s">
        <v>215</v>
      </c>
      <c r="I290" s="21" t="s">
        <v>215</v>
      </c>
      <c r="J290" s="21" t="s">
        <v>215</v>
      </c>
      <c r="K290" s="21" t="s">
        <v>215</v>
      </c>
      <c r="L290" s="51" t="s">
        <v>215</v>
      </c>
      <c r="M290" s="14" t="s">
        <v>217</v>
      </c>
      <c r="N290" s="14" t="s">
        <v>217</v>
      </c>
      <c r="O290" s="14"/>
      <c r="P290" s="41"/>
      <c r="Q290" s="14"/>
      <c r="R290" s="14"/>
      <c r="S290" s="14"/>
      <c r="T290" s="43">
        <f>Ranking!AU290</f>
        <v>1</v>
      </c>
      <c r="U290" s="23"/>
      <c r="Y290" s="3"/>
      <c r="Z290" s="33"/>
    </row>
    <row r="291" spans="1:26" ht="18.75" hidden="1" x14ac:dyDescent="0.25">
      <c r="A291" s="36"/>
      <c r="B291" s="22" t="s">
        <v>305</v>
      </c>
      <c r="C291" s="11"/>
      <c r="D291" s="70"/>
      <c r="E291" s="23"/>
      <c r="F291" s="21" t="s">
        <v>216</v>
      </c>
      <c r="G291" s="21" t="s">
        <v>216</v>
      </c>
      <c r="H291" s="21" t="s">
        <v>216</v>
      </c>
      <c r="I291" s="21" t="s">
        <v>216</v>
      </c>
      <c r="J291" s="21" t="s">
        <v>215</v>
      </c>
      <c r="K291" s="21" t="s">
        <v>216</v>
      </c>
      <c r="L291" s="51" t="s">
        <v>216</v>
      </c>
      <c r="M291" s="14" t="s">
        <v>217</v>
      </c>
      <c r="N291" s="14" t="s">
        <v>217</v>
      </c>
      <c r="O291" s="14"/>
      <c r="P291" s="41"/>
      <c r="Q291" s="14"/>
      <c r="R291" s="14"/>
      <c r="S291" s="14"/>
      <c r="T291" s="43">
        <f>Ranking!AU291</f>
        <v>0.48351648351648346</v>
      </c>
      <c r="U291" s="23"/>
      <c r="Y291" s="3"/>
      <c r="Z291" s="33"/>
    </row>
    <row r="292" spans="1:26" ht="18.75" hidden="1" x14ac:dyDescent="0.25">
      <c r="B292" s="22" t="s">
        <v>306</v>
      </c>
      <c r="C292" s="11"/>
      <c r="D292" s="70"/>
      <c r="E292" s="23"/>
      <c r="F292" s="21" t="s">
        <v>216</v>
      </c>
      <c r="G292" s="21" t="s">
        <v>216</v>
      </c>
      <c r="H292" s="21" t="s">
        <v>216</v>
      </c>
      <c r="I292" s="21" t="s">
        <v>216</v>
      </c>
      <c r="J292" s="21" t="s">
        <v>216</v>
      </c>
      <c r="K292" s="21" t="s">
        <v>216</v>
      </c>
      <c r="L292" s="51" t="s">
        <v>217</v>
      </c>
      <c r="M292" s="14" t="s">
        <v>216</v>
      </c>
      <c r="N292" s="14" t="s">
        <v>216</v>
      </c>
      <c r="O292" s="14"/>
      <c r="P292" s="41"/>
      <c r="Q292" s="14"/>
      <c r="R292" s="14"/>
      <c r="S292" s="14"/>
      <c r="T292" s="43">
        <f>Ranking!AU292</f>
        <v>0.30263157894736831</v>
      </c>
      <c r="U292" s="23"/>
      <c r="Y292" s="3"/>
      <c r="Z292" s="33"/>
    </row>
    <row r="293" spans="1:26" ht="18.75" hidden="1" x14ac:dyDescent="0.25">
      <c r="B293" s="22" t="s">
        <v>307</v>
      </c>
      <c r="C293" s="11"/>
      <c r="D293" s="70"/>
      <c r="E293" s="23"/>
      <c r="F293" s="21" t="s">
        <v>216</v>
      </c>
      <c r="G293" s="21" t="s">
        <v>216</v>
      </c>
      <c r="H293" s="21" t="s">
        <v>216</v>
      </c>
      <c r="I293" s="21" t="s">
        <v>216</v>
      </c>
      <c r="J293" s="21" t="s">
        <v>216</v>
      </c>
      <c r="K293" s="21" t="s">
        <v>216</v>
      </c>
      <c r="L293" s="51" t="s">
        <v>215</v>
      </c>
      <c r="M293" s="14" t="s">
        <v>215</v>
      </c>
      <c r="N293" s="14" t="s">
        <v>215</v>
      </c>
      <c r="O293" s="14"/>
      <c r="P293" s="41"/>
      <c r="Q293" s="14"/>
      <c r="R293" s="14"/>
      <c r="S293" s="14"/>
      <c r="T293" s="43">
        <f>Ranking!AU293</f>
        <v>0.56000000000000005</v>
      </c>
      <c r="U293" s="23"/>
      <c r="Y293" s="3"/>
      <c r="Z293" s="33"/>
    </row>
    <row r="294" spans="1:26" ht="18.75" hidden="1" x14ac:dyDescent="0.25">
      <c r="B294" s="22" t="s">
        <v>308</v>
      </c>
      <c r="C294" s="11"/>
      <c r="D294" s="70"/>
      <c r="E294" s="23"/>
      <c r="F294" s="21" t="s">
        <v>215</v>
      </c>
      <c r="G294" s="14" t="s">
        <v>216</v>
      </c>
      <c r="H294" s="14" t="s">
        <v>216</v>
      </c>
      <c r="I294" s="14" t="s">
        <v>216</v>
      </c>
      <c r="J294" s="14" t="s">
        <v>215</v>
      </c>
      <c r="K294" s="14" t="s">
        <v>216</v>
      </c>
      <c r="L294" s="51" t="s">
        <v>217</v>
      </c>
      <c r="M294" s="14" t="s">
        <v>217</v>
      </c>
      <c r="N294" s="14" t="s">
        <v>217</v>
      </c>
      <c r="O294" s="14"/>
      <c r="P294" s="41"/>
      <c r="Q294" s="14"/>
      <c r="R294" s="14"/>
      <c r="S294" s="14"/>
      <c r="T294" s="43">
        <f>Ranking!AU294</f>
        <v>0.68656716417910435</v>
      </c>
      <c r="U294" s="23"/>
      <c r="Y294" s="3"/>
      <c r="Z294" s="33"/>
    </row>
    <row r="295" spans="1:26" ht="18.75" hidden="1" x14ac:dyDescent="0.25">
      <c r="B295" s="22" t="s">
        <v>309</v>
      </c>
      <c r="C295" s="11"/>
      <c r="D295" s="70"/>
      <c r="E295" s="23"/>
      <c r="F295" s="21" t="s">
        <v>215</v>
      </c>
      <c r="G295" s="14" t="s">
        <v>216</v>
      </c>
      <c r="H295" s="14" t="s">
        <v>216</v>
      </c>
      <c r="I295" s="14" t="s">
        <v>216</v>
      </c>
      <c r="J295" s="14" t="s">
        <v>217</v>
      </c>
      <c r="K295" s="14" t="s">
        <v>216</v>
      </c>
      <c r="L295" s="51" t="s">
        <v>215</v>
      </c>
      <c r="M295" s="14" t="s">
        <v>217</v>
      </c>
      <c r="N295" s="14" t="s">
        <v>217</v>
      </c>
      <c r="O295" s="14"/>
      <c r="P295" s="41"/>
      <c r="Q295" s="14"/>
      <c r="R295" s="14"/>
      <c r="S295" s="14"/>
      <c r="T295" s="43">
        <f>Ranking!AU295</f>
        <v>0.7</v>
      </c>
      <c r="U295" s="23"/>
      <c r="Y295" s="3"/>
      <c r="Z295" s="33"/>
    </row>
    <row r="296" spans="1:26" ht="18.75" hidden="1" x14ac:dyDescent="0.25">
      <c r="B296" s="22" t="s">
        <v>310</v>
      </c>
      <c r="C296" s="11"/>
      <c r="D296" s="70"/>
      <c r="E296" s="23"/>
      <c r="F296" s="21" t="s">
        <v>216</v>
      </c>
      <c r="G296" s="21" t="s">
        <v>216</v>
      </c>
      <c r="H296" s="21" t="s">
        <v>216</v>
      </c>
      <c r="I296" s="21" t="s">
        <v>216</v>
      </c>
      <c r="J296" s="21" t="s">
        <v>216</v>
      </c>
      <c r="K296" s="21" t="s">
        <v>216</v>
      </c>
      <c r="L296" s="51" t="s">
        <v>215</v>
      </c>
      <c r="M296" s="14" t="s">
        <v>216</v>
      </c>
      <c r="N296" s="14" t="s">
        <v>216</v>
      </c>
      <c r="O296" s="14"/>
      <c r="P296" s="41"/>
      <c r="Q296" s="14"/>
      <c r="R296" s="14"/>
      <c r="S296" s="14"/>
      <c r="T296" s="43">
        <f>Ranking!AU296</f>
        <v>0.47000000000000003</v>
      </c>
      <c r="U296" s="23"/>
      <c r="Y296" s="3"/>
      <c r="Z296" s="33"/>
    </row>
    <row r="297" spans="1:26" ht="18.75" hidden="1" x14ac:dyDescent="0.25">
      <c r="B297" s="22" t="s">
        <v>311</v>
      </c>
      <c r="C297" s="11"/>
      <c r="D297" s="70"/>
      <c r="E297" s="23"/>
      <c r="F297" s="21" t="s">
        <v>215</v>
      </c>
      <c r="G297" s="21" t="s">
        <v>215</v>
      </c>
      <c r="H297" s="21" t="s">
        <v>215</v>
      </c>
      <c r="I297" s="21" t="s">
        <v>216</v>
      </c>
      <c r="J297" s="14" t="s">
        <v>215</v>
      </c>
      <c r="K297" s="14" t="s">
        <v>216</v>
      </c>
      <c r="L297" s="51" t="s">
        <v>215</v>
      </c>
      <c r="M297" s="14" t="s">
        <v>217</v>
      </c>
      <c r="N297" s="14" t="s">
        <v>217</v>
      </c>
      <c r="O297" s="14"/>
      <c r="P297" s="41"/>
      <c r="Q297" s="14"/>
      <c r="R297" s="14"/>
      <c r="S297" s="14"/>
      <c r="T297" s="43">
        <f>Ranking!AU297</f>
        <v>0.8351648351648352</v>
      </c>
      <c r="U297" s="23"/>
      <c r="Y297" s="3"/>
      <c r="Z297" s="33"/>
    </row>
    <row r="298" spans="1:26" ht="18.75" hidden="1" x14ac:dyDescent="0.25">
      <c r="B298" s="22" t="s">
        <v>312</v>
      </c>
      <c r="C298" s="11"/>
      <c r="D298" s="70"/>
      <c r="E298" s="23"/>
      <c r="F298" s="21" t="s">
        <v>215</v>
      </c>
      <c r="G298" s="21" t="s">
        <v>215</v>
      </c>
      <c r="H298" s="21" t="s">
        <v>215</v>
      </c>
      <c r="I298" s="21" t="s">
        <v>216</v>
      </c>
      <c r="J298" s="14" t="s">
        <v>215</v>
      </c>
      <c r="K298" s="14" t="s">
        <v>216</v>
      </c>
      <c r="L298" s="51" t="s">
        <v>215</v>
      </c>
      <c r="M298" s="14" t="s">
        <v>217</v>
      </c>
      <c r="N298" s="14" t="s">
        <v>217</v>
      </c>
      <c r="O298" s="14"/>
      <c r="P298" s="41"/>
      <c r="Q298" s="14"/>
      <c r="R298" s="14"/>
      <c r="S298" s="14"/>
      <c r="T298" s="43">
        <f>Ranking!AU298</f>
        <v>0.8351648351648352</v>
      </c>
      <c r="U298" s="23"/>
      <c r="Y298" s="3"/>
      <c r="Z298" s="33"/>
    </row>
    <row r="299" spans="1:26" ht="18.75" hidden="1" x14ac:dyDescent="0.25">
      <c r="B299" s="22" t="s">
        <v>313</v>
      </c>
      <c r="C299" s="11"/>
      <c r="D299" s="70"/>
      <c r="E299" s="23"/>
      <c r="F299" s="21" t="s">
        <v>215</v>
      </c>
      <c r="G299" s="21" t="s">
        <v>215</v>
      </c>
      <c r="H299" s="21" t="s">
        <v>215</v>
      </c>
      <c r="I299" s="21" t="s">
        <v>216</v>
      </c>
      <c r="J299" s="14" t="s">
        <v>215</v>
      </c>
      <c r="K299" s="14" t="s">
        <v>216</v>
      </c>
      <c r="L299" s="51" t="s">
        <v>215</v>
      </c>
      <c r="M299" s="14" t="s">
        <v>217</v>
      </c>
      <c r="N299" s="14" t="s">
        <v>217</v>
      </c>
      <c r="O299" s="14"/>
      <c r="P299" s="41"/>
      <c r="Q299" s="14"/>
      <c r="R299" s="14"/>
      <c r="S299" s="14"/>
      <c r="T299" s="43">
        <f>Ranking!AU299</f>
        <v>0.8351648351648352</v>
      </c>
      <c r="U299" s="23"/>
      <c r="Y299" s="3"/>
      <c r="Z299" s="33"/>
    </row>
    <row r="300" spans="1:26" ht="18.75" hidden="1" x14ac:dyDescent="0.25">
      <c r="B300" s="22" t="s">
        <v>314</v>
      </c>
      <c r="C300" s="11"/>
      <c r="D300" s="70"/>
      <c r="E300" s="23"/>
      <c r="F300" s="21" t="s">
        <v>215</v>
      </c>
      <c r="G300" s="14" t="s">
        <v>216</v>
      </c>
      <c r="H300" s="14" t="s">
        <v>216</v>
      </c>
      <c r="I300" s="14" t="s">
        <v>216</v>
      </c>
      <c r="J300" s="14" t="s">
        <v>215</v>
      </c>
      <c r="K300" s="14" t="s">
        <v>216</v>
      </c>
      <c r="L300" s="51" t="s">
        <v>216</v>
      </c>
      <c r="M300" s="14" t="s">
        <v>217</v>
      </c>
      <c r="N300" s="14" t="s">
        <v>217</v>
      </c>
      <c r="O300" s="14"/>
      <c r="P300" s="41"/>
      <c r="Q300" s="14"/>
      <c r="R300" s="14"/>
      <c r="S300" s="14"/>
      <c r="T300" s="43">
        <f>Ranking!AU300</f>
        <v>0.50549450549450547</v>
      </c>
      <c r="U300" s="23"/>
      <c r="Y300" s="3"/>
      <c r="Z300" s="33"/>
    </row>
    <row r="301" spans="1:26" ht="18.75" hidden="1" x14ac:dyDescent="0.25">
      <c r="B301" s="22" t="s">
        <v>315</v>
      </c>
      <c r="C301" s="11"/>
      <c r="D301" s="70"/>
      <c r="E301" s="23"/>
      <c r="F301" s="21" t="s">
        <v>215</v>
      </c>
      <c r="G301" s="21" t="s">
        <v>215</v>
      </c>
      <c r="H301" s="21" t="s">
        <v>215</v>
      </c>
      <c r="I301" s="21" t="s">
        <v>216</v>
      </c>
      <c r="J301" s="14" t="s">
        <v>215</v>
      </c>
      <c r="K301" s="14" t="s">
        <v>216</v>
      </c>
      <c r="L301" s="51" t="s">
        <v>216</v>
      </c>
      <c r="M301" s="14" t="s">
        <v>217</v>
      </c>
      <c r="N301" s="14" t="s">
        <v>217</v>
      </c>
      <c r="O301" s="14"/>
      <c r="P301" s="41"/>
      <c r="Q301" s="14"/>
      <c r="R301" s="14"/>
      <c r="S301" s="14"/>
      <c r="T301" s="43">
        <f>Ranking!AU301</f>
        <v>0.57142857142857151</v>
      </c>
      <c r="U301" s="23"/>
      <c r="Y301" s="3"/>
      <c r="Z301" s="33"/>
    </row>
    <row r="302" spans="1:26" ht="18.75" hidden="1" x14ac:dyDescent="0.25">
      <c r="B302" s="22" t="s">
        <v>316</v>
      </c>
      <c r="C302" s="11"/>
      <c r="D302" s="70"/>
      <c r="E302" s="23"/>
      <c r="F302" s="21" t="s">
        <v>215</v>
      </c>
      <c r="G302" s="14" t="s">
        <v>215</v>
      </c>
      <c r="H302" s="14" t="s">
        <v>215</v>
      </c>
      <c r="I302" s="21" t="s">
        <v>216</v>
      </c>
      <c r="J302" s="14" t="s">
        <v>215</v>
      </c>
      <c r="K302" s="14" t="s">
        <v>215</v>
      </c>
      <c r="L302" s="51" t="s">
        <v>215</v>
      </c>
      <c r="M302" s="14" t="s">
        <v>217</v>
      </c>
      <c r="N302" s="14" t="s">
        <v>217</v>
      </c>
      <c r="O302" s="14"/>
      <c r="P302" s="41"/>
      <c r="Q302" s="14"/>
      <c r="R302" s="14"/>
      <c r="S302" s="14"/>
      <c r="T302" s="43">
        <f>Ranking!AU302</f>
        <v>0.89010989010989017</v>
      </c>
      <c r="U302" s="23"/>
      <c r="Y302" s="3"/>
      <c r="Z302" s="33"/>
    </row>
    <row r="303" spans="1:26" ht="18.75" hidden="1" x14ac:dyDescent="0.25">
      <c r="B303" s="22" t="s">
        <v>317</v>
      </c>
      <c r="C303" s="11"/>
      <c r="D303" s="70"/>
      <c r="E303" s="23"/>
      <c r="F303" s="21" t="s">
        <v>215</v>
      </c>
      <c r="G303" s="14" t="s">
        <v>215</v>
      </c>
      <c r="H303" s="14" t="s">
        <v>215</v>
      </c>
      <c r="I303" s="21" t="s">
        <v>216</v>
      </c>
      <c r="J303" s="14" t="s">
        <v>215</v>
      </c>
      <c r="K303" s="14" t="s">
        <v>215</v>
      </c>
      <c r="L303" s="51" t="s">
        <v>215</v>
      </c>
      <c r="M303" s="14" t="s">
        <v>217</v>
      </c>
      <c r="N303" s="14" t="s">
        <v>217</v>
      </c>
      <c r="O303" s="14"/>
      <c r="P303" s="41"/>
      <c r="Q303" s="14"/>
      <c r="R303" s="14"/>
      <c r="S303" s="14"/>
      <c r="T303" s="43">
        <f>Ranking!AU303</f>
        <v>0.89010989010989017</v>
      </c>
      <c r="U303" s="23"/>
      <c r="Y303" s="3"/>
      <c r="Z303" s="33"/>
    </row>
    <row r="304" spans="1:26" ht="18.75" hidden="1" x14ac:dyDescent="0.25">
      <c r="B304" s="22" t="s">
        <v>318</v>
      </c>
      <c r="C304" s="11"/>
      <c r="D304" s="70"/>
      <c r="E304" s="23"/>
      <c r="F304" s="21" t="s">
        <v>215</v>
      </c>
      <c r="G304" s="14" t="s">
        <v>215</v>
      </c>
      <c r="H304" s="14" t="s">
        <v>215</v>
      </c>
      <c r="I304" s="21" t="s">
        <v>216</v>
      </c>
      <c r="J304" s="14" t="s">
        <v>215</v>
      </c>
      <c r="K304" s="14" t="s">
        <v>215</v>
      </c>
      <c r="L304" s="51" t="s">
        <v>215</v>
      </c>
      <c r="M304" s="14" t="s">
        <v>217</v>
      </c>
      <c r="N304" s="14" t="s">
        <v>217</v>
      </c>
      <c r="O304" s="14"/>
      <c r="P304" s="41"/>
      <c r="Q304" s="14"/>
      <c r="R304" s="14"/>
      <c r="S304" s="14"/>
      <c r="T304" s="43">
        <f>Ranking!AU304</f>
        <v>0.89010989010989017</v>
      </c>
      <c r="U304" s="23"/>
      <c r="Y304" s="3"/>
      <c r="Z304" s="33"/>
    </row>
    <row r="305" spans="2:26" ht="18.75" hidden="1" x14ac:dyDescent="0.25">
      <c r="B305" s="22" t="s">
        <v>319</v>
      </c>
      <c r="C305" s="11"/>
      <c r="D305" s="70"/>
      <c r="E305" s="23"/>
      <c r="F305" s="21" t="s">
        <v>215</v>
      </c>
      <c r="G305" s="21" t="s">
        <v>215</v>
      </c>
      <c r="H305" s="21" t="s">
        <v>215</v>
      </c>
      <c r="I305" s="21" t="s">
        <v>216</v>
      </c>
      <c r="J305" s="14" t="s">
        <v>215</v>
      </c>
      <c r="K305" s="14" t="s">
        <v>215</v>
      </c>
      <c r="L305" s="51" t="s">
        <v>215</v>
      </c>
      <c r="M305" s="14" t="s">
        <v>217</v>
      </c>
      <c r="N305" s="14" t="s">
        <v>217</v>
      </c>
      <c r="O305" s="14"/>
      <c r="P305" s="41"/>
      <c r="Q305" s="14"/>
      <c r="R305" s="14"/>
      <c r="S305" s="14"/>
      <c r="T305" s="43">
        <f>Ranking!AU305</f>
        <v>0.89010989010989017</v>
      </c>
      <c r="U305" s="23"/>
      <c r="Y305" s="3"/>
      <c r="Z305" s="33"/>
    </row>
    <row r="306" spans="2:26" ht="18.75" hidden="1" x14ac:dyDescent="0.25">
      <c r="B306" s="22" t="s">
        <v>320</v>
      </c>
      <c r="C306" s="11"/>
      <c r="D306" s="70"/>
      <c r="E306" s="23"/>
      <c r="F306" s="21" t="s">
        <v>215</v>
      </c>
      <c r="G306" s="21" t="s">
        <v>215</v>
      </c>
      <c r="H306" s="21" t="s">
        <v>215</v>
      </c>
      <c r="I306" s="21" t="s">
        <v>216</v>
      </c>
      <c r="J306" s="14" t="s">
        <v>215</v>
      </c>
      <c r="K306" s="14" t="s">
        <v>215</v>
      </c>
      <c r="L306" s="51" t="s">
        <v>216</v>
      </c>
      <c r="M306" s="14" t="s">
        <v>217</v>
      </c>
      <c r="N306" s="14" t="s">
        <v>217</v>
      </c>
      <c r="O306" s="14"/>
      <c r="P306" s="41"/>
      <c r="Q306" s="14"/>
      <c r="R306" s="14"/>
      <c r="S306" s="14"/>
      <c r="T306" s="43">
        <f>Ranking!AU306</f>
        <v>0.62637362637362648</v>
      </c>
      <c r="U306" s="23"/>
      <c r="Y306" s="3"/>
      <c r="Z306" s="33"/>
    </row>
    <row r="307" spans="2:26" ht="18.75" hidden="1" x14ac:dyDescent="0.25">
      <c r="B307" s="22" t="s">
        <v>321</v>
      </c>
      <c r="C307" s="11"/>
      <c r="D307" s="70"/>
      <c r="E307" s="23"/>
      <c r="F307" s="21" t="s">
        <v>215</v>
      </c>
      <c r="G307" s="21" t="s">
        <v>215</v>
      </c>
      <c r="H307" s="21" t="s">
        <v>215</v>
      </c>
      <c r="I307" s="21" t="s">
        <v>216</v>
      </c>
      <c r="J307" s="14" t="s">
        <v>215</v>
      </c>
      <c r="K307" s="14" t="s">
        <v>215</v>
      </c>
      <c r="L307" s="51" t="s">
        <v>215</v>
      </c>
      <c r="M307" s="14" t="s">
        <v>217</v>
      </c>
      <c r="N307" s="14" t="s">
        <v>217</v>
      </c>
      <c r="O307" s="14"/>
      <c r="P307" s="41"/>
      <c r="Q307" s="14"/>
      <c r="R307" s="14"/>
      <c r="S307" s="14"/>
      <c r="T307" s="43">
        <f>Ranking!AU307</f>
        <v>0.89010989010989017</v>
      </c>
      <c r="U307" s="23"/>
      <c r="Y307" s="3"/>
      <c r="Z307" s="33"/>
    </row>
    <row r="308" spans="2:26" ht="18.75" hidden="1" x14ac:dyDescent="0.25">
      <c r="B308" s="22" t="s">
        <v>322</v>
      </c>
      <c r="C308" s="11"/>
      <c r="D308" s="70"/>
      <c r="E308" s="23"/>
      <c r="F308" s="21" t="s">
        <v>215</v>
      </c>
      <c r="G308" s="21" t="s">
        <v>215</v>
      </c>
      <c r="H308" s="21" t="s">
        <v>215</v>
      </c>
      <c r="I308" s="21" t="s">
        <v>216</v>
      </c>
      <c r="J308" s="14" t="s">
        <v>215</v>
      </c>
      <c r="K308" s="14" t="s">
        <v>215</v>
      </c>
      <c r="L308" s="51" t="s">
        <v>215</v>
      </c>
      <c r="M308" s="14" t="s">
        <v>217</v>
      </c>
      <c r="N308" s="14" t="s">
        <v>217</v>
      </c>
      <c r="O308" s="14"/>
      <c r="P308" s="41"/>
      <c r="Q308" s="14"/>
      <c r="R308" s="14"/>
      <c r="S308" s="14"/>
      <c r="T308" s="43">
        <f>Ranking!AU308</f>
        <v>0.89010989010989017</v>
      </c>
      <c r="U308" s="23"/>
      <c r="Y308" s="3"/>
      <c r="Z308" s="33"/>
    </row>
    <row r="309" spans="2:26" ht="18.75" hidden="1" x14ac:dyDescent="0.25">
      <c r="B309" s="22" t="s">
        <v>323</v>
      </c>
      <c r="C309" s="11"/>
      <c r="D309" s="70"/>
      <c r="E309" s="23"/>
      <c r="F309" s="21" t="s">
        <v>215</v>
      </c>
      <c r="G309" s="21" t="s">
        <v>215</v>
      </c>
      <c r="H309" s="21" t="s">
        <v>215</v>
      </c>
      <c r="I309" s="21" t="s">
        <v>216</v>
      </c>
      <c r="J309" s="14" t="s">
        <v>215</v>
      </c>
      <c r="K309" s="14" t="s">
        <v>215</v>
      </c>
      <c r="L309" s="51" t="s">
        <v>215</v>
      </c>
      <c r="M309" s="14" t="s">
        <v>217</v>
      </c>
      <c r="N309" s="14" t="s">
        <v>217</v>
      </c>
      <c r="O309" s="14"/>
      <c r="P309" s="41"/>
      <c r="Q309" s="14"/>
      <c r="R309" s="14"/>
      <c r="S309" s="14"/>
      <c r="T309" s="43">
        <f>Ranking!AU309</f>
        <v>0.89010989010989017</v>
      </c>
      <c r="U309" s="23"/>
      <c r="Y309" s="3"/>
      <c r="Z309" s="33"/>
    </row>
    <row r="310" spans="2:26" ht="18.75" hidden="1" x14ac:dyDescent="0.25">
      <c r="B310" s="22" t="s">
        <v>324</v>
      </c>
      <c r="C310" s="11"/>
      <c r="D310" s="70"/>
      <c r="E310" s="23"/>
      <c r="F310" s="21" t="s">
        <v>215</v>
      </c>
      <c r="G310" s="21" t="s">
        <v>215</v>
      </c>
      <c r="H310" s="21" t="s">
        <v>215</v>
      </c>
      <c r="I310" s="21" t="s">
        <v>216</v>
      </c>
      <c r="J310" s="14" t="s">
        <v>215</v>
      </c>
      <c r="K310" s="14" t="s">
        <v>215</v>
      </c>
      <c r="L310" s="51" t="s">
        <v>215</v>
      </c>
      <c r="M310" s="14" t="s">
        <v>217</v>
      </c>
      <c r="N310" s="14" t="s">
        <v>217</v>
      </c>
      <c r="O310" s="14"/>
      <c r="P310" s="41"/>
      <c r="Q310" s="14"/>
      <c r="R310" s="14"/>
      <c r="S310" s="14"/>
      <c r="T310" s="43">
        <f>Ranking!AU310</f>
        <v>0.89010989010989017</v>
      </c>
      <c r="U310" s="23"/>
      <c r="Y310" s="3"/>
      <c r="Z310" s="33"/>
    </row>
    <row r="311" spans="2:26" ht="18.75" hidden="1" x14ac:dyDescent="0.25">
      <c r="B311" s="22" t="s">
        <v>325</v>
      </c>
      <c r="C311" s="11"/>
      <c r="D311" s="70"/>
      <c r="E311" s="23"/>
      <c r="F311" s="21" t="s">
        <v>215</v>
      </c>
      <c r="G311" s="14" t="s">
        <v>216</v>
      </c>
      <c r="H311" s="14" t="s">
        <v>216</v>
      </c>
      <c r="I311" s="21" t="s">
        <v>217</v>
      </c>
      <c r="J311" s="14" t="s">
        <v>216</v>
      </c>
      <c r="K311" s="14" t="s">
        <v>216</v>
      </c>
      <c r="L311" s="51" t="s">
        <v>217</v>
      </c>
      <c r="M311" s="14" t="s">
        <v>217</v>
      </c>
      <c r="N311" s="14" t="s">
        <v>217</v>
      </c>
      <c r="O311" s="14"/>
      <c r="P311" s="41"/>
      <c r="Q311" s="14"/>
      <c r="R311" s="14"/>
      <c r="S311" s="14"/>
      <c r="T311" s="43">
        <f>Ranking!AU311</f>
        <v>0.43859649122807015</v>
      </c>
      <c r="U311" s="23"/>
      <c r="Y311" s="3"/>
      <c r="Z311" s="33"/>
    </row>
    <row r="312" spans="2:26" ht="18.75" hidden="1" x14ac:dyDescent="0.25">
      <c r="B312" s="22" t="s">
        <v>326</v>
      </c>
      <c r="C312" s="11"/>
      <c r="D312" s="70"/>
      <c r="E312" s="23"/>
      <c r="F312" s="21" t="s">
        <v>215</v>
      </c>
      <c r="G312" s="14" t="s">
        <v>216</v>
      </c>
      <c r="H312" s="14" t="s">
        <v>216</v>
      </c>
      <c r="I312" s="21" t="s">
        <v>217</v>
      </c>
      <c r="J312" s="14" t="s">
        <v>216</v>
      </c>
      <c r="K312" s="14" t="s">
        <v>216</v>
      </c>
      <c r="L312" s="51" t="s">
        <v>217</v>
      </c>
      <c r="M312" s="14" t="s">
        <v>217</v>
      </c>
      <c r="N312" s="14" t="s">
        <v>217</v>
      </c>
      <c r="O312" s="14"/>
      <c r="P312" s="41"/>
      <c r="Q312" s="14"/>
      <c r="R312" s="14"/>
      <c r="S312" s="14"/>
      <c r="T312" s="43">
        <f>Ranking!AU312</f>
        <v>0.43859649122807015</v>
      </c>
      <c r="U312" s="23"/>
      <c r="Y312" s="3"/>
      <c r="Z312" s="33"/>
    </row>
    <row r="313" spans="2:26" ht="18.75" hidden="1" x14ac:dyDescent="0.25">
      <c r="B313" s="22" t="s">
        <v>327</v>
      </c>
      <c r="C313" s="11"/>
      <c r="D313" s="70"/>
      <c r="E313" s="23"/>
      <c r="F313" s="21" t="s">
        <v>215</v>
      </c>
      <c r="G313" s="14" t="s">
        <v>216</v>
      </c>
      <c r="H313" s="14" t="s">
        <v>216</v>
      </c>
      <c r="I313" s="21" t="s">
        <v>217</v>
      </c>
      <c r="J313" s="14" t="s">
        <v>216</v>
      </c>
      <c r="K313" s="14" t="s">
        <v>216</v>
      </c>
      <c r="L313" s="51" t="s">
        <v>217</v>
      </c>
      <c r="M313" s="14" t="s">
        <v>217</v>
      </c>
      <c r="N313" s="14" t="s">
        <v>217</v>
      </c>
      <c r="O313" s="14"/>
      <c r="P313" s="41"/>
      <c r="Q313" s="14"/>
      <c r="R313" s="14"/>
      <c r="S313" s="14"/>
      <c r="T313" s="43">
        <f>Ranking!AU313</f>
        <v>0.43859649122807015</v>
      </c>
      <c r="U313" s="23"/>
      <c r="Y313" s="3"/>
      <c r="Z313" s="33"/>
    </row>
    <row r="314" spans="2:26" ht="18.75" hidden="1" x14ac:dyDescent="0.25">
      <c r="B314" s="22" t="s">
        <v>328</v>
      </c>
      <c r="C314" s="11"/>
      <c r="D314" s="70"/>
      <c r="E314" s="23"/>
      <c r="F314" s="21" t="s">
        <v>215</v>
      </c>
      <c r="G314" s="14" t="s">
        <v>216</v>
      </c>
      <c r="H314" s="14" t="s">
        <v>216</v>
      </c>
      <c r="I314" s="21" t="s">
        <v>217</v>
      </c>
      <c r="J314" s="14" t="s">
        <v>216</v>
      </c>
      <c r="K314" s="14" t="s">
        <v>215</v>
      </c>
      <c r="L314" s="51" t="s">
        <v>217</v>
      </c>
      <c r="M314" s="14" t="s">
        <v>217</v>
      </c>
      <c r="N314" s="14" t="s">
        <v>217</v>
      </c>
      <c r="O314" s="14"/>
      <c r="P314" s="41"/>
      <c r="Q314" s="14"/>
      <c r="R314" s="14"/>
      <c r="S314" s="14"/>
      <c r="T314" s="43">
        <f>Ranking!AU314</f>
        <v>0.52631578947368418</v>
      </c>
      <c r="U314" s="23"/>
      <c r="Y314" s="3"/>
      <c r="Z314" s="33"/>
    </row>
    <row r="315" spans="2:26" ht="18.75" hidden="1" x14ac:dyDescent="0.25">
      <c r="B315" s="22" t="s">
        <v>329</v>
      </c>
      <c r="C315" s="11"/>
      <c r="D315" s="70"/>
      <c r="E315" s="23"/>
      <c r="F315" s="21" t="s">
        <v>215</v>
      </c>
      <c r="G315" s="14" t="s">
        <v>216</v>
      </c>
      <c r="H315" s="14" t="s">
        <v>216</v>
      </c>
      <c r="I315" s="14" t="s">
        <v>216</v>
      </c>
      <c r="J315" s="14" t="s">
        <v>216</v>
      </c>
      <c r="K315" s="14" t="s">
        <v>216</v>
      </c>
      <c r="L315" s="51" t="s">
        <v>217</v>
      </c>
      <c r="M315" s="14" t="s">
        <v>217</v>
      </c>
      <c r="N315" s="14" t="s">
        <v>217</v>
      </c>
      <c r="O315" s="14"/>
      <c r="P315" s="41"/>
      <c r="Q315" s="14"/>
      <c r="R315" s="14"/>
      <c r="S315" s="14"/>
      <c r="T315" s="43">
        <f>Ranking!AU315</f>
        <v>0.37313432835820892</v>
      </c>
      <c r="U315" s="23"/>
      <c r="Y315" s="3"/>
      <c r="Z315" s="33"/>
    </row>
    <row r="316" spans="2:26" ht="18.75" hidden="1" x14ac:dyDescent="0.25">
      <c r="B316" s="22" t="s">
        <v>330</v>
      </c>
      <c r="C316" s="11"/>
      <c r="D316" s="70"/>
      <c r="E316" s="23"/>
      <c r="F316" s="21" t="s">
        <v>215</v>
      </c>
      <c r="G316" s="14" t="s">
        <v>216</v>
      </c>
      <c r="H316" s="14" t="s">
        <v>216</v>
      </c>
      <c r="I316" s="14" t="s">
        <v>216</v>
      </c>
      <c r="J316" s="14" t="s">
        <v>216</v>
      </c>
      <c r="K316" s="14" t="s">
        <v>216</v>
      </c>
      <c r="L316" s="51" t="s">
        <v>215</v>
      </c>
      <c r="M316" s="14" t="s">
        <v>217</v>
      </c>
      <c r="N316" s="14" t="s">
        <v>217</v>
      </c>
      <c r="O316" s="14"/>
      <c r="P316" s="41"/>
      <c r="Q316" s="14"/>
      <c r="R316" s="14"/>
      <c r="S316" s="14"/>
      <c r="T316" s="43">
        <f>Ranking!AU316</f>
        <v>0.53846153846153855</v>
      </c>
      <c r="U316" s="23"/>
      <c r="Y316" s="3"/>
      <c r="Z316" s="33"/>
    </row>
    <row r="317" spans="2:26" ht="18.75" hidden="1" x14ac:dyDescent="0.25">
      <c r="B317" s="22" t="s">
        <v>331</v>
      </c>
      <c r="C317" s="11"/>
      <c r="D317" s="70"/>
      <c r="E317" s="23"/>
      <c r="F317" s="21" t="s">
        <v>215</v>
      </c>
      <c r="G317" s="14" t="s">
        <v>216</v>
      </c>
      <c r="H317" s="14" t="s">
        <v>216</v>
      </c>
      <c r="I317" s="14" t="s">
        <v>216</v>
      </c>
      <c r="J317" s="14" t="s">
        <v>216</v>
      </c>
      <c r="K317" s="14" t="s">
        <v>216</v>
      </c>
      <c r="L317" s="51" t="s">
        <v>216</v>
      </c>
      <c r="M317" s="14" t="s">
        <v>217</v>
      </c>
      <c r="N317" s="14" t="s">
        <v>217</v>
      </c>
      <c r="O317" s="14"/>
      <c r="P317" s="41"/>
      <c r="Q317" s="14"/>
      <c r="R317" s="14"/>
      <c r="S317" s="14"/>
      <c r="T317" s="43">
        <f>Ranking!AU317</f>
        <v>0.27472527472527469</v>
      </c>
      <c r="U317" s="23"/>
      <c r="Y317" s="3"/>
      <c r="Z317" s="33"/>
    </row>
    <row r="318" spans="2:26" ht="18.75" hidden="1" x14ac:dyDescent="0.25">
      <c r="B318" s="22" t="s">
        <v>332</v>
      </c>
      <c r="C318" s="11"/>
      <c r="D318" s="70"/>
      <c r="E318" s="23"/>
      <c r="F318" s="21" t="s">
        <v>215</v>
      </c>
      <c r="G318" s="14" t="s">
        <v>216</v>
      </c>
      <c r="H318" s="14" t="s">
        <v>216</v>
      </c>
      <c r="I318" s="14" t="s">
        <v>216</v>
      </c>
      <c r="J318" s="14" t="s">
        <v>216</v>
      </c>
      <c r="K318" s="14" t="s">
        <v>216</v>
      </c>
      <c r="L318" s="51" t="s">
        <v>215</v>
      </c>
      <c r="M318" s="14" t="s">
        <v>217</v>
      </c>
      <c r="N318" s="14" t="s">
        <v>217</v>
      </c>
      <c r="O318" s="14"/>
      <c r="P318" s="41"/>
      <c r="Q318" s="14"/>
      <c r="R318" s="14"/>
      <c r="S318" s="14"/>
      <c r="T318" s="43">
        <f>Ranking!AU318</f>
        <v>0.53846153846153855</v>
      </c>
      <c r="U318" s="23"/>
      <c r="Y318" s="3"/>
      <c r="Z318" s="33"/>
    </row>
    <row r="319" spans="2:26" ht="18.75" hidden="1" x14ac:dyDescent="0.25">
      <c r="B319" s="22" t="s">
        <v>333</v>
      </c>
      <c r="C319" s="11"/>
      <c r="D319" s="70"/>
      <c r="E319" s="23"/>
      <c r="F319" s="21" t="s">
        <v>215</v>
      </c>
      <c r="G319" s="14" t="s">
        <v>216</v>
      </c>
      <c r="H319" s="14" t="s">
        <v>216</v>
      </c>
      <c r="I319" s="14" t="s">
        <v>216</v>
      </c>
      <c r="J319" s="14" t="s">
        <v>216</v>
      </c>
      <c r="K319" s="14" t="s">
        <v>216</v>
      </c>
      <c r="L319" s="51" t="s">
        <v>215</v>
      </c>
      <c r="M319" s="14" t="s">
        <v>217</v>
      </c>
      <c r="N319" s="14" t="s">
        <v>217</v>
      </c>
      <c r="O319" s="14"/>
      <c r="P319" s="41"/>
      <c r="Q319" s="14"/>
      <c r="R319" s="14"/>
      <c r="S319" s="14"/>
      <c r="T319" s="43">
        <f>Ranking!AU319</f>
        <v>0.53846153846153855</v>
      </c>
      <c r="U319" s="23"/>
      <c r="Y319" s="3"/>
      <c r="Z319" s="33"/>
    </row>
    <row r="320" spans="2:26" ht="18.75" hidden="1" x14ac:dyDescent="0.25">
      <c r="B320" s="22" t="s">
        <v>334</v>
      </c>
      <c r="C320" s="11"/>
      <c r="D320" s="70"/>
      <c r="E320" s="23"/>
      <c r="F320" s="21" t="s">
        <v>215</v>
      </c>
      <c r="G320" s="14" t="s">
        <v>216</v>
      </c>
      <c r="H320" s="14" t="s">
        <v>216</v>
      </c>
      <c r="I320" s="14" t="s">
        <v>216</v>
      </c>
      <c r="J320" s="14" t="s">
        <v>216</v>
      </c>
      <c r="K320" s="14" t="s">
        <v>216</v>
      </c>
      <c r="L320" s="51" t="s">
        <v>216</v>
      </c>
      <c r="M320" s="14" t="s">
        <v>217</v>
      </c>
      <c r="N320" s="14" t="s">
        <v>217</v>
      </c>
      <c r="O320" s="14"/>
      <c r="P320" s="41"/>
      <c r="Q320" s="14"/>
      <c r="R320" s="14"/>
      <c r="S320" s="14"/>
      <c r="T320" s="43">
        <f>Ranking!AU320</f>
        <v>0.27472527472527469</v>
      </c>
      <c r="U320" s="23"/>
      <c r="Y320" s="3"/>
      <c r="Z320" s="33"/>
    </row>
    <row r="321" spans="1:26" ht="18.75" hidden="1" x14ac:dyDescent="0.25">
      <c r="B321" s="22" t="s">
        <v>335</v>
      </c>
      <c r="C321" s="11"/>
      <c r="D321" s="70"/>
      <c r="E321" s="23"/>
      <c r="F321" s="21" t="s">
        <v>215</v>
      </c>
      <c r="G321" s="14" t="s">
        <v>216</v>
      </c>
      <c r="H321" s="14" t="s">
        <v>216</v>
      </c>
      <c r="I321" s="14" t="s">
        <v>216</v>
      </c>
      <c r="J321" s="14" t="s">
        <v>216</v>
      </c>
      <c r="K321" s="14" t="s">
        <v>216</v>
      </c>
      <c r="L321" s="51" t="s">
        <v>217</v>
      </c>
      <c r="M321" s="14" t="s">
        <v>217</v>
      </c>
      <c r="N321" s="14" t="s">
        <v>217</v>
      </c>
      <c r="O321" s="14"/>
      <c r="P321" s="41"/>
      <c r="Q321" s="14"/>
      <c r="R321" s="14"/>
      <c r="S321" s="14"/>
      <c r="T321" s="43">
        <f>Ranking!AU321</f>
        <v>0.37313432835820892</v>
      </c>
      <c r="U321" s="23"/>
      <c r="Y321" s="3"/>
      <c r="Z321" s="33"/>
    </row>
    <row r="322" spans="1:26" ht="18.75" hidden="1" x14ac:dyDescent="0.25">
      <c r="B322" s="22" t="s">
        <v>336</v>
      </c>
      <c r="C322" s="11"/>
      <c r="D322" s="70"/>
      <c r="E322" s="23"/>
      <c r="F322" s="21" t="s">
        <v>215</v>
      </c>
      <c r="G322" s="21" t="s">
        <v>215</v>
      </c>
      <c r="H322" s="21" t="s">
        <v>215</v>
      </c>
      <c r="I322" s="21" t="s">
        <v>216</v>
      </c>
      <c r="J322" s="14" t="s">
        <v>215</v>
      </c>
      <c r="K322" s="14" t="s">
        <v>216</v>
      </c>
      <c r="L322" s="51" t="s">
        <v>215</v>
      </c>
      <c r="M322" s="14" t="s">
        <v>217</v>
      </c>
      <c r="N322" s="14" t="s">
        <v>217</v>
      </c>
      <c r="O322" s="14"/>
      <c r="P322" s="41"/>
      <c r="Q322" s="14"/>
      <c r="R322" s="14"/>
      <c r="S322" s="14"/>
      <c r="T322" s="43">
        <f>Ranking!AU322</f>
        <v>0.8351648351648352</v>
      </c>
      <c r="U322" s="23"/>
      <c r="Y322" s="3"/>
      <c r="Z322" s="33"/>
    </row>
    <row r="323" spans="1:26" ht="18.75" hidden="1" x14ac:dyDescent="0.25">
      <c r="B323" s="22" t="s">
        <v>337</v>
      </c>
      <c r="C323" s="11"/>
      <c r="D323" s="70"/>
      <c r="E323" s="23"/>
      <c r="F323" s="21" t="s">
        <v>215</v>
      </c>
      <c r="G323" s="14" t="s">
        <v>215</v>
      </c>
      <c r="H323" s="14" t="s">
        <v>215</v>
      </c>
      <c r="I323" s="21" t="s">
        <v>216</v>
      </c>
      <c r="J323" s="14" t="s">
        <v>215</v>
      </c>
      <c r="K323" s="14" t="s">
        <v>216</v>
      </c>
      <c r="L323" s="51" t="s">
        <v>215</v>
      </c>
      <c r="M323" s="14" t="s">
        <v>217</v>
      </c>
      <c r="N323" s="14" t="s">
        <v>217</v>
      </c>
      <c r="O323" s="14"/>
      <c r="P323" s="41"/>
      <c r="Q323" s="14"/>
      <c r="R323" s="14"/>
      <c r="S323" s="14"/>
      <c r="T323" s="43">
        <f>Ranking!AU323</f>
        <v>0.8351648351648352</v>
      </c>
      <c r="U323" s="23"/>
      <c r="Y323" s="3"/>
      <c r="Z323" s="33"/>
    </row>
    <row r="324" spans="1:26" ht="18.75" hidden="1" x14ac:dyDescent="0.25">
      <c r="B324" s="22" t="s">
        <v>338</v>
      </c>
      <c r="C324" s="11"/>
      <c r="D324" s="70"/>
      <c r="E324" s="23"/>
      <c r="F324" s="21" t="s">
        <v>215</v>
      </c>
      <c r="G324" s="14" t="s">
        <v>216</v>
      </c>
      <c r="H324" s="14" t="s">
        <v>216</v>
      </c>
      <c r="I324" s="14" t="s">
        <v>216</v>
      </c>
      <c r="J324" s="14" t="s">
        <v>215</v>
      </c>
      <c r="K324" s="14" t="s">
        <v>216</v>
      </c>
      <c r="L324" s="51" t="s">
        <v>215</v>
      </c>
      <c r="M324" s="14" t="s">
        <v>217</v>
      </c>
      <c r="N324" s="14" t="s">
        <v>217</v>
      </c>
      <c r="O324" s="14"/>
      <c r="P324" s="41"/>
      <c r="Q324" s="14"/>
      <c r="R324" s="14"/>
      <c r="S324" s="14"/>
      <c r="T324" s="43">
        <f>Ranking!AU324</f>
        <v>0.76923076923076927</v>
      </c>
      <c r="U324" s="23"/>
      <c r="Y324" s="3"/>
      <c r="Z324" s="33"/>
    </row>
    <row r="325" spans="1:26" ht="18.75" hidden="1" x14ac:dyDescent="0.25">
      <c r="B325" s="22" t="s">
        <v>339</v>
      </c>
      <c r="C325" s="11"/>
      <c r="D325" s="70"/>
      <c r="E325" s="23"/>
      <c r="F325" s="21" t="s">
        <v>215</v>
      </c>
      <c r="G325" s="14" t="s">
        <v>215</v>
      </c>
      <c r="H325" s="14" t="s">
        <v>215</v>
      </c>
      <c r="I325" s="21" t="s">
        <v>216</v>
      </c>
      <c r="J325" s="14" t="s">
        <v>215</v>
      </c>
      <c r="K325" s="14" t="s">
        <v>216</v>
      </c>
      <c r="L325" s="51" t="s">
        <v>215</v>
      </c>
      <c r="M325" s="14" t="s">
        <v>217</v>
      </c>
      <c r="N325" s="14" t="s">
        <v>217</v>
      </c>
      <c r="O325" s="14"/>
      <c r="P325" s="41"/>
      <c r="Q325" s="14"/>
      <c r="R325" s="14"/>
      <c r="S325" s="14"/>
      <c r="T325" s="43">
        <f>Ranking!AU325</f>
        <v>0.8351648351648352</v>
      </c>
      <c r="U325" s="23"/>
      <c r="Y325" s="3"/>
      <c r="Z325" s="33"/>
    </row>
    <row r="326" spans="1:26" ht="18.75" hidden="1" x14ac:dyDescent="0.25">
      <c r="B326" s="22" t="s">
        <v>340</v>
      </c>
      <c r="C326" s="11"/>
      <c r="D326" s="70"/>
      <c r="E326" s="23"/>
      <c r="F326" s="21" t="s">
        <v>215</v>
      </c>
      <c r="G326" s="14" t="s">
        <v>215</v>
      </c>
      <c r="H326" s="14" t="s">
        <v>215</v>
      </c>
      <c r="I326" s="21" t="s">
        <v>216</v>
      </c>
      <c r="J326" s="14" t="s">
        <v>215</v>
      </c>
      <c r="K326" s="14" t="s">
        <v>216</v>
      </c>
      <c r="L326" s="51" t="s">
        <v>215</v>
      </c>
      <c r="M326" s="14" t="s">
        <v>217</v>
      </c>
      <c r="N326" s="14" t="s">
        <v>217</v>
      </c>
      <c r="O326" s="14"/>
      <c r="P326" s="41"/>
      <c r="Q326" s="14"/>
      <c r="R326" s="14"/>
      <c r="S326" s="14"/>
      <c r="T326" s="43">
        <f>Ranking!AU326</f>
        <v>0.8351648351648352</v>
      </c>
      <c r="U326" s="23"/>
      <c r="Y326" s="3"/>
      <c r="Z326" s="33"/>
    </row>
    <row r="327" spans="1:26" ht="18.75" hidden="1" x14ac:dyDescent="0.25">
      <c r="B327" s="22" t="s">
        <v>341</v>
      </c>
      <c r="C327" s="11"/>
      <c r="D327" s="70"/>
      <c r="E327" s="23"/>
      <c r="F327" s="21" t="s">
        <v>215</v>
      </c>
      <c r="G327" s="14" t="s">
        <v>216</v>
      </c>
      <c r="H327" s="14" t="s">
        <v>216</v>
      </c>
      <c r="I327" s="14" t="s">
        <v>216</v>
      </c>
      <c r="J327" s="14" t="s">
        <v>215</v>
      </c>
      <c r="K327" s="14" t="s">
        <v>216</v>
      </c>
      <c r="L327" s="51" t="s">
        <v>215</v>
      </c>
      <c r="M327" s="14" t="s">
        <v>217</v>
      </c>
      <c r="N327" s="14" t="s">
        <v>217</v>
      </c>
      <c r="O327" s="14"/>
      <c r="P327" s="41"/>
      <c r="Q327" s="14"/>
      <c r="R327" s="14"/>
      <c r="S327" s="14"/>
      <c r="T327" s="43">
        <f>Ranking!AU327</f>
        <v>0.76923076923076927</v>
      </c>
      <c r="U327" s="23"/>
      <c r="Y327" s="3"/>
      <c r="Z327" s="33"/>
    </row>
    <row r="328" spans="1:26" ht="18.75" hidden="1" x14ac:dyDescent="0.25">
      <c r="B328" s="22" t="s">
        <v>342</v>
      </c>
      <c r="C328" s="11"/>
      <c r="D328" s="70"/>
      <c r="E328" s="23"/>
      <c r="F328" s="21" t="s">
        <v>215</v>
      </c>
      <c r="G328" s="14" t="s">
        <v>215</v>
      </c>
      <c r="H328" s="14" t="s">
        <v>215</v>
      </c>
      <c r="I328" s="21" t="s">
        <v>216</v>
      </c>
      <c r="J328" s="14" t="s">
        <v>215</v>
      </c>
      <c r="K328" s="14" t="s">
        <v>216</v>
      </c>
      <c r="L328" s="51" t="s">
        <v>216</v>
      </c>
      <c r="M328" s="14" t="s">
        <v>217</v>
      </c>
      <c r="N328" s="14" t="s">
        <v>217</v>
      </c>
      <c r="O328" s="14"/>
      <c r="P328" s="41"/>
      <c r="Q328" s="14"/>
      <c r="R328" s="14"/>
      <c r="S328" s="14"/>
      <c r="T328" s="43">
        <f>Ranking!AU328</f>
        <v>0.57142857142857151</v>
      </c>
      <c r="U328" s="23"/>
      <c r="Y328" s="3"/>
      <c r="Z328" s="33"/>
    </row>
    <row r="329" spans="1:26" ht="18.75" hidden="1" x14ac:dyDescent="0.25">
      <c r="B329" s="22" t="s">
        <v>343</v>
      </c>
      <c r="C329" s="11"/>
      <c r="D329" s="70"/>
      <c r="E329" s="23"/>
      <c r="F329" s="21" t="s">
        <v>215</v>
      </c>
      <c r="G329" s="21" t="s">
        <v>215</v>
      </c>
      <c r="H329" s="21" t="s">
        <v>215</v>
      </c>
      <c r="I329" s="21" t="s">
        <v>216</v>
      </c>
      <c r="J329" s="14" t="s">
        <v>215</v>
      </c>
      <c r="K329" s="14" t="s">
        <v>216</v>
      </c>
      <c r="L329" s="51" t="s">
        <v>215</v>
      </c>
      <c r="M329" s="14" t="s">
        <v>217</v>
      </c>
      <c r="N329" s="14" t="s">
        <v>217</v>
      </c>
      <c r="O329" s="14"/>
      <c r="P329" s="41"/>
      <c r="Q329" s="14"/>
      <c r="R329" s="14"/>
      <c r="S329" s="14"/>
      <c r="T329" s="43">
        <f>Ranking!AU329</f>
        <v>0.8351648351648352</v>
      </c>
      <c r="U329" s="23"/>
      <c r="Y329" s="3"/>
      <c r="Z329" s="33"/>
    </row>
    <row r="330" spans="1:26" ht="18.75" hidden="1" x14ac:dyDescent="0.25">
      <c r="B330" s="22" t="s">
        <v>344</v>
      </c>
      <c r="C330" s="11"/>
      <c r="D330" s="70"/>
      <c r="E330" s="23"/>
      <c r="F330" s="21" t="s">
        <v>215</v>
      </c>
      <c r="G330" s="21" t="s">
        <v>215</v>
      </c>
      <c r="H330" s="21" t="s">
        <v>215</v>
      </c>
      <c r="I330" s="21" t="s">
        <v>216</v>
      </c>
      <c r="J330" s="14" t="s">
        <v>215</v>
      </c>
      <c r="K330" s="14" t="s">
        <v>215</v>
      </c>
      <c r="L330" s="51" t="s">
        <v>215</v>
      </c>
      <c r="M330" s="14" t="s">
        <v>217</v>
      </c>
      <c r="N330" s="14" t="s">
        <v>217</v>
      </c>
      <c r="O330" s="14"/>
      <c r="P330" s="41"/>
      <c r="Q330" s="14"/>
      <c r="R330" s="14"/>
      <c r="S330" s="14"/>
      <c r="T330" s="43">
        <f>Ranking!AU330</f>
        <v>0.89010989010989017</v>
      </c>
      <c r="U330" s="23"/>
      <c r="Y330" s="3"/>
      <c r="Z330" s="33"/>
    </row>
    <row r="331" spans="1:26" ht="18.75" hidden="1" x14ac:dyDescent="0.25">
      <c r="A331" s="36"/>
      <c r="B331" s="22" t="s">
        <v>345</v>
      </c>
      <c r="C331" s="11"/>
      <c r="D331" s="70"/>
      <c r="E331" s="23"/>
      <c r="F331" s="21" t="s">
        <v>216</v>
      </c>
      <c r="G331" s="14" t="s">
        <v>216</v>
      </c>
      <c r="H331" s="14" t="s">
        <v>216</v>
      </c>
      <c r="I331" s="21" t="s">
        <v>216</v>
      </c>
      <c r="J331" s="14" t="s">
        <v>216</v>
      </c>
      <c r="K331" s="14" t="s">
        <v>216</v>
      </c>
      <c r="L331" s="51" t="s">
        <v>216</v>
      </c>
      <c r="M331" s="14" t="s">
        <v>216</v>
      </c>
      <c r="N331" s="14" t="s">
        <v>216</v>
      </c>
      <c r="O331" s="14"/>
      <c r="P331" s="41"/>
      <c r="Q331" s="14"/>
      <c r="R331" s="14"/>
      <c r="S331" s="14"/>
      <c r="T331" s="43">
        <f>Ranking!AU331</f>
        <v>0.22999999999999998</v>
      </c>
      <c r="U331" s="23"/>
      <c r="Y331" s="3"/>
      <c r="Z331" s="33"/>
    </row>
    <row r="332" spans="1:26" ht="18.75" hidden="1" x14ac:dyDescent="0.25">
      <c r="A332" s="36"/>
      <c r="B332" s="22" t="s">
        <v>346</v>
      </c>
      <c r="C332" s="11"/>
      <c r="D332" s="70"/>
      <c r="E332" s="23"/>
      <c r="F332" s="21" t="s">
        <v>216</v>
      </c>
      <c r="G332" s="14" t="s">
        <v>216</v>
      </c>
      <c r="H332" s="14" t="s">
        <v>216</v>
      </c>
      <c r="I332" s="21" t="s">
        <v>216</v>
      </c>
      <c r="J332" s="14" t="s">
        <v>215</v>
      </c>
      <c r="K332" s="14" t="s">
        <v>216</v>
      </c>
      <c r="L332" s="51" t="s">
        <v>216</v>
      </c>
      <c r="M332" s="14" t="s">
        <v>216</v>
      </c>
      <c r="N332" s="14" t="s">
        <v>216</v>
      </c>
      <c r="O332" s="14"/>
      <c r="P332" s="41"/>
      <c r="Q332" s="14"/>
      <c r="R332" s="14"/>
      <c r="S332" s="14"/>
      <c r="T332" s="43">
        <f>Ranking!AU332</f>
        <v>0.44000000000000006</v>
      </c>
      <c r="U332" s="23"/>
      <c r="Y332" s="3"/>
      <c r="Z332" s="33"/>
    </row>
    <row r="333" spans="1:26" ht="18.75" hidden="1" x14ac:dyDescent="0.25">
      <c r="A333" s="36"/>
      <c r="B333" s="22" t="s">
        <v>347</v>
      </c>
      <c r="C333" s="11"/>
      <c r="D333" s="70"/>
      <c r="E333" s="23"/>
      <c r="F333" s="21" t="s">
        <v>216</v>
      </c>
      <c r="G333" s="14" t="s">
        <v>216</v>
      </c>
      <c r="H333" s="14" t="s">
        <v>216</v>
      </c>
      <c r="I333" s="21" t="s">
        <v>216</v>
      </c>
      <c r="J333" s="14" t="s">
        <v>215</v>
      </c>
      <c r="K333" s="14" t="s">
        <v>216</v>
      </c>
      <c r="L333" s="51" t="s">
        <v>216</v>
      </c>
      <c r="M333" s="14" t="s">
        <v>217</v>
      </c>
      <c r="N333" s="14" t="s">
        <v>217</v>
      </c>
      <c r="O333" s="14"/>
      <c r="P333" s="41"/>
      <c r="Q333" s="14"/>
      <c r="R333" s="14"/>
      <c r="S333" s="14"/>
      <c r="T333" s="43">
        <f>Ranking!AU333</f>
        <v>0.48351648351648346</v>
      </c>
      <c r="U333" s="23"/>
      <c r="Y333" s="3"/>
      <c r="Z333" s="33"/>
    </row>
    <row r="334" spans="1:26" ht="18.75" hidden="1" x14ac:dyDescent="0.25">
      <c r="A334" s="36"/>
      <c r="B334" s="22" t="s">
        <v>348</v>
      </c>
      <c r="C334" s="11"/>
      <c r="D334" s="70"/>
      <c r="E334" s="23"/>
      <c r="F334" s="21" t="s">
        <v>215</v>
      </c>
      <c r="G334" s="14" t="s">
        <v>216</v>
      </c>
      <c r="H334" s="14" t="s">
        <v>216</v>
      </c>
      <c r="I334" s="21" t="s">
        <v>216</v>
      </c>
      <c r="J334" s="14" t="s">
        <v>215</v>
      </c>
      <c r="K334" s="14" t="s">
        <v>215</v>
      </c>
      <c r="L334" s="51" t="s">
        <v>216</v>
      </c>
      <c r="M334" s="14" t="s">
        <v>215</v>
      </c>
      <c r="N334" s="14" t="s">
        <v>215</v>
      </c>
      <c r="O334" s="14"/>
      <c r="P334" s="41"/>
      <c r="Q334" s="14"/>
      <c r="R334" s="14"/>
      <c r="S334" s="14"/>
      <c r="T334" s="43">
        <f>Ranking!AU334</f>
        <v>0.6</v>
      </c>
      <c r="U334" s="23"/>
      <c r="Y334" s="3"/>
      <c r="Z334" s="33"/>
    </row>
    <row r="335" spans="1:26" ht="18.75" hidden="1" x14ac:dyDescent="0.25">
      <c r="A335" s="36"/>
      <c r="B335" s="22" t="s">
        <v>349</v>
      </c>
      <c r="C335" s="11"/>
      <c r="D335" s="70"/>
      <c r="E335" s="23"/>
      <c r="F335" s="21" t="s">
        <v>216</v>
      </c>
      <c r="G335" s="14" t="s">
        <v>216</v>
      </c>
      <c r="H335" s="14" t="s">
        <v>216</v>
      </c>
      <c r="I335" s="21" t="s">
        <v>216</v>
      </c>
      <c r="J335" s="14" t="s">
        <v>215</v>
      </c>
      <c r="K335" s="14" t="s">
        <v>216</v>
      </c>
      <c r="L335" s="51" t="s">
        <v>215</v>
      </c>
      <c r="M335" s="14" t="s">
        <v>216</v>
      </c>
      <c r="N335" s="14" t="s">
        <v>216</v>
      </c>
      <c r="O335" s="14"/>
      <c r="P335" s="41"/>
      <c r="Q335" s="14"/>
      <c r="R335" s="14"/>
      <c r="S335" s="14"/>
      <c r="T335" s="43">
        <f>Ranking!AU335</f>
        <v>0.68</v>
      </c>
      <c r="U335" s="23"/>
      <c r="Y335" s="3"/>
      <c r="Z335" s="33"/>
    </row>
    <row r="336" spans="1:26" ht="18.75" hidden="1" x14ac:dyDescent="0.25">
      <c r="A336" s="36"/>
      <c r="B336" s="22" t="s">
        <v>350</v>
      </c>
      <c r="C336" s="11"/>
      <c r="D336" s="70"/>
      <c r="E336" s="23"/>
      <c r="F336" s="21" t="s">
        <v>215</v>
      </c>
      <c r="G336" s="14" t="s">
        <v>216</v>
      </c>
      <c r="H336" s="14" t="s">
        <v>216</v>
      </c>
      <c r="I336" s="21" t="s">
        <v>216</v>
      </c>
      <c r="J336" s="14" t="s">
        <v>215</v>
      </c>
      <c r="K336" s="14" t="s">
        <v>216</v>
      </c>
      <c r="L336" s="51" t="s">
        <v>216</v>
      </c>
      <c r="M336" s="14" t="s">
        <v>215</v>
      </c>
      <c r="N336" s="14" t="s">
        <v>215</v>
      </c>
      <c r="O336" s="14"/>
      <c r="P336" s="41"/>
      <c r="Q336" s="14"/>
      <c r="R336" s="14"/>
      <c r="S336" s="14"/>
      <c r="T336" s="43">
        <f>Ranking!AU336</f>
        <v>0.55000000000000004</v>
      </c>
      <c r="U336" s="23"/>
      <c r="Y336" s="3"/>
      <c r="Z336" s="33"/>
    </row>
    <row r="337" spans="1:26" ht="18.75" hidden="1" x14ac:dyDescent="0.25">
      <c r="A337" s="36"/>
      <c r="B337" s="22" t="s">
        <v>351</v>
      </c>
      <c r="C337" s="11"/>
      <c r="D337" s="70"/>
      <c r="E337" s="23"/>
      <c r="F337" s="21" t="s">
        <v>215</v>
      </c>
      <c r="G337" s="14" t="s">
        <v>216</v>
      </c>
      <c r="H337" s="14" t="s">
        <v>216</v>
      </c>
      <c r="I337" s="21" t="s">
        <v>216</v>
      </c>
      <c r="J337" s="14" t="s">
        <v>215</v>
      </c>
      <c r="K337" s="14" t="s">
        <v>215</v>
      </c>
      <c r="L337" s="51" t="s">
        <v>216</v>
      </c>
      <c r="M337" s="14" t="s">
        <v>217</v>
      </c>
      <c r="N337" s="14" t="s">
        <v>217</v>
      </c>
      <c r="O337" s="14"/>
      <c r="P337" s="41"/>
      <c r="Q337" s="14"/>
      <c r="R337" s="14"/>
      <c r="S337" s="14"/>
      <c r="T337" s="43">
        <f>Ranking!AU337</f>
        <v>0.56043956043956056</v>
      </c>
      <c r="U337" s="23"/>
      <c r="Y337" s="3"/>
      <c r="Z337" s="33"/>
    </row>
    <row r="338" spans="1:26" ht="18.75" hidden="1" x14ac:dyDescent="0.25">
      <c r="A338" s="36"/>
      <c r="B338" s="22" t="s">
        <v>352</v>
      </c>
      <c r="C338" s="11"/>
      <c r="D338" s="70"/>
      <c r="E338" s="23"/>
      <c r="F338" s="21" t="s">
        <v>215</v>
      </c>
      <c r="G338" s="14" t="s">
        <v>215</v>
      </c>
      <c r="H338" s="14" t="s">
        <v>215</v>
      </c>
      <c r="I338" s="21" t="s">
        <v>216</v>
      </c>
      <c r="J338" s="14" t="s">
        <v>215</v>
      </c>
      <c r="K338" s="14" t="s">
        <v>215</v>
      </c>
      <c r="L338" s="51" t="s">
        <v>216</v>
      </c>
      <c r="M338" s="14" t="s">
        <v>215</v>
      </c>
      <c r="N338" s="14" t="s">
        <v>215</v>
      </c>
      <c r="O338" s="14"/>
      <c r="P338" s="41"/>
      <c r="Q338" s="14"/>
      <c r="R338" s="14"/>
      <c r="S338" s="14"/>
      <c r="T338" s="43">
        <f>Ranking!AU338</f>
        <v>0.66</v>
      </c>
      <c r="U338" s="23"/>
      <c r="Y338" s="3"/>
      <c r="Z338" s="33"/>
    </row>
    <row r="339" spans="1:26" ht="18.75" hidden="1" x14ac:dyDescent="0.25">
      <c r="A339" s="36"/>
      <c r="B339" s="22" t="s">
        <v>353</v>
      </c>
      <c r="C339" s="11"/>
      <c r="D339" s="70"/>
      <c r="E339" s="23"/>
      <c r="F339" s="21" t="s">
        <v>215</v>
      </c>
      <c r="G339" s="14" t="s">
        <v>216</v>
      </c>
      <c r="H339" s="14" t="s">
        <v>216</v>
      </c>
      <c r="I339" s="21" t="s">
        <v>216</v>
      </c>
      <c r="J339" s="14" t="s">
        <v>216</v>
      </c>
      <c r="K339" s="14" t="s">
        <v>215</v>
      </c>
      <c r="L339" s="51" t="s">
        <v>216</v>
      </c>
      <c r="M339" s="14" t="s">
        <v>216</v>
      </c>
      <c r="N339" s="14" t="s">
        <v>216</v>
      </c>
      <c r="O339" s="14"/>
      <c r="P339" s="41"/>
      <c r="Q339" s="14"/>
      <c r="R339" s="14"/>
      <c r="S339" s="14"/>
      <c r="T339" s="43">
        <f>Ranking!AU339</f>
        <v>0.30000000000000004</v>
      </c>
      <c r="U339" s="23"/>
      <c r="Y339" s="3"/>
      <c r="Z339" s="33"/>
    </row>
    <row r="340" spans="1:26" ht="18.75" hidden="1" x14ac:dyDescent="0.25">
      <c r="A340" s="36"/>
      <c r="B340" s="22" t="s">
        <v>354</v>
      </c>
      <c r="C340" s="11"/>
      <c r="D340" s="70"/>
      <c r="E340" s="23"/>
      <c r="F340" s="21" t="s">
        <v>216</v>
      </c>
      <c r="G340" s="14" t="s">
        <v>216</v>
      </c>
      <c r="H340" s="14" t="s">
        <v>216</v>
      </c>
      <c r="I340" s="21" t="s">
        <v>216</v>
      </c>
      <c r="J340" s="14" t="s">
        <v>215</v>
      </c>
      <c r="K340" s="14" t="s">
        <v>216</v>
      </c>
      <c r="L340" s="51" t="s">
        <v>215</v>
      </c>
      <c r="M340" s="14" t="s">
        <v>217</v>
      </c>
      <c r="N340" s="14" t="s">
        <v>217</v>
      </c>
      <c r="O340" s="14"/>
      <c r="P340" s="41"/>
      <c r="Q340" s="14"/>
      <c r="R340" s="14"/>
      <c r="S340" s="14"/>
      <c r="T340" s="43">
        <f>Ranking!AU340</f>
        <v>0.74725274725274737</v>
      </c>
      <c r="U340" s="23"/>
      <c r="Y340" s="3"/>
      <c r="Z340" s="33"/>
    </row>
    <row r="341" spans="1:26" ht="18.75" hidden="1" x14ac:dyDescent="0.25">
      <c r="A341" s="36"/>
      <c r="B341" s="22" t="s">
        <v>355</v>
      </c>
      <c r="C341" s="11"/>
      <c r="D341" s="70"/>
      <c r="E341" s="23"/>
      <c r="F341" s="21" t="s">
        <v>216</v>
      </c>
      <c r="G341" s="14" t="s">
        <v>216</v>
      </c>
      <c r="H341" s="14" t="s">
        <v>216</v>
      </c>
      <c r="I341" s="21" t="s">
        <v>216</v>
      </c>
      <c r="J341" s="14" t="s">
        <v>215</v>
      </c>
      <c r="K341" s="14" t="s">
        <v>216</v>
      </c>
      <c r="L341" s="51" t="s">
        <v>217</v>
      </c>
      <c r="M341" s="14" t="s">
        <v>217</v>
      </c>
      <c r="N341" s="14" t="s">
        <v>217</v>
      </c>
      <c r="O341" s="14"/>
      <c r="P341" s="41"/>
      <c r="Q341" s="14"/>
      <c r="R341" s="14"/>
      <c r="S341" s="14"/>
      <c r="T341" s="43">
        <f>Ranking!AU341</f>
        <v>0.65671641791044766</v>
      </c>
      <c r="U341" s="23"/>
      <c r="Y341" s="3"/>
      <c r="Z341" s="33"/>
    </row>
    <row r="342" spans="1:26" ht="18.75" hidden="1" x14ac:dyDescent="0.25">
      <c r="A342" s="36"/>
      <c r="B342" s="22" t="s">
        <v>356</v>
      </c>
      <c r="C342" s="11"/>
      <c r="D342" s="70"/>
      <c r="E342" s="23"/>
      <c r="F342" s="21" t="s">
        <v>216</v>
      </c>
      <c r="G342" s="14" t="s">
        <v>216</v>
      </c>
      <c r="H342" s="14" t="s">
        <v>216</v>
      </c>
      <c r="I342" s="21" t="s">
        <v>216</v>
      </c>
      <c r="J342" s="14" t="s">
        <v>215</v>
      </c>
      <c r="K342" s="14" t="s">
        <v>216</v>
      </c>
      <c r="L342" s="51" t="s">
        <v>216</v>
      </c>
      <c r="M342" s="14" t="s">
        <v>217</v>
      </c>
      <c r="N342" s="14" t="s">
        <v>217</v>
      </c>
      <c r="O342" s="14"/>
      <c r="P342" s="41"/>
      <c r="Q342" s="14"/>
      <c r="R342" s="14"/>
      <c r="S342" s="14"/>
      <c r="T342" s="43">
        <f>Ranking!AU342</f>
        <v>0.48351648351648346</v>
      </c>
      <c r="U342" s="23"/>
      <c r="Y342" s="3"/>
      <c r="Z342" s="33"/>
    </row>
    <row r="343" spans="1:26" ht="18.75" hidden="1" x14ac:dyDescent="0.25">
      <c r="A343" s="36"/>
      <c r="B343" s="22" t="s">
        <v>357</v>
      </c>
      <c r="C343" s="11"/>
      <c r="D343" s="70"/>
      <c r="E343" s="23"/>
      <c r="F343" s="21" t="s">
        <v>215</v>
      </c>
      <c r="G343" s="14" t="s">
        <v>215</v>
      </c>
      <c r="H343" s="14" t="s">
        <v>215</v>
      </c>
      <c r="I343" s="21" t="s">
        <v>216</v>
      </c>
      <c r="J343" s="14" t="s">
        <v>215</v>
      </c>
      <c r="K343" s="14" t="s">
        <v>215</v>
      </c>
      <c r="L343" s="51" t="s">
        <v>217</v>
      </c>
      <c r="M343" s="14" t="s">
        <v>217</v>
      </c>
      <c r="N343" s="14" t="s">
        <v>217</v>
      </c>
      <c r="O343" s="14"/>
      <c r="P343" s="41"/>
      <c r="Q343" s="14"/>
      <c r="R343" s="14"/>
      <c r="S343" s="14"/>
      <c r="T343" s="43">
        <f>Ranking!AU343</f>
        <v>0.85074626865671632</v>
      </c>
      <c r="U343" s="23"/>
      <c r="Y343" s="3"/>
      <c r="Z343" s="33"/>
    </row>
    <row r="344" spans="1:26" ht="18.75" hidden="1" x14ac:dyDescent="0.25">
      <c r="A344" s="36"/>
      <c r="B344" s="22" t="s">
        <v>358</v>
      </c>
      <c r="C344" s="11"/>
      <c r="D344" s="70"/>
      <c r="E344" s="23"/>
      <c r="F344" s="21" t="s">
        <v>215</v>
      </c>
      <c r="G344" s="14" t="s">
        <v>216</v>
      </c>
      <c r="H344" s="14" t="s">
        <v>216</v>
      </c>
      <c r="I344" s="21" t="s">
        <v>216</v>
      </c>
      <c r="J344" s="14" t="s">
        <v>216</v>
      </c>
      <c r="K344" s="14" t="s">
        <v>215</v>
      </c>
      <c r="L344" s="51" t="s">
        <v>217</v>
      </c>
      <c r="M344" s="14" t="s">
        <v>217</v>
      </c>
      <c r="N344" s="14" t="s">
        <v>217</v>
      </c>
      <c r="O344" s="14"/>
      <c r="P344" s="41"/>
      <c r="Q344" s="14"/>
      <c r="R344" s="14"/>
      <c r="S344" s="14"/>
      <c r="T344" s="43">
        <f>Ranking!AU344</f>
        <v>0.44776119402985071</v>
      </c>
      <c r="U344" s="23"/>
      <c r="Y344" s="3"/>
      <c r="Z344" s="33"/>
    </row>
    <row r="345" spans="1:26" ht="18.75" hidden="1" x14ac:dyDescent="0.25">
      <c r="B345" s="22" t="s">
        <v>359</v>
      </c>
      <c r="C345" s="11"/>
      <c r="D345" s="70"/>
      <c r="E345" s="23"/>
      <c r="F345" s="21" t="s">
        <v>216</v>
      </c>
      <c r="G345" s="14" t="s">
        <v>215</v>
      </c>
      <c r="H345" s="14" t="s">
        <v>215</v>
      </c>
      <c r="I345" s="14" t="s">
        <v>215</v>
      </c>
      <c r="J345" s="14" t="s">
        <v>215</v>
      </c>
      <c r="K345" s="14" t="s">
        <v>215</v>
      </c>
      <c r="L345" s="51" t="s">
        <v>217</v>
      </c>
      <c r="M345" s="14" t="s">
        <v>215</v>
      </c>
      <c r="N345" s="14" t="s">
        <v>216</v>
      </c>
      <c r="O345" s="14"/>
      <c r="P345" s="41"/>
      <c r="Q345" s="14"/>
      <c r="R345" s="14"/>
      <c r="S345" s="14"/>
      <c r="T345" s="43">
        <f>Ranking!AU345</f>
        <v>0.92105263157894723</v>
      </c>
      <c r="U345" s="23"/>
      <c r="Y345" s="3"/>
    </row>
    <row r="346" spans="1:26" ht="18.75" hidden="1" x14ac:dyDescent="0.25">
      <c r="B346" s="22"/>
      <c r="C346" s="11"/>
      <c r="D346" s="70"/>
      <c r="E346" s="23"/>
      <c r="F346" s="21"/>
      <c r="G346" s="14"/>
      <c r="H346" s="14"/>
      <c r="I346" s="21"/>
      <c r="J346" s="14"/>
      <c r="K346" s="14"/>
      <c r="L346" s="51"/>
      <c r="M346" s="14"/>
      <c r="N346" s="14"/>
      <c r="O346" s="14"/>
      <c r="P346" s="14"/>
      <c r="Q346" s="14"/>
      <c r="R346" s="14"/>
      <c r="S346" s="14"/>
      <c r="T346" s="43">
        <f>Ranking!AU346</f>
        <v>1</v>
      </c>
      <c r="U346" s="23"/>
      <c r="Y346" s="3"/>
    </row>
    <row r="347" spans="1:26" ht="17.25" hidden="1" customHeight="1" x14ac:dyDescent="0.25">
      <c r="B347" s="22"/>
      <c r="C347" s="11"/>
      <c r="D347" s="70"/>
      <c r="E347" s="23"/>
      <c r="F347" s="21"/>
      <c r="G347" s="14"/>
      <c r="H347" s="14"/>
      <c r="I347" s="21"/>
      <c r="J347" s="14"/>
      <c r="K347" s="14"/>
      <c r="L347" s="51"/>
      <c r="M347" s="14"/>
      <c r="N347" s="14"/>
      <c r="O347" s="14"/>
      <c r="P347" s="14"/>
      <c r="Q347" s="14"/>
      <c r="R347" s="14"/>
      <c r="S347" s="14"/>
      <c r="T347" s="43">
        <f>Ranking!AU347</f>
        <v>1</v>
      </c>
      <c r="U347" s="23"/>
      <c r="Y347" s="3"/>
    </row>
    <row r="348" spans="1:26" ht="19.5" thickBot="1" x14ac:dyDescent="0.3">
      <c r="B348" s="22"/>
      <c r="C348" s="24"/>
      <c r="D348" s="72"/>
      <c r="E348" s="25"/>
      <c r="F348" s="21"/>
      <c r="G348" s="14"/>
      <c r="H348" s="14"/>
      <c r="I348" s="21"/>
      <c r="J348" s="14"/>
      <c r="K348" s="14"/>
      <c r="L348" s="51"/>
      <c r="M348" s="14"/>
      <c r="N348" s="14"/>
      <c r="O348" s="14"/>
      <c r="P348" s="14"/>
      <c r="Q348" s="14"/>
      <c r="R348" s="14"/>
      <c r="S348" s="14"/>
      <c r="T348" s="43">
        <f>Ranking!AU348</f>
        <v>1</v>
      </c>
      <c r="U348" s="25"/>
      <c r="Y348" s="3"/>
    </row>
    <row r="349" spans="1:26" ht="24.75" hidden="1" customHeight="1" x14ac:dyDescent="0.25">
      <c r="B349" s="15"/>
      <c r="C349" s="16"/>
      <c r="D349" s="16"/>
      <c r="E349" s="16"/>
      <c r="F349" s="12"/>
      <c r="G349" s="12"/>
      <c r="H349" s="12"/>
      <c r="I349" s="26"/>
      <c r="J349" s="26"/>
      <c r="K349" s="26"/>
      <c r="L349" s="55"/>
      <c r="M349" s="26"/>
      <c r="N349" s="26"/>
      <c r="O349" s="26"/>
      <c r="P349" s="26"/>
      <c r="Q349" s="26"/>
      <c r="R349" s="26"/>
      <c r="S349" s="26"/>
      <c r="T349" s="26"/>
      <c r="U349" s="16"/>
      <c r="Y349" s="3"/>
    </row>
    <row r="350" spans="1:26" ht="24.75" hidden="1" customHeight="1" x14ac:dyDescent="0.25">
      <c r="B350" s="9"/>
      <c r="C350" s="11"/>
      <c r="D350" s="11"/>
      <c r="E350" s="11"/>
      <c r="F350" s="12"/>
      <c r="G350" s="12"/>
      <c r="H350" s="12"/>
      <c r="I350" s="12"/>
      <c r="J350" s="12"/>
      <c r="K350" s="12"/>
      <c r="L350" s="56"/>
      <c r="M350" s="12"/>
      <c r="N350" s="12"/>
      <c r="O350" s="12"/>
      <c r="P350" s="12"/>
      <c r="Q350" s="12"/>
      <c r="R350" s="12"/>
      <c r="S350" s="12"/>
      <c r="T350" s="12"/>
      <c r="U350" s="11"/>
      <c r="Y350" s="3"/>
    </row>
    <row r="351" spans="1:26" ht="24.75" hidden="1" customHeight="1" x14ac:dyDescent="0.25">
      <c r="B351" s="9"/>
      <c r="C351" s="11"/>
      <c r="D351" s="11"/>
      <c r="E351" s="11"/>
      <c r="F351" s="12"/>
      <c r="G351" s="12"/>
      <c r="H351" s="12"/>
      <c r="I351" s="12"/>
      <c r="J351" s="12"/>
      <c r="K351" s="12"/>
      <c r="L351" s="56"/>
      <c r="M351" s="12"/>
      <c r="N351" s="12"/>
      <c r="O351" s="12"/>
      <c r="P351" s="12"/>
      <c r="Q351" s="12"/>
      <c r="R351" s="12"/>
      <c r="S351" s="12"/>
      <c r="T351" s="12"/>
      <c r="U351" s="11"/>
      <c r="Y351" s="3"/>
    </row>
    <row r="352" spans="1:26" ht="24.75" hidden="1" customHeight="1" x14ac:dyDescent="0.25">
      <c r="B352" s="9"/>
      <c r="C352" s="11"/>
      <c r="D352" s="11"/>
      <c r="E352" s="11"/>
      <c r="F352" s="12"/>
      <c r="G352" s="12"/>
      <c r="H352" s="12"/>
      <c r="I352" s="12"/>
      <c r="J352" s="12"/>
      <c r="K352" s="12"/>
      <c r="L352" s="56"/>
      <c r="M352" s="12"/>
      <c r="N352" s="12"/>
      <c r="O352" s="12"/>
      <c r="P352" s="12"/>
      <c r="Q352" s="12"/>
      <c r="R352" s="12"/>
      <c r="S352" s="12"/>
      <c r="T352" s="12"/>
      <c r="U352" s="11"/>
      <c r="Y352" s="3"/>
    </row>
    <row r="353" spans="2:25" ht="24.75" hidden="1" customHeight="1" x14ac:dyDescent="0.25">
      <c r="B353" s="9"/>
      <c r="C353" s="11"/>
      <c r="D353" s="11"/>
      <c r="E353" s="11"/>
      <c r="F353" s="12"/>
      <c r="G353" s="12"/>
      <c r="H353" s="12"/>
      <c r="I353" s="12"/>
      <c r="J353" s="12"/>
      <c r="K353" s="12"/>
      <c r="L353" s="56"/>
      <c r="M353" s="12"/>
      <c r="N353" s="12"/>
      <c r="O353" s="12"/>
      <c r="P353" s="12"/>
      <c r="Q353" s="12"/>
      <c r="R353" s="12"/>
      <c r="S353" s="12"/>
      <c r="T353" s="12"/>
      <c r="U353" s="11"/>
      <c r="Y353" s="3"/>
    </row>
    <row r="354" spans="2:25" ht="24.75" hidden="1" customHeight="1" x14ac:dyDescent="0.25">
      <c r="B354" s="9"/>
      <c r="C354" s="11"/>
      <c r="D354" s="11"/>
      <c r="E354" s="11"/>
      <c r="F354" s="12"/>
      <c r="G354" s="12"/>
      <c r="H354" s="12"/>
      <c r="I354" s="12"/>
      <c r="J354" s="12"/>
      <c r="K354" s="12"/>
      <c r="L354" s="56"/>
      <c r="M354" s="12"/>
      <c r="N354" s="12"/>
      <c r="O354" s="12"/>
      <c r="P354" s="12"/>
      <c r="Q354" s="12"/>
      <c r="R354" s="12"/>
      <c r="S354" s="12"/>
      <c r="T354" s="12"/>
      <c r="U354" s="11"/>
      <c r="Y354" s="3"/>
    </row>
    <row r="355" spans="2:25" ht="24.75" hidden="1" customHeight="1" x14ac:dyDescent="0.25">
      <c r="B355" s="9"/>
      <c r="C355" s="11"/>
      <c r="D355" s="11"/>
      <c r="E355" s="11"/>
      <c r="F355" s="12"/>
      <c r="G355" s="12"/>
      <c r="H355" s="12"/>
      <c r="I355" s="12"/>
      <c r="J355" s="12"/>
      <c r="K355" s="12"/>
      <c r="L355" s="56"/>
      <c r="M355" s="12"/>
      <c r="N355" s="12"/>
      <c r="O355" s="12"/>
      <c r="P355" s="12"/>
      <c r="Q355" s="12"/>
      <c r="R355" s="12"/>
      <c r="S355" s="12"/>
      <c r="T355" s="12"/>
      <c r="U355" s="11"/>
      <c r="Y355" s="3"/>
    </row>
    <row r="356" spans="2:25" ht="24.75" hidden="1" customHeight="1" x14ac:dyDescent="0.25">
      <c r="B356" s="9"/>
      <c r="C356" s="11"/>
      <c r="D356" s="11"/>
      <c r="E356" s="11"/>
      <c r="F356" s="12"/>
      <c r="G356" s="12"/>
      <c r="H356" s="12"/>
      <c r="I356" s="12"/>
      <c r="J356" s="12"/>
      <c r="K356" s="12"/>
      <c r="L356" s="56"/>
      <c r="M356" s="12"/>
      <c r="N356" s="12"/>
      <c r="O356" s="12"/>
      <c r="P356" s="12"/>
      <c r="Q356" s="12"/>
      <c r="R356" s="12"/>
      <c r="S356" s="12"/>
      <c r="T356" s="12"/>
      <c r="U356" s="11"/>
      <c r="Y356" s="3"/>
    </row>
    <row r="357" spans="2:25" ht="24.75" hidden="1" customHeight="1" x14ac:dyDescent="0.25">
      <c r="B357" s="9"/>
      <c r="C357" s="11"/>
      <c r="D357" s="11"/>
      <c r="E357" s="11"/>
      <c r="F357" s="12"/>
      <c r="G357" s="12"/>
      <c r="H357" s="12"/>
      <c r="I357" s="12"/>
      <c r="J357" s="12"/>
      <c r="K357" s="12"/>
      <c r="L357" s="56"/>
      <c r="M357" s="12"/>
      <c r="N357" s="12"/>
      <c r="O357" s="12"/>
      <c r="P357" s="12"/>
      <c r="Q357" s="12"/>
      <c r="R357" s="12"/>
      <c r="S357" s="12"/>
      <c r="T357" s="12"/>
      <c r="U357" s="11"/>
      <c r="Y357" s="3"/>
    </row>
    <row r="358" spans="2:25" ht="24.75" hidden="1" customHeight="1" x14ac:dyDescent="0.25">
      <c r="B358" s="9"/>
      <c r="C358" s="11"/>
      <c r="D358" s="11"/>
      <c r="E358" s="11"/>
      <c r="F358" s="12"/>
      <c r="G358" s="12"/>
      <c r="H358" s="12"/>
      <c r="I358" s="12"/>
      <c r="J358" s="12"/>
      <c r="K358" s="12"/>
      <c r="L358" s="56"/>
      <c r="M358" s="12"/>
      <c r="N358" s="12"/>
      <c r="O358" s="12"/>
      <c r="P358" s="12"/>
      <c r="Q358" s="12"/>
      <c r="R358" s="12"/>
      <c r="S358" s="12"/>
      <c r="T358" s="12"/>
      <c r="U358" s="11"/>
      <c r="Y358" s="3"/>
    </row>
    <row r="359" spans="2:25" ht="24.75" hidden="1" customHeight="1" x14ac:dyDescent="0.25">
      <c r="B359" s="9"/>
      <c r="C359" s="11"/>
      <c r="D359" s="11"/>
      <c r="E359" s="11"/>
      <c r="F359" s="12"/>
      <c r="G359" s="12"/>
      <c r="H359" s="12"/>
      <c r="I359" s="12"/>
      <c r="J359" s="12"/>
      <c r="K359" s="12"/>
      <c r="L359" s="56"/>
      <c r="M359" s="12"/>
      <c r="N359" s="12"/>
      <c r="O359" s="12"/>
      <c r="P359" s="12"/>
      <c r="Q359" s="12"/>
      <c r="R359" s="12"/>
      <c r="S359" s="12"/>
      <c r="T359" s="12"/>
      <c r="U359" s="11"/>
      <c r="Y359" s="3"/>
    </row>
    <row r="360" spans="2:25" ht="24.75" hidden="1" customHeight="1" x14ac:dyDescent="0.25">
      <c r="B360" s="9"/>
      <c r="C360" s="11"/>
      <c r="D360" s="11"/>
      <c r="E360" s="11"/>
      <c r="F360" s="12"/>
      <c r="G360" s="12"/>
      <c r="H360" s="12"/>
      <c r="I360" s="12"/>
      <c r="J360" s="12"/>
      <c r="K360" s="12"/>
      <c r="L360" s="56"/>
      <c r="M360" s="12"/>
      <c r="N360" s="12"/>
      <c r="O360" s="12"/>
      <c r="P360" s="12"/>
      <c r="Q360" s="12"/>
      <c r="R360" s="12"/>
      <c r="S360" s="12"/>
      <c r="T360" s="12"/>
      <c r="U360" s="11"/>
      <c r="Y360" s="3"/>
    </row>
    <row r="361" spans="2:25" ht="24.75" hidden="1" customHeight="1" x14ac:dyDescent="0.25">
      <c r="B361" s="9"/>
      <c r="C361" s="11"/>
      <c r="D361" s="11"/>
      <c r="E361" s="11"/>
      <c r="F361" s="12"/>
      <c r="G361" s="12"/>
      <c r="H361" s="12"/>
      <c r="I361" s="12"/>
      <c r="J361" s="12"/>
      <c r="K361" s="12"/>
      <c r="L361" s="56"/>
      <c r="M361" s="12"/>
      <c r="N361" s="12"/>
      <c r="O361" s="12"/>
      <c r="P361" s="12"/>
      <c r="Q361" s="12"/>
      <c r="R361" s="12"/>
      <c r="S361" s="12"/>
      <c r="T361" s="12"/>
      <c r="U361" s="11"/>
      <c r="Y361" s="3"/>
    </row>
    <row r="362" spans="2:25" ht="24.75" hidden="1" customHeight="1" x14ac:dyDescent="0.25">
      <c r="B362" s="9"/>
      <c r="C362" s="11"/>
      <c r="D362" s="11"/>
      <c r="E362" s="11"/>
      <c r="F362" s="12"/>
      <c r="G362" s="12"/>
      <c r="H362" s="12"/>
      <c r="I362" s="12"/>
      <c r="J362" s="12"/>
      <c r="K362" s="12"/>
      <c r="L362" s="56"/>
      <c r="M362" s="12"/>
      <c r="N362" s="12"/>
      <c r="O362" s="12"/>
      <c r="P362" s="12"/>
      <c r="Q362" s="12"/>
      <c r="R362" s="12"/>
      <c r="S362" s="12"/>
      <c r="T362" s="12"/>
      <c r="U362" s="11"/>
      <c r="Y362" s="3"/>
    </row>
    <row r="363" spans="2:25" ht="24.75" hidden="1" customHeight="1" x14ac:dyDescent="0.25">
      <c r="B363" s="9"/>
      <c r="C363" s="11"/>
      <c r="D363" s="11"/>
      <c r="E363" s="11"/>
      <c r="F363" s="12"/>
      <c r="G363" s="12"/>
      <c r="H363" s="12"/>
      <c r="I363" s="12"/>
      <c r="J363" s="12"/>
      <c r="K363" s="12"/>
      <c r="L363" s="56"/>
      <c r="M363" s="12"/>
      <c r="N363" s="12"/>
      <c r="O363" s="12"/>
      <c r="P363" s="12"/>
      <c r="Q363" s="12"/>
      <c r="R363" s="12"/>
      <c r="S363" s="12"/>
      <c r="T363" s="12"/>
      <c r="U363" s="11"/>
      <c r="Y363" s="3"/>
    </row>
    <row r="364" spans="2:25" ht="24.75" hidden="1" customHeight="1" x14ac:dyDescent="0.25">
      <c r="B364" s="9"/>
      <c r="C364" s="11"/>
      <c r="D364" s="11"/>
      <c r="E364" s="11"/>
      <c r="F364" s="12"/>
      <c r="G364" s="12"/>
      <c r="H364" s="12"/>
      <c r="I364" s="12"/>
      <c r="J364" s="12"/>
      <c r="K364" s="12"/>
      <c r="L364" s="56"/>
      <c r="M364" s="12"/>
      <c r="N364" s="12"/>
      <c r="O364" s="12"/>
      <c r="P364" s="12"/>
      <c r="Q364" s="12"/>
      <c r="R364" s="12"/>
      <c r="S364" s="12"/>
      <c r="T364" s="12"/>
      <c r="U364" s="11"/>
      <c r="Y364" s="3"/>
    </row>
    <row r="365" spans="2:25" ht="24.75" hidden="1" customHeight="1" x14ac:dyDescent="0.25">
      <c r="B365" s="9"/>
      <c r="C365" s="11"/>
      <c r="D365" s="11"/>
      <c r="E365" s="11"/>
      <c r="F365" s="12"/>
      <c r="G365" s="12"/>
      <c r="H365" s="12"/>
      <c r="I365" s="12"/>
      <c r="J365" s="12"/>
      <c r="K365" s="12"/>
      <c r="L365" s="56"/>
      <c r="M365" s="12"/>
      <c r="N365" s="12"/>
      <c r="O365" s="12"/>
      <c r="P365" s="12"/>
      <c r="Q365" s="12"/>
      <c r="R365" s="12"/>
      <c r="S365" s="12"/>
      <c r="T365" s="12"/>
      <c r="U365" s="11"/>
      <c r="Y365" s="3"/>
    </row>
    <row r="366" spans="2:25" ht="24.75" hidden="1" customHeight="1" x14ac:dyDescent="0.25">
      <c r="B366" s="9"/>
      <c r="C366" s="11"/>
      <c r="D366" s="11"/>
      <c r="E366" s="11"/>
      <c r="F366" s="12"/>
      <c r="G366" s="12"/>
      <c r="H366" s="12"/>
      <c r="I366" s="12"/>
      <c r="J366" s="12"/>
      <c r="K366" s="12"/>
      <c r="L366" s="56"/>
      <c r="M366" s="12"/>
      <c r="N366" s="12"/>
      <c r="O366" s="12"/>
      <c r="P366" s="12"/>
      <c r="Q366" s="12"/>
      <c r="R366" s="12"/>
      <c r="S366" s="12"/>
      <c r="T366" s="12"/>
      <c r="U366" s="11"/>
      <c r="Y366" s="3"/>
    </row>
    <row r="367" spans="2:25" ht="24.75" hidden="1" customHeight="1" x14ac:dyDescent="0.25">
      <c r="B367" s="9"/>
      <c r="C367" s="11"/>
      <c r="D367" s="11"/>
      <c r="E367" s="11"/>
      <c r="F367" s="12"/>
      <c r="G367" s="12"/>
      <c r="H367" s="12"/>
      <c r="I367" s="12"/>
      <c r="J367" s="12"/>
      <c r="K367" s="12"/>
      <c r="L367" s="56"/>
      <c r="M367" s="12"/>
      <c r="N367" s="12"/>
      <c r="O367" s="12"/>
      <c r="P367" s="12"/>
      <c r="Q367" s="12"/>
      <c r="R367" s="12"/>
      <c r="S367" s="12"/>
      <c r="T367" s="12"/>
      <c r="U367" s="11"/>
      <c r="Y367" s="3"/>
    </row>
    <row r="368" spans="2:25" ht="24.75" hidden="1" customHeight="1" x14ac:dyDescent="0.25">
      <c r="B368" s="9"/>
      <c r="C368" s="11"/>
      <c r="D368" s="11"/>
      <c r="E368" s="11"/>
      <c r="F368" s="12"/>
      <c r="G368" s="12"/>
      <c r="H368" s="12"/>
      <c r="I368" s="12"/>
      <c r="J368" s="12"/>
      <c r="K368" s="12"/>
      <c r="L368" s="56"/>
      <c r="M368" s="12"/>
      <c r="N368" s="12"/>
      <c r="O368" s="12"/>
      <c r="P368" s="12"/>
      <c r="Q368" s="12"/>
      <c r="R368" s="12"/>
      <c r="S368" s="12"/>
      <c r="T368" s="12"/>
      <c r="U368" s="11"/>
      <c r="Y368" s="3"/>
    </row>
    <row r="369" spans="2:25" ht="24.75" hidden="1" customHeight="1" x14ac:dyDescent="0.25">
      <c r="B369" s="9"/>
      <c r="C369" s="11"/>
      <c r="D369" s="11"/>
      <c r="E369" s="11"/>
      <c r="F369" s="12"/>
      <c r="G369" s="12"/>
      <c r="H369" s="12"/>
      <c r="I369" s="12"/>
      <c r="J369" s="12"/>
      <c r="K369" s="12"/>
      <c r="L369" s="56"/>
      <c r="M369" s="12"/>
      <c r="N369" s="12"/>
      <c r="O369" s="12"/>
      <c r="P369" s="12"/>
      <c r="Q369" s="12"/>
      <c r="R369" s="12"/>
      <c r="S369" s="12"/>
      <c r="T369" s="12"/>
      <c r="U369" s="11"/>
      <c r="Y369" s="3"/>
    </row>
    <row r="370" spans="2:25" ht="24.75" hidden="1" customHeight="1" x14ac:dyDescent="0.25">
      <c r="B370" s="9"/>
      <c r="C370" s="11"/>
      <c r="D370" s="11"/>
      <c r="E370" s="11"/>
      <c r="F370" s="12"/>
      <c r="G370" s="12"/>
      <c r="H370" s="12"/>
      <c r="I370" s="12"/>
      <c r="J370" s="12"/>
      <c r="K370" s="12"/>
      <c r="L370" s="56"/>
      <c r="M370" s="12"/>
      <c r="N370" s="12"/>
      <c r="O370" s="12"/>
      <c r="P370" s="12"/>
      <c r="Q370" s="12"/>
      <c r="R370" s="12"/>
      <c r="S370" s="12"/>
      <c r="T370" s="12"/>
      <c r="U370" s="11"/>
      <c r="Y370" s="3"/>
    </row>
    <row r="371" spans="2:25" ht="24.75" hidden="1" customHeight="1" x14ac:dyDescent="0.25">
      <c r="B371" s="9"/>
      <c r="C371" s="11"/>
      <c r="D371" s="11"/>
      <c r="E371" s="11"/>
      <c r="F371" s="12"/>
      <c r="G371" s="12"/>
      <c r="H371" s="12"/>
      <c r="I371" s="12"/>
      <c r="J371" s="12"/>
      <c r="K371" s="12"/>
      <c r="L371" s="56"/>
      <c r="M371" s="12"/>
      <c r="N371" s="12"/>
      <c r="O371" s="12"/>
      <c r="P371" s="12"/>
      <c r="Q371" s="12"/>
      <c r="R371" s="12"/>
      <c r="S371" s="12"/>
      <c r="T371" s="12"/>
      <c r="U371" s="11"/>
      <c r="Y371" s="3"/>
    </row>
    <row r="372" spans="2:25" ht="24.75" hidden="1" customHeight="1" x14ac:dyDescent="0.25">
      <c r="B372" s="9"/>
      <c r="C372" s="11"/>
      <c r="D372" s="11"/>
      <c r="E372" s="11"/>
      <c r="F372" s="12"/>
      <c r="G372" s="12"/>
      <c r="H372" s="12"/>
      <c r="I372" s="12"/>
      <c r="J372" s="12"/>
      <c r="K372" s="12"/>
      <c r="L372" s="56"/>
      <c r="M372" s="12"/>
      <c r="N372" s="12"/>
      <c r="O372" s="12"/>
      <c r="P372" s="12"/>
      <c r="Q372" s="12"/>
      <c r="R372" s="12"/>
      <c r="S372" s="12"/>
      <c r="T372" s="12"/>
      <c r="U372" s="11"/>
      <c r="Y372" s="3"/>
    </row>
    <row r="373" spans="2:25" ht="24.75" hidden="1" customHeight="1" x14ac:dyDescent="0.25">
      <c r="B373" s="9"/>
      <c r="C373" s="11"/>
      <c r="D373" s="11"/>
      <c r="E373" s="11"/>
      <c r="F373" s="12"/>
      <c r="G373" s="12"/>
      <c r="H373" s="12"/>
      <c r="I373" s="12"/>
      <c r="J373" s="12"/>
      <c r="K373" s="12"/>
      <c r="L373" s="56"/>
      <c r="M373" s="12"/>
      <c r="N373" s="12"/>
      <c r="O373" s="12"/>
      <c r="P373" s="12"/>
      <c r="Q373" s="12"/>
      <c r="R373" s="12"/>
      <c r="S373" s="12"/>
      <c r="T373" s="12"/>
      <c r="U373" s="11"/>
      <c r="Y373" s="3"/>
    </row>
    <row r="374" spans="2:25" ht="24.75" hidden="1" customHeight="1" x14ac:dyDescent="0.25">
      <c r="B374" s="9"/>
      <c r="C374" s="11"/>
      <c r="D374" s="11"/>
      <c r="E374" s="11"/>
      <c r="F374" s="12"/>
      <c r="G374" s="12"/>
      <c r="H374" s="12"/>
      <c r="I374" s="12"/>
      <c r="J374" s="12"/>
      <c r="K374" s="12"/>
      <c r="L374" s="56"/>
      <c r="M374" s="12"/>
      <c r="N374" s="12"/>
      <c r="O374" s="12"/>
      <c r="P374" s="12"/>
      <c r="Q374" s="12"/>
      <c r="R374" s="12"/>
      <c r="S374" s="12"/>
      <c r="T374" s="12"/>
      <c r="U374" s="11"/>
      <c r="Y374" s="3"/>
    </row>
    <row r="375" spans="2:25" ht="24.75" hidden="1" customHeight="1" x14ac:dyDescent="0.25">
      <c r="B375" s="9"/>
      <c r="C375" s="11"/>
      <c r="D375" s="11"/>
      <c r="E375" s="11"/>
      <c r="F375" s="12"/>
      <c r="G375" s="12"/>
      <c r="H375" s="12"/>
      <c r="I375" s="12"/>
      <c r="J375" s="12"/>
      <c r="K375" s="12"/>
      <c r="L375" s="56"/>
      <c r="M375" s="12"/>
      <c r="N375" s="12"/>
      <c r="O375" s="12"/>
      <c r="P375" s="12"/>
      <c r="Q375" s="12"/>
      <c r="R375" s="12"/>
      <c r="S375" s="12"/>
      <c r="T375" s="12"/>
      <c r="U375" s="11"/>
      <c r="Y375" s="3"/>
    </row>
    <row r="376" spans="2:25" ht="24.75" hidden="1" customHeight="1" x14ac:dyDescent="0.25">
      <c r="B376" s="9"/>
      <c r="C376" s="11"/>
      <c r="D376" s="11"/>
      <c r="E376" s="11"/>
      <c r="F376" s="12"/>
      <c r="G376" s="12"/>
      <c r="H376" s="12"/>
      <c r="I376" s="12"/>
      <c r="J376" s="12"/>
      <c r="K376" s="12"/>
      <c r="L376" s="56"/>
      <c r="M376" s="12"/>
      <c r="N376" s="12"/>
      <c r="O376" s="12"/>
      <c r="P376" s="12"/>
      <c r="Q376" s="12"/>
      <c r="R376" s="12"/>
      <c r="S376" s="12"/>
      <c r="T376" s="12"/>
      <c r="U376" s="11"/>
      <c r="Y376" s="3"/>
    </row>
    <row r="377" spans="2:25" ht="24.75" hidden="1" customHeight="1" x14ac:dyDescent="0.25">
      <c r="B377" s="9"/>
      <c r="C377" s="11"/>
      <c r="D377" s="11"/>
      <c r="E377" s="11"/>
      <c r="F377" s="12"/>
      <c r="G377" s="12"/>
      <c r="H377" s="12"/>
      <c r="I377" s="12"/>
      <c r="J377" s="12"/>
      <c r="K377" s="12"/>
      <c r="L377" s="56"/>
      <c r="M377" s="12"/>
      <c r="N377" s="12"/>
      <c r="O377" s="12"/>
      <c r="P377" s="12"/>
      <c r="Q377" s="12"/>
      <c r="R377" s="12"/>
      <c r="S377" s="12"/>
      <c r="T377" s="12"/>
      <c r="U377" s="11"/>
      <c r="Y377" s="3"/>
    </row>
    <row r="378" spans="2:25" ht="24.75" hidden="1" customHeight="1" x14ac:dyDescent="0.25">
      <c r="B378" s="9"/>
      <c r="C378" s="11"/>
      <c r="D378" s="11"/>
      <c r="E378" s="11"/>
      <c r="F378" s="12"/>
      <c r="G378" s="12"/>
      <c r="H378" s="12"/>
      <c r="I378" s="12"/>
      <c r="J378" s="12"/>
      <c r="K378" s="12"/>
      <c r="L378" s="56"/>
      <c r="M378" s="12"/>
      <c r="N378" s="12"/>
      <c r="O378" s="12"/>
      <c r="P378" s="12"/>
      <c r="Q378" s="12"/>
      <c r="R378" s="12"/>
      <c r="S378" s="12"/>
      <c r="T378" s="12"/>
      <c r="U378" s="11"/>
      <c r="Y378" s="3"/>
    </row>
    <row r="379" spans="2:25" ht="24.75" hidden="1" customHeight="1" x14ac:dyDescent="0.25">
      <c r="B379" s="9"/>
      <c r="C379" s="11"/>
      <c r="D379" s="11"/>
      <c r="E379" s="11"/>
      <c r="F379" s="12"/>
      <c r="G379" s="12"/>
      <c r="H379" s="12"/>
      <c r="I379" s="12"/>
      <c r="J379" s="12"/>
      <c r="K379" s="12"/>
      <c r="L379" s="56"/>
      <c r="M379" s="12"/>
      <c r="N379" s="12"/>
      <c r="O379" s="12"/>
      <c r="P379" s="12"/>
      <c r="Q379" s="12"/>
      <c r="R379" s="12"/>
      <c r="S379" s="12"/>
      <c r="T379" s="12"/>
      <c r="U379" s="11"/>
      <c r="Y379" s="3"/>
    </row>
    <row r="380" spans="2:25" ht="24.75" hidden="1" customHeight="1" x14ac:dyDescent="0.25">
      <c r="B380" s="9"/>
      <c r="C380" s="11"/>
      <c r="D380" s="11"/>
      <c r="E380" s="11"/>
      <c r="F380" s="12"/>
      <c r="G380" s="12"/>
      <c r="H380" s="12"/>
      <c r="I380" s="12"/>
      <c r="J380" s="12"/>
      <c r="K380" s="12"/>
      <c r="L380" s="56"/>
      <c r="M380" s="12"/>
      <c r="N380" s="12"/>
      <c r="O380" s="12"/>
      <c r="P380" s="12"/>
      <c r="Q380" s="12"/>
      <c r="R380" s="12"/>
      <c r="S380" s="12"/>
      <c r="T380" s="12"/>
      <c r="U380" s="11"/>
      <c r="Y380" s="3"/>
    </row>
    <row r="381" spans="2:25" ht="24.75" hidden="1" customHeight="1" x14ac:dyDescent="0.25">
      <c r="B381" s="9"/>
      <c r="C381" s="11"/>
      <c r="D381" s="11"/>
      <c r="E381" s="11"/>
      <c r="F381" s="12"/>
      <c r="G381" s="12"/>
      <c r="H381" s="12"/>
      <c r="I381" s="12"/>
      <c r="J381" s="12"/>
      <c r="K381" s="12"/>
      <c r="L381" s="56"/>
      <c r="M381" s="12"/>
      <c r="N381" s="12"/>
      <c r="O381" s="12"/>
      <c r="P381" s="12"/>
      <c r="Q381" s="12"/>
      <c r="R381" s="12"/>
      <c r="S381" s="12"/>
      <c r="T381" s="12"/>
      <c r="U381" s="11"/>
      <c r="Y381" s="3"/>
    </row>
    <row r="382" spans="2:25" ht="24.75" hidden="1" customHeight="1" x14ac:dyDescent="0.25">
      <c r="B382" s="9"/>
      <c r="C382" s="11"/>
      <c r="D382" s="11"/>
      <c r="E382" s="11"/>
      <c r="F382" s="12"/>
      <c r="G382" s="12"/>
      <c r="H382" s="12"/>
      <c r="I382" s="12"/>
      <c r="J382" s="12"/>
      <c r="K382" s="12"/>
      <c r="L382" s="56"/>
      <c r="M382" s="12"/>
      <c r="N382" s="12"/>
      <c r="O382" s="12"/>
      <c r="P382" s="12"/>
      <c r="Q382" s="12"/>
      <c r="R382" s="12"/>
      <c r="S382" s="12"/>
      <c r="T382" s="12"/>
      <c r="U382" s="11"/>
      <c r="Y382" s="3"/>
    </row>
    <row r="383" spans="2:25" ht="24.75" hidden="1" customHeight="1" x14ac:dyDescent="0.25">
      <c r="B383" s="9"/>
      <c r="C383" s="11"/>
      <c r="D383" s="11"/>
      <c r="E383" s="11"/>
      <c r="F383" s="12"/>
      <c r="G383" s="12"/>
      <c r="H383" s="12"/>
      <c r="I383" s="12"/>
      <c r="J383" s="12"/>
      <c r="K383" s="12"/>
      <c r="L383" s="56"/>
      <c r="M383" s="12"/>
      <c r="N383" s="12"/>
      <c r="O383" s="12"/>
      <c r="P383" s="12"/>
      <c r="Q383" s="12"/>
      <c r="R383" s="12"/>
      <c r="S383" s="12"/>
      <c r="T383" s="12"/>
      <c r="U383" s="11"/>
      <c r="Y383" s="3"/>
    </row>
    <row r="384" spans="2:25" ht="24.75" hidden="1" customHeight="1" x14ac:dyDescent="0.25">
      <c r="B384" s="9"/>
      <c r="C384" s="11"/>
      <c r="D384" s="11"/>
      <c r="E384" s="11"/>
      <c r="F384" s="12"/>
      <c r="G384" s="12"/>
      <c r="H384" s="12"/>
      <c r="I384" s="12"/>
      <c r="J384" s="12"/>
      <c r="K384" s="12"/>
      <c r="L384" s="56"/>
      <c r="M384" s="12"/>
      <c r="N384" s="12"/>
      <c r="O384" s="12"/>
      <c r="P384" s="12"/>
      <c r="Q384" s="12"/>
      <c r="R384" s="12"/>
      <c r="S384" s="12"/>
      <c r="T384" s="12"/>
      <c r="U384" s="11"/>
      <c r="Y384" s="3"/>
    </row>
    <row r="385" spans="2:25" ht="24.75" hidden="1" customHeight="1" x14ac:dyDescent="0.25">
      <c r="B385" s="9"/>
      <c r="C385" s="11"/>
      <c r="D385" s="11"/>
      <c r="E385" s="11"/>
      <c r="F385" s="12"/>
      <c r="G385" s="12"/>
      <c r="H385" s="12"/>
      <c r="I385" s="12"/>
      <c r="J385" s="12"/>
      <c r="K385" s="12"/>
      <c r="L385" s="56"/>
      <c r="M385" s="12"/>
      <c r="N385" s="12"/>
      <c r="O385" s="12"/>
      <c r="P385" s="12"/>
      <c r="Q385" s="12"/>
      <c r="R385" s="12"/>
      <c r="S385" s="12"/>
      <c r="T385" s="12"/>
      <c r="U385" s="11"/>
      <c r="Y385" s="3"/>
    </row>
    <row r="386" spans="2:25" ht="24.75" hidden="1" customHeight="1" x14ac:dyDescent="0.25">
      <c r="B386" s="9"/>
      <c r="C386" s="11"/>
      <c r="D386" s="11"/>
      <c r="E386" s="11"/>
      <c r="F386" s="12"/>
      <c r="G386" s="12"/>
      <c r="H386" s="12"/>
      <c r="I386" s="12"/>
      <c r="J386" s="12"/>
      <c r="K386" s="12"/>
      <c r="L386" s="56"/>
      <c r="M386" s="12"/>
      <c r="N386" s="12"/>
      <c r="O386" s="12"/>
      <c r="P386" s="12"/>
      <c r="Q386" s="12"/>
      <c r="R386" s="12"/>
      <c r="S386" s="12"/>
      <c r="T386" s="12"/>
      <c r="U386" s="11"/>
      <c r="Y386" s="3"/>
    </row>
    <row r="387" spans="2:25" ht="24.75" hidden="1" customHeight="1" x14ac:dyDescent="0.25">
      <c r="B387" s="9"/>
      <c r="C387" s="11"/>
      <c r="D387" s="11"/>
      <c r="E387" s="11"/>
      <c r="F387" s="12"/>
      <c r="G387" s="12"/>
      <c r="H387" s="12"/>
      <c r="I387" s="12"/>
      <c r="J387" s="12"/>
      <c r="K387" s="12"/>
      <c r="L387" s="56"/>
      <c r="M387" s="12"/>
      <c r="N387" s="12"/>
      <c r="O387" s="12"/>
      <c r="P387" s="12"/>
      <c r="Q387" s="12"/>
      <c r="R387" s="12"/>
      <c r="S387" s="12"/>
      <c r="T387" s="12"/>
      <c r="U387" s="11"/>
      <c r="Y387" s="3"/>
    </row>
    <row r="388" spans="2:25" ht="24.75" hidden="1" customHeight="1" x14ac:dyDescent="0.25">
      <c r="B388" s="9"/>
      <c r="C388" s="11"/>
      <c r="D388" s="11"/>
      <c r="E388" s="11"/>
      <c r="F388" s="12"/>
      <c r="G388" s="12"/>
      <c r="H388" s="12"/>
      <c r="I388" s="12"/>
      <c r="J388" s="12"/>
      <c r="K388" s="12"/>
      <c r="L388" s="56"/>
      <c r="M388" s="12"/>
      <c r="N388" s="12"/>
      <c r="O388" s="12"/>
      <c r="P388" s="12"/>
      <c r="Q388" s="12"/>
      <c r="R388" s="12"/>
      <c r="S388" s="12"/>
      <c r="T388" s="12"/>
      <c r="U388" s="11"/>
      <c r="Y388" s="3"/>
    </row>
    <row r="389" spans="2:25" ht="24.75" hidden="1" customHeight="1" x14ac:dyDescent="0.25">
      <c r="B389" s="9"/>
      <c r="C389" s="11"/>
      <c r="D389" s="11"/>
      <c r="E389" s="11"/>
      <c r="F389" s="12"/>
      <c r="G389" s="12"/>
      <c r="H389" s="12"/>
      <c r="I389" s="12"/>
      <c r="J389" s="12"/>
      <c r="K389" s="12"/>
      <c r="L389" s="56"/>
      <c r="M389" s="12"/>
      <c r="N389" s="12"/>
      <c r="O389" s="12"/>
      <c r="P389" s="12"/>
      <c r="Q389" s="12"/>
      <c r="R389" s="12"/>
      <c r="S389" s="12"/>
      <c r="T389" s="12"/>
      <c r="U389" s="11"/>
      <c r="Y389" s="3"/>
    </row>
    <row r="390" spans="2:25" ht="24.75" hidden="1" customHeight="1" x14ac:dyDescent="0.25">
      <c r="B390" s="9"/>
      <c r="C390" s="11"/>
      <c r="D390" s="11"/>
      <c r="E390" s="11"/>
      <c r="F390" s="12"/>
      <c r="G390" s="12"/>
      <c r="H390" s="12"/>
      <c r="I390" s="12"/>
      <c r="J390" s="12"/>
      <c r="K390" s="12"/>
      <c r="L390" s="56"/>
      <c r="M390" s="12"/>
      <c r="N390" s="12"/>
      <c r="O390" s="12"/>
      <c r="P390" s="12"/>
      <c r="Q390" s="12"/>
      <c r="R390" s="12"/>
      <c r="S390" s="12"/>
      <c r="T390" s="12"/>
      <c r="U390" s="11"/>
      <c r="Y390" s="3"/>
    </row>
    <row r="391" spans="2:25" ht="24.75" hidden="1" customHeight="1" x14ac:dyDescent="0.25">
      <c r="B391" s="9"/>
      <c r="C391" s="11"/>
      <c r="D391" s="11"/>
      <c r="E391" s="11"/>
      <c r="F391" s="12"/>
      <c r="G391" s="12"/>
      <c r="H391" s="12"/>
      <c r="I391" s="12"/>
      <c r="J391" s="12"/>
      <c r="K391" s="12"/>
      <c r="L391" s="56"/>
      <c r="M391" s="12"/>
      <c r="N391" s="12"/>
      <c r="O391" s="12"/>
      <c r="P391" s="12"/>
      <c r="Q391" s="12"/>
      <c r="R391" s="12"/>
      <c r="S391" s="12"/>
      <c r="T391" s="12"/>
      <c r="U391" s="11"/>
      <c r="Y391" s="3"/>
    </row>
    <row r="392" spans="2:25" ht="24.75" hidden="1" customHeight="1" x14ac:dyDescent="0.25">
      <c r="B392" s="9"/>
      <c r="C392" s="11"/>
      <c r="D392" s="11"/>
      <c r="E392" s="11"/>
      <c r="F392" s="12"/>
      <c r="G392" s="12"/>
      <c r="H392" s="12"/>
      <c r="I392" s="12"/>
      <c r="J392" s="12"/>
      <c r="K392" s="12"/>
      <c r="L392" s="56"/>
      <c r="M392" s="12"/>
      <c r="N392" s="12"/>
      <c r="O392" s="12"/>
      <c r="P392" s="12"/>
      <c r="Q392" s="12"/>
      <c r="R392" s="12"/>
      <c r="S392" s="12"/>
      <c r="T392" s="12"/>
      <c r="U392" s="11"/>
      <c r="Y392" s="3"/>
    </row>
    <row r="393" spans="2:25" ht="24.75" hidden="1" customHeight="1" x14ac:dyDescent="0.25">
      <c r="B393" s="9"/>
      <c r="C393" s="11"/>
      <c r="D393" s="11"/>
      <c r="E393" s="11"/>
      <c r="F393" s="12"/>
      <c r="G393" s="12"/>
      <c r="H393" s="12"/>
      <c r="I393" s="12"/>
      <c r="J393" s="12"/>
      <c r="K393" s="12"/>
      <c r="L393" s="56"/>
      <c r="M393" s="12"/>
      <c r="N393" s="12"/>
      <c r="O393" s="12"/>
      <c r="P393" s="12"/>
      <c r="Q393" s="12"/>
      <c r="R393" s="12"/>
      <c r="S393" s="12"/>
      <c r="T393" s="12"/>
      <c r="U393" s="11"/>
      <c r="Y393" s="3"/>
    </row>
    <row r="394" spans="2:25" ht="24.75" hidden="1" customHeight="1" x14ac:dyDescent="0.25">
      <c r="B394" s="9"/>
      <c r="C394" s="11"/>
      <c r="D394" s="11"/>
      <c r="E394" s="11"/>
      <c r="F394" s="12"/>
      <c r="G394" s="12"/>
      <c r="H394" s="12"/>
      <c r="I394" s="12"/>
      <c r="J394" s="12"/>
      <c r="K394" s="12"/>
      <c r="L394" s="56"/>
      <c r="M394" s="12"/>
      <c r="N394" s="12"/>
      <c r="O394" s="12"/>
      <c r="P394" s="12"/>
      <c r="Q394" s="12"/>
      <c r="R394" s="12"/>
      <c r="S394" s="12"/>
      <c r="T394" s="12"/>
      <c r="U394" s="11"/>
      <c r="Y394" s="3"/>
    </row>
    <row r="395" spans="2:25" ht="24.75" hidden="1" customHeight="1" x14ac:dyDescent="0.25">
      <c r="B395" s="9"/>
      <c r="C395" s="11"/>
      <c r="D395" s="11"/>
      <c r="E395" s="11"/>
      <c r="F395" s="12"/>
      <c r="G395" s="12"/>
      <c r="H395" s="12"/>
      <c r="I395" s="12"/>
      <c r="J395" s="12"/>
      <c r="K395" s="12"/>
      <c r="L395" s="56"/>
      <c r="M395" s="12"/>
      <c r="N395" s="12"/>
      <c r="O395" s="12"/>
      <c r="P395" s="12"/>
      <c r="Q395" s="12"/>
      <c r="R395" s="12"/>
      <c r="S395" s="12"/>
      <c r="T395" s="12"/>
      <c r="U395" s="11"/>
      <c r="Y395" s="3"/>
    </row>
    <row r="396" spans="2:25" ht="24.75" hidden="1" customHeight="1" x14ac:dyDescent="0.25">
      <c r="B396" s="9"/>
      <c r="C396" s="11"/>
      <c r="D396" s="11"/>
      <c r="E396" s="11"/>
      <c r="F396" s="12"/>
      <c r="G396" s="12"/>
      <c r="H396" s="12"/>
      <c r="I396" s="12"/>
      <c r="J396" s="12"/>
      <c r="K396" s="12"/>
      <c r="L396" s="56"/>
      <c r="M396" s="12"/>
      <c r="N396" s="12"/>
      <c r="O396" s="12"/>
      <c r="P396" s="12"/>
      <c r="Q396" s="12"/>
      <c r="R396" s="12"/>
      <c r="S396" s="12"/>
      <c r="T396" s="12"/>
      <c r="U396" s="11"/>
      <c r="Y396" s="3"/>
    </row>
    <row r="397" spans="2:25" ht="24.75" hidden="1" customHeight="1" x14ac:dyDescent="0.25">
      <c r="B397" s="9"/>
      <c r="C397" s="11"/>
      <c r="D397" s="11"/>
      <c r="E397" s="11"/>
      <c r="F397" s="12"/>
      <c r="G397" s="12"/>
      <c r="H397" s="12"/>
      <c r="I397" s="12"/>
      <c r="J397" s="12"/>
      <c r="K397" s="12"/>
      <c r="L397" s="56"/>
      <c r="M397" s="12"/>
      <c r="N397" s="12"/>
      <c r="O397" s="12"/>
      <c r="P397" s="12"/>
      <c r="Q397" s="12"/>
      <c r="R397" s="12"/>
      <c r="S397" s="12"/>
      <c r="T397" s="12"/>
      <c r="U397" s="11"/>
      <c r="Y397" s="3"/>
    </row>
    <row r="398" spans="2:25" ht="24.75" hidden="1" customHeight="1" x14ac:dyDescent="0.25">
      <c r="B398" s="9"/>
      <c r="C398" s="11"/>
      <c r="D398" s="11"/>
      <c r="E398" s="11"/>
      <c r="F398" s="12"/>
      <c r="G398" s="12"/>
      <c r="H398" s="12"/>
      <c r="I398" s="12"/>
      <c r="J398" s="12"/>
      <c r="K398" s="12"/>
      <c r="L398" s="56"/>
      <c r="M398" s="12"/>
      <c r="N398" s="12"/>
      <c r="O398" s="12"/>
      <c r="P398" s="12"/>
      <c r="Q398" s="12"/>
      <c r="R398" s="12"/>
      <c r="S398" s="12"/>
      <c r="T398" s="12"/>
      <c r="U398" s="11"/>
      <c r="Y398" s="3"/>
    </row>
    <row r="399" spans="2:25" ht="24.75" hidden="1" customHeight="1" x14ac:dyDescent="0.25">
      <c r="B399" s="9"/>
      <c r="C399" s="11"/>
      <c r="D399" s="11"/>
      <c r="E399" s="11"/>
      <c r="F399" s="12"/>
      <c r="G399" s="12"/>
      <c r="H399" s="12"/>
      <c r="I399" s="12"/>
      <c r="J399" s="12"/>
      <c r="K399" s="12"/>
      <c r="L399" s="56"/>
      <c r="M399" s="12"/>
      <c r="N399" s="12"/>
      <c r="O399" s="12"/>
      <c r="P399" s="12"/>
      <c r="Q399" s="12"/>
      <c r="R399" s="12"/>
      <c r="S399" s="12"/>
      <c r="T399" s="12"/>
      <c r="U399" s="11"/>
      <c r="Y399" s="3"/>
    </row>
    <row r="400" spans="2:25" ht="24.75" hidden="1" customHeight="1" x14ac:dyDescent="0.25">
      <c r="B400" s="9"/>
      <c r="C400" s="11"/>
      <c r="D400" s="11"/>
      <c r="E400" s="11"/>
      <c r="F400" s="12"/>
      <c r="G400" s="12"/>
      <c r="H400" s="12"/>
      <c r="I400" s="12"/>
      <c r="J400" s="12"/>
      <c r="K400" s="12"/>
      <c r="L400" s="56"/>
      <c r="M400" s="12"/>
      <c r="N400" s="12"/>
      <c r="O400" s="12"/>
      <c r="P400" s="12"/>
      <c r="Q400" s="12"/>
      <c r="R400" s="12"/>
      <c r="S400" s="12"/>
      <c r="T400" s="12"/>
      <c r="U400" s="11"/>
      <c r="Y400" s="3"/>
    </row>
    <row r="401" spans="2:25" ht="24.75" hidden="1" customHeight="1" x14ac:dyDescent="0.25">
      <c r="B401" s="9"/>
      <c r="C401" s="11"/>
      <c r="D401" s="11"/>
      <c r="E401" s="11"/>
      <c r="F401" s="12"/>
      <c r="G401" s="12"/>
      <c r="H401" s="12"/>
      <c r="I401" s="12"/>
      <c r="J401" s="12"/>
      <c r="K401" s="12"/>
      <c r="L401" s="56"/>
      <c r="M401" s="12"/>
      <c r="N401" s="12"/>
      <c r="O401" s="12"/>
      <c r="P401" s="12"/>
      <c r="Q401" s="12"/>
      <c r="R401" s="12"/>
      <c r="S401" s="12"/>
      <c r="T401" s="12"/>
      <c r="U401" s="11"/>
      <c r="Y401" s="3"/>
    </row>
    <row r="402" spans="2:25" ht="24.75" hidden="1" customHeight="1" x14ac:dyDescent="0.25">
      <c r="B402" s="9"/>
      <c r="C402" s="11"/>
      <c r="D402" s="11"/>
      <c r="E402" s="11"/>
      <c r="F402" s="12"/>
      <c r="G402" s="12"/>
      <c r="H402" s="12"/>
      <c r="I402" s="12"/>
      <c r="J402" s="12"/>
      <c r="K402" s="12"/>
      <c r="L402" s="56"/>
      <c r="M402" s="12"/>
      <c r="N402" s="12"/>
      <c r="O402" s="12"/>
      <c r="P402" s="12"/>
      <c r="Q402" s="12"/>
      <c r="R402" s="12"/>
      <c r="S402" s="12"/>
      <c r="T402" s="12"/>
      <c r="U402" s="11"/>
      <c r="Y402" s="3"/>
    </row>
    <row r="403" spans="2:25" ht="24.75" hidden="1" customHeight="1" x14ac:dyDescent="0.25">
      <c r="B403" s="9"/>
      <c r="C403" s="11"/>
      <c r="D403" s="11"/>
      <c r="E403" s="11"/>
      <c r="F403" s="12"/>
      <c r="G403" s="12"/>
      <c r="H403" s="12"/>
      <c r="I403" s="12"/>
      <c r="J403" s="12"/>
      <c r="K403" s="12"/>
      <c r="L403" s="56"/>
      <c r="M403" s="12"/>
      <c r="N403" s="12"/>
      <c r="O403" s="12"/>
      <c r="P403" s="12"/>
      <c r="Q403" s="12"/>
      <c r="R403" s="12"/>
      <c r="S403" s="12"/>
      <c r="T403" s="12"/>
      <c r="U403" s="11"/>
      <c r="Y403" s="3"/>
    </row>
    <row r="404" spans="2:25" ht="24.75" hidden="1" customHeight="1" x14ac:dyDescent="0.25">
      <c r="B404" s="9"/>
      <c r="C404" s="11"/>
      <c r="D404" s="11"/>
      <c r="E404" s="11"/>
      <c r="F404" s="12"/>
      <c r="G404" s="12"/>
      <c r="H404" s="12"/>
      <c r="I404" s="12"/>
      <c r="J404" s="12"/>
      <c r="K404" s="12"/>
      <c r="L404" s="56"/>
      <c r="M404" s="12"/>
      <c r="N404" s="12"/>
      <c r="O404" s="12"/>
      <c r="P404" s="12"/>
      <c r="Q404" s="12"/>
      <c r="R404" s="12"/>
      <c r="S404" s="12"/>
      <c r="T404" s="12"/>
      <c r="U404" s="11"/>
      <c r="Y404" s="3"/>
    </row>
    <row r="405" spans="2:25" ht="24.75" hidden="1" customHeight="1" x14ac:dyDescent="0.25">
      <c r="B405" s="9"/>
      <c r="C405" s="11"/>
      <c r="D405" s="11"/>
      <c r="E405" s="11"/>
      <c r="F405" s="12"/>
      <c r="G405" s="12"/>
      <c r="H405" s="12"/>
      <c r="I405" s="12"/>
      <c r="J405" s="12"/>
      <c r="K405" s="12"/>
      <c r="L405" s="56"/>
      <c r="M405" s="12"/>
      <c r="N405" s="12"/>
      <c r="O405" s="12"/>
      <c r="P405" s="12"/>
      <c r="Q405" s="12"/>
      <c r="R405" s="12"/>
      <c r="S405" s="12"/>
      <c r="T405" s="12"/>
      <c r="U405" s="11"/>
      <c r="Y405" s="3"/>
    </row>
    <row r="406" spans="2:25" ht="24.75" hidden="1" customHeight="1" x14ac:dyDescent="0.25">
      <c r="B406" s="9"/>
      <c r="C406" s="11"/>
      <c r="D406" s="11"/>
      <c r="E406" s="11"/>
      <c r="F406" s="12"/>
      <c r="G406" s="12"/>
      <c r="H406" s="12"/>
      <c r="I406" s="12"/>
      <c r="J406" s="12"/>
      <c r="K406" s="12"/>
      <c r="L406" s="56"/>
      <c r="M406" s="12"/>
      <c r="N406" s="12"/>
      <c r="O406" s="12"/>
      <c r="P406" s="12"/>
      <c r="Q406" s="12"/>
      <c r="R406" s="12"/>
      <c r="S406" s="12"/>
      <c r="T406" s="12"/>
      <c r="U406" s="11"/>
      <c r="Y406" s="3"/>
    </row>
    <row r="407" spans="2:25" ht="24.75" hidden="1" customHeight="1" x14ac:dyDescent="0.25">
      <c r="B407" s="9"/>
      <c r="C407" s="11"/>
      <c r="D407" s="11"/>
      <c r="E407" s="11"/>
      <c r="F407" s="12"/>
      <c r="G407" s="12"/>
      <c r="H407" s="12"/>
      <c r="I407" s="12"/>
      <c r="J407" s="12"/>
      <c r="K407" s="12"/>
      <c r="L407" s="56"/>
      <c r="M407" s="12"/>
      <c r="N407" s="12"/>
      <c r="O407" s="12"/>
      <c r="P407" s="12"/>
      <c r="Q407" s="12"/>
      <c r="R407" s="12"/>
      <c r="S407" s="12"/>
      <c r="T407" s="12"/>
      <c r="U407" s="11"/>
      <c r="Y407" s="3"/>
    </row>
    <row r="408" spans="2:25" ht="24.75" hidden="1" customHeight="1" x14ac:dyDescent="0.25">
      <c r="B408" s="9"/>
      <c r="C408" s="11"/>
      <c r="D408" s="11"/>
      <c r="E408" s="11"/>
      <c r="F408" s="12"/>
      <c r="G408" s="12"/>
      <c r="H408" s="12"/>
      <c r="I408" s="12"/>
      <c r="J408" s="12"/>
      <c r="K408" s="12"/>
      <c r="L408" s="56"/>
      <c r="M408" s="12"/>
      <c r="N408" s="12"/>
      <c r="O408" s="12"/>
      <c r="P408" s="12"/>
      <c r="Q408" s="12"/>
      <c r="R408" s="12"/>
      <c r="S408" s="12"/>
      <c r="T408" s="12"/>
      <c r="U408" s="11"/>
      <c r="Y408" s="3"/>
    </row>
    <row r="409" spans="2:25" ht="24.75" hidden="1" customHeight="1" x14ac:dyDescent="0.25">
      <c r="B409" s="9"/>
      <c r="C409" s="11"/>
      <c r="D409" s="11"/>
      <c r="E409" s="11"/>
      <c r="F409" s="12"/>
      <c r="G409" s="12"/>
      <c r="H409" s="12"/>
      <c r="I409" s="12"/>
      <c r="J409" s="12"/>
      <c r="K409" s="12"/>
      <c r="L409" s="56"/>
      <c r="M409" s="12"/>
      <c r="N409" s="12"/>
      <c r="O409" s="12"/>
      <c r="P409" s="12"/>
      <c r="Q409" s="12"/>
      <c r="R409" s="12"/>
      <c r="S409" s="12"/>
      <c r="T409" s="12"/>
      <c r="U409" s="11"/>
      <c r="Y409" s="3"/>
    </row>
    <row r="410" spans="2:25" ht="24.75" hidden="1" customHeight="1" x14ac:dyDescent="0.25">
      <c r="B410" s="9"/>
      <c r="C410" s="11"/>
      <c r="D410" s="11"/>
      <c r="E410" s="11"/>
      <c r="F410" s="12"/>
      <c r="G410" s="12"/>
      <c r="H410" s="12"/>
      <c r="I410" s="12"/>
      <c r="J410" s="12"/>
      <c r="K410" s="12"/>
      <c r="L410" s="56"/>
      <c r="M410" s="12"/>
      <c r="N410" s="12"/>
      <c r="O410" s="12"/>
      <c r="P410" s="12"/>
      <c r="Q410" s="12"/>
      <c r="R410" s="12"/>
      <c r="S410" s="12"/>
      <c r="T410" s="12"/>
      <c r="U410" s="11"/>
      <c r="Y410" s="3"/>
    </row>
    <row r="411" spans="2:25" ht="24.75" hidden="1" customHeight="1" x14ac:dyDescent="0.25">
      <c r="B411" s="9"/>
      <c r="C411" s="11"/>
      <c r="D411" s="11"/>
      <c r="E411" s="11"/>
      <c r="F411" s="12"/>
      <c r="G411" s="12"/>
      <c r="H411" s="12"/>
      <c r="I411" s="12"/>
      <c r="J411" s="12"/>
      <c r="K411" s="12"/>
      <c r="L411" s="56"/>
      <c r="M411" s="12"/>
      <c r="N411" s="12"/>
      <c r="O411" s="12"/>
      <c r="P411" s="12"/>
      <c r="Q411" s="12"/>
      <c r="R411" s="12"/>
      <c r="S411" s="12"/>
      <c r="T411" s="12"/>
      <c r="U411" s="11"/>
      <c r="Y411" s="3"/>
    </row>
    <row r="412" spans="2:25" ht="24.75" hidden="1" customHeight="1" x14ac:dyDescent="0.25">
      <c r="B412" s="9"/>
      <c r="C412" s="11"/>
      <c r="D412" s="11"/>
      <c r="E412" s="11"/>
      <c r="F412" s="12"/>
      <c r="G412" s="12"/>
      <c r="H412" s="12"/>
      <c r="I412" s="12"/>
      <c r="J412" s="12"/>
      <c r="K412" s="12"/>
      <c r="L412" s="56"/>
      <c r="M412" s="12"/>
      <c r="N412" s="12"/>
      <c r="O412" s="12"/>
      <c r="P412" s="12"/>
      <c r="Q412" s="12"/>
      <c r="R412" s="12"/>
      <c r="S412" s="12"/>
      <c r="T412" s="12"/>
      <c r="U412" s="11"/>
      <c r="Y412" s="3"/>
    </row>
    <row r="413" spans="2:25" ht="24.75" hidden="1" customHeight="1" x14ac:dyDescent="0.25">
      <c r="B413" s="9"/>
      <c r="C413" s="11"/>
      <c r="D413" s="11"/>
      <c r="E413" s="11"/>
      <c r="F413" s="12"/>
      <c r="G413" s="12"/>
      <c r="H413" s="12"/>
      <c r="I413" s="12"/>
      <c r="J413" s="12"/>
      <c r="K413" s="12"/>
      <c r="L413" s="56"/>
      <c r="M413" s="12"/>
      <c r="N413" s="12"/>
      <c r="O413" s="12"/>
      <c r="P413" s="12"/>
      <c r="Q413" s="12"/>
      <c r="R413" s="12"/>
      <c r="S413" s="12"/>
      <c r="T413" s="12"/>
      <c r="U413" s="11"/>
      <c r="Y413" s="3"/>
    </row>
    <row r="414" spans="2:25" ht="24.75" hidden="1" customHeight="1" x14ac:dyDescent="0.25">
      <c r="B414" s="9"/>
      <c r="C414" s="11"/>
      <c r="D414" s="11"/>
      <c r="E414" s="11"/>
      <c r="F414" s="12"/>
      <c r="G414" s="12"/>
      <c r="H414" s="12"/>
      <c r="I414" s="12"/>
      <c r="J414" s="12"/>
      <c r="K414" s="12"/>
      <c r="L414" s="56"/>
      <c r="M414" s="12"/>
      <c r="N414" s="12"/>
      <c r="O414" s="12"/>
      <c r="P414" s="12"/>
      <c r="Q414" s="12"/>
      <c r="R414" s="12"/>
      <c r="S414" s="12"/>
      <c r="T414" s="12"/>
      <c r="U414" s="11"/>
      <c r="Y414" s="3"/>
    </row>
    <row r="415" spans="2:25" ht="24.75" hidden="1" customHeight="1" x14ac:dyDescent="0.25">
      <c r="B415" s="9"/>
      <c r="C415" s="11"/>
      <c r="D415" s="11"/>
      <c r="E415" s="11"/>
      <c r="F415" s="12"/>
      <c r="G415" s="12"/>
      <c r="H415" s="12"/>
      <c r="I415" s="12"/>
      <c r="J415" s="12"/>
      <c r="K415" s="12"/>
      <c r="L415" s="56"/>
      <c r="M415" s="12"/>
      <c r="N415" s="12"/>
      <c r="O415" s="12"/>
      <c r="P415" s="12"/>
      <c r="Q415" s="12"/>
      <c r="R415" s="12"/>
      <c r="S415" s="12"/>
      <c r="T415" s="12"/>
      <c r="U415" s="11"/>
      <c r="Y415" s="3"/>
    </row>
    <row r="416" spans="2:25" ht="24.75" hidden="1" customHeight="1" x14ac:dyDescent="0.25">
      <c r="B416" s="9"/>
      <c r="C416" s="11"/>
      <c r="D416" s="11"/>
      <c r="E416" s="11"/>
      <c r="F416" s="12"/>
      <c r="G416" s="12"/>
      <c r="H416" s="12"/>
      <c r="I416" s="12"/>
      <c r="J416" s="12"/>
      <c r="K416" s="12"/>
      <c r="L416" s="56"/>
      <c r="M416" s="12"/>
      <c r="N416" s="12"/>
      <c r="O416" s="12"/>
      <c r="P416" s="12"/>
      <c r="Q416" s="12"/>
      <c r="R416" s="12"/>
      <c r="S416" s="12"/>
      <c r="T416" s="12"/>
      <c r="U416" s="11"/>
      <c r="Y416" s="3"/>
    </row>
    <row r="417" spans="2:25" ht="24.75" hidden="1" customHeight="1" x14ac:dyDescent="0.25">
      <c r="B417" s="9"/>
      <c r="C417" s="11"/>
      <c r="D417" s="11"/>
      <c r="E417" s="11"/>
      <c r="F417" s="12"/>
      <c r="G417" s="12"/>
      <c r="H417" s="12"/>
      <c r="I417" s="12"/>
      <c r="J417" s="12"/>
      <c r="K417" s="12"/>
      <c r="L417" s="56"/>
      <c r="M417" s="12"/>
      <c r="N417" s="12"/>
      <c r="O417" s="12"/>
      <c r="P417" s="12"/>
      <c r="Q417" s="12"/>
      <c r="R417" s="12"/>
      <c r="S417" s="12"/>
      <c r="T417" s="12"/>
      <c r="U417" s="11"/>
      <c r="Y417" s="3"/>
    </row>
    <row r="418" spans="2:25" ht="24.75" hidden="1" customHeight="1" x14ac:dyDescent="0.25">
      <c r="B418" s="9"/>
      <c r="C418" s="11"/>
      <c r="D418" s="11"/>
      <c r="E418" s="11"/>
      <c r="F418" s="12"/>
      <c r="G418" s="12"/>
      <c r="H418" s="12"/>
      <c r="I418" s="12"/>
      <c r="J418" s="12"/>
      <c r="K418" s="12"/>
      <c r="L418" s="56"/>
      <c r="M418" s="12"/>
      <c r="N418" s="12"/>
      <c r="O418" s="12"/>
      <c r="P418" s="12"/>
      <c r="Q418" s="12"/>
      <c r="R418" s="12"/>
      <c r="S418" s="12"/>
      <c r="T418" s="12"/>
      <c r="U418" s="11"/>
      <c r="Y418" s="3"/>
    </row>
    <row r="419" spans="2:25" ht="24.75" hidden="1" customHeight="1" x14ac:dyDescent="0.25">
      <c r="B419" s="9"/>
      <c r="C419" s="11"/>
      <c r="D419" s="11"/>
      <c r="E419" s="11"/>
      <c r="F419" s="12"/>
      <c r="G419" s="12"/>
      <c r="H419" s="12"/>
      <c r="I419" s="12"/>
      <c r="J419" s="12"/>
      <c r="K419" s="12"/>
      <c r="L419" s="56"/>
      <c r="M419" s="12"/>
      <c r="N419" s="12"/>
      <c r="O419" s="12"/>
      <c r="P419" s="12"/>
      <c r="Q419" s="12"/>
      <c r="R419" s="12"/>
      <c r="S419" s="12"/>
      <c r="T419" s="12"/>
      <c r="U419" s="11"/>
      <c r="Y419" s="3"/>
    </row>
    <row r="420" spans="2:25" ht="24.75" hidden="1" customHeight="1" x14ac:dyDescent="0.25">
      <c r="B420" s="9"/>
      <c r="C420" s="11"/>
      <c r="D420" s="11"/>
      <c r="E420" s="11"/>
      <c r="F420" s="12"/>
      <c r="G420" s="12"/>
      <c r="H420" s="12"/>
      <c r="I420" s="12"/>
      <c r="J420" s="12"/>
      <c r="K420" s="12"/>
      <c r="L420" s="56"/>
      <c r="M420" s="12"/>
      <c r="N420" s="12"/>
      <c r="O420" s="12"/>
      <c r="P420" s="12"/>
      <c r="Q420" s="12"/>
      <c r="R420" s="12"/>
      <c r="S420" s="12"/>
      <c r="T420" s="12"/>
      <c r="U420" s="11"/>
      <c r="Y420" s="3"/>
    </row>
    <row r="421" spans="2:25" ht="24.75" hidden="1" customHeight="1" x14ac:dyDescent="0.25">
      <c r="B421" s="9"/>
      <c r="C421" s="11"/>
      <c r="D421" s="11"/>
      <c r="E421" s="11"/>
      <c r="F421" s="12"/>
      <c r="G421" s="12"/>
      <c r="H421" s="12"/>
      <c r="I421" s="12"/>
      <c r="J421" s="12"/>
      <c r="K421" s="12"/>
      <c r="L421" s="56"/>
      <c r="M421" s="12"/>
      <c r="N421" s="12"/>
      <c r="O421" s="12"/>
      <c r="P421" s="12"/>
      <c r="Q421" s="12"/>
      <c r="R421" s="12"/>
      <c r="S421" s="12"/>
      <c r="T421" s="12"/>
      <c r="U421" s="11"/>
      <c r="Y421" s="3"/>
    </row>
    <row r="422" spans="2:25" ht="24.75" hidden="1" customHeight="1" x14ac:dyDescent="0.25">
      <c r="B422" s="9"/>
      <c r="C422" s="11"/>
      <c r="D422" s="11"/>
      <c r="E422" s="11"/>
      <c r="F422" s="12"/>
      <c r="G422" s="12"/>
      <c r="H422" s="12"/>
      <c r="I422" s="12"/>
      <c r="J422" s="12"/>
      <c r="K422" s="12"/>
      <c r="L422" s="56"/>
      <c r="M422" s="12"/>
      <c r="N422" s="12"/>
      <c r="O422" s="12"/>
      <c r="P422" s="12"/>
      <c r="Q422" s="12"/>
      <c r="R422" s="12"/>
      <c r="S422" s="12"/>
      <c r="T422" s="12"/>
      <c r="U422" s="11"/>
      <c r="Y422" s="3"/>
    </row>
    <row r="423" spans="2:25" ht="24.75" hidden="1" customHeight="1" x14ac:dyDescent="0.25">
      <c r="B423" s="9"/>
      <c r="C423" s="11"/>
      <c r="D423" s="11"/>
      <c r="E423" s="11"/>
      <c r="F423" s="12"/>
      <c r="G423" s="12"/>
      <c r="H423" s="12"/>
      <c r="I423" s="12"/>
      <c r="J423" s="12"/>
      <c r="K423" s="12"/>
      <c r="L423" s="56"/>
      <c r="M423" s="12"/>
      <c r="N423" s="12"/>
      <c r="O423" s="12"/>
      <c r="P423" s="12"/>
      <c r="Q423" s="12"/>
      <c r="R423" s="12"/>
      <c r="S423" s="12"/>
      <c r="T423" s="12"/>
      <c r="U423" s="11"/>
      <c r="Y423" s="3"/>
    </row>
    <row r="424" spans="2:25" ht="24.75" hidden="1" customHeight="1" x14ac:dyDescent="0.25">
      <c r="B424" s="9"/>
      <c r="C424" s="11"/>
      <c r="D424" s="11"/>
      <c r="E424" s="11"/>
      <c r="F424" s="12"/>
      <c r="G424" s="12"/>
      <c r="H424" s="12"/>
      <c r="I424" s="12"/>
      <c r="J424" s="12"/>
      <c r="K424" s="12"/>
      <c r="L424" s="56"/>
      <c r="M424" s="12"/>
      <c r="N424" s="12"/>
      <c r="O424" s="12"/>
      <c r="P424" s="12"/>
      <c r="Q424" s="12"/>
      <c r="R424" s="12"/>
      <c r="S424" s="12"/>
      <c r="T424" s="12"/>
      <c r="U424" s="11"/>
      <c r="Y424" s="3"/>
    </row>
    <row r="425" spans="2:25" ht="24.75" hidden="1" customHeight="1" x14ac:dyDescent="0.25">
      <c r="B425" s="9"/>
      <c r="C425" s="11"/>
      <c r="D425" s="11"/>
      <c r="E425" s="11"/>
      <c r="F425" s="12"/>
      <c r="G425" s="12"/>
      <c r="H425" s="12"/>
      <c r="I425" s="12"/>
      <c r="J425" s="12"/>
      <c r="K425" s="12"/>
      <c r="L425" s="56"/>
      <c r="M425" s="12"/>
      <c r="N425" s="12"/>
      <c r="O425" s="12"/>
      <c r="P425" s="12"/>
      <c r="Q425" s="12"/>
      <c r="R425" s="12"/>
      <c r="S425" s="12"/>
      <c r="T425" s="12"/>
      <c r="U425" s="11"/>
      <c r="Y425" s="3"/>
    </row>
    <row r="426" spans="2:25" ht="24.75" hidden="1" customHeight="1" x14ac:dyDescent="0.25">
      <c r="B426" s="9"/>
      <c r="C426" s="11"/>
      <c r="D426" s="11"/>
      <c r="E426" s="11"/>
      <c r="F426" s="12"/>
      <c r="G426" s="12"/>
      <c r="H426" s="12"/>
      <c r="I426" s="12"/>
      <c r="J426" s="12"/>
      <c r="K426" s="12"/>
      <c r="L426" s="56"/>
      <c r="M426" s="12"/>
      <c r="N426" s="12"/>
      <c r="O426" s="12"/>
      <c r="P426" s="12"/>
      <c r="Q426" s="12"/>
      <c r="R426" s="12"/>
      <c r="S426" s="12"/>
      <c r="T426" s="12"/>
      <c r="U426" s="11"/>
      <c r="Y426" s="3"/>
    </row>
    <row r="427" spans="2:25" ht="24.75" hidden="1" customHeight="1" x14ac:dyDescent="0.25">
      <c r="B427" s="9"/>
      <c r="C427" s="11"/>
      <c r="D427" s="11"/>
      <c r="E427" s="11"/>
      <c r="F427" s="12"/>
      <c r="G427" s="12"/>
      <c r="H427" s="12"/>
      <c r="I427" s="12"/>
      <c r="J427" s="12"/>
      <c r="K427" s="12"/>
      <c r="L427" s="56"/>
      <c r="M427" s="12"/>
      <c r="N427" s="12"/>
      <c r="O427" s="12"/>
      <c r="P427" s="12"/>
      <c r="Q427" s="12"/>
      <c r="R427" s="12"/>
      <c r="S427" s="12"/>
      <c r="T427" s="12"/>
      <c r="U427" s="11"/>
      <c r="Y427" s="3"/>
    </row>
    <row r="428" spans="2:25" ht="24.75" hidden="1" customHeight="1" x14ac:dyDescent="0.25">
      <c r="B428" s="9"/>
      <c r="C428" s="11"/>
      <c r="D428" s="11"/>
      <c r="E428" s="11"/>
      <c r="F428" s="12"/>
      <c r="G428" s="12"/>
      <c r="H428" s="12"/>
      <c r="I428" s="12"/>
      <c r="J428" s="12"/>
      <c r="K428" s="12"/>
      <c r="L428" s="56"/>
      <c r="M428" s="12"/>
      <c r="N428" s="12"/>
      <c r="O428" s="12"/>
      <c r="P428" s="12"/>
      <c r="Q428" s="12"/>
      <c r="R428" s="12"/>
      <c r="S428" s="12"/>
      <c r="T428" s="12"/>
      <c r="U428" s="11"/>
      <c r="Y428" s="3"/>
    </row>
    <row r="429" spans="2:25" ht="24.75" hidden="1" customHeight="1" x14ac:dyDescent="0.25">
      <c r="B429" s="9"/>
      <c r="C429" s="11"/>
      <c r="D429" s="11"/>
      <c r="E429" s="11"/>
      <c r="F429" s="12"/>
      <c r="G429" s="12"/>
      <c r="H429" s="12"/>
      <c r="I429" s="12"/>
      <c r="J429" s="12"/>
      <c r="K429" s="12"/>
      <c r="L429" s="56"/>
      <c r="M429" s="12"/>
      <c r="N429" s="12"/>
      <c r="O429" s="12"/>
      <c r="P429" s="12"/>
      <c r="Q429" s="12"/>
      <c r="R429" s="12"/>
      <c r="S429" s="12"/>
      <c r="T429" s="12"/>
      <c r="U429" s="11"/>
      <c r="Y429" s="3"/>
    </row>
    <row r="430" spans="2:25" ht="24.75" hidden="1" customHeight="1" x14ac:dyDescent="0.25">
      <c r="B430" s="9"/>
      <c r="C430" s="11"/>
      <c r="D430" s="11"/>
      <c r="E430" s="11"/>
      <c r="F430" s="12"/>
      <c r="G430" s="12"/>
      <c r="H430" s="12"/>
      <c r="I430" s="12"/>
      <c r="J430" s="12"/>
      <c r="K430" s="12"/>
      <c r="L430" s="56"/>
      <c r="M430" s="12"/>
      <c r="N430" s="12"/>
      <c r="O430" s="12"/>
      <c r="P430" s="12"/>
      <c r="Q430" s="12"/>
      <c r="R430" s="12"/>
      <c r="S430" s="12"/>
      <c r="T430" s="12"/>
      <c r="U430" s="11"/>
      <c r="Y430" s="3"/>
    </row>
    <row r="431" spans="2:25" ht="24.75" hidden="1" customHeight="1" x14ac:dyDescent="0.25">
      <c r="B431" s="9"/>
      <c r="C431" s="11"/>
      <c r="D431" s="11"/>
      <c r="E431" s="11"/>
      <c r="F431" s="12"/>
      <c r="G431" s="12"/>
      <c r="H431" s="12"/>
      <c r="I431" s="12"/>
      <c r="J431" s="12"/>
      <c r="K431" s="12"/>
      <c r="L431" s="56"/>
      <c r="M431" s="12"/>
      <c r="N431" s="12"/>
      <c r="O431" s="12"/>
      <c r="P431" s="12"/>
      <c r="Q431" s="12"/>
      <c r="R431" s="12"/>
      <c r="S431" s="12"/>
      <c r="T431" s="12"/>
      <c r="U431" s="11"/>
      <c r="Y431" s="3"/>
    </row>
    <row r="432" spans="2:25" ht="24.75" hidden="1" customHeight="1" x14ac:dyDescent="0.25">
      <c r="B432" s="9"/>
      <c r="C432" s="11"/>
      <c r="D432" s="11"/>
      <c r="E432" s="11"/>
      <c r="F432" s="12"/>
      <c r="G432" s="12"/>
      <c r="H432" s="12"/>
      <c r="I432" s="12"/>
      <c r="J432" s="12"/>
      <c r="K432" s="12"/>
      <c r="L432" s="56"/>
      <c r="M432" s="12"/>
      <c r="N432" s="12"/>
      <c r="O432" s="12"/>
      <c r="P432" s="12"/>
      <c r="Q432" s="12"/>
      <c r="R432" s="12"/>
      <c r="S432" s="12"/>
      <c r="T432" s="12"/>
      <c r="U432" s="11"/>
      <c r="Y432" s="3"/>
    </row>
    <row r="433" spans="2:25" ht="24.75" hidden="1" customHeight="1" x14ac:dyDescent="0.25">
      <c r="B433" s="9"/>
      <c r="C433" s="11"/>
      <c r="D433" s="11"/>
      <c r="E433" s="11"/>
      <c r="F433" s="12"/>
      <c r="G433" s="12"/>
      <c r="H433" s="12"/>
      <c r="I433" s="12"/>
      <c r="J433" s="12"/>
      <c r="K433" s="12"/>
      <c r="L433" s="56"/>
      <c r="M433" s="12"/>
      <c r="N433" s="12"/>
      <c r="O433" s="12"/>
      <c r="P433" s="12"/>
      <c r="Q433" s="12"/>
      <c r="R433" s="12"/>
      <c r="S433" s="12"/>
      <c r="T433" s="12"/>
      <c r="U433" s="11"/>
      <c r="Y433" s="3"/>
    </row>
    <row r="434" spans="2:25" ht="24.75" hidden="1" customHeight="1" x14ac:dyDescent="0.25">
      <c r="B434" s="9"/>
      <c r="C434" s="11"/>
      <c r="D434" s="11"/>
      <c r="E434" s="11"/>
      <c r="F434" s="12"/>
      <c r="G434" s="12"/>
      <c r="H434" s="12"/>
      <c r="I434" s="12"/>
      <c r="J434" s="12"/>
      <c r="K434" s="12"/>
      <c r="L434" s="56"/>
      <c r="M434" s="12"/>
      <c r="N434" s="12"/>
      <c r="O434" s="12"/>
      <c r="P434" s="12"/>
      <c r="Q434" s="12"/>
      <c r="R434" s="12"/>
      <c r="S434" s="12"/>
      <c r="T434" s="12"/>
      <c r="U434" s="11"/>
      <c r="Y434" s="3"/>
    </row>
    <row r="435" spans="2:25" ht="24.75" hidden="1" customHeight="1" x14ac:dyDescent="0.25">
      <c r="B435" s="9"/>
      <c r="C435" s="11"/>
      <c r="D435" s="11"/>
      <c r="E435" s="11"/>
      <c r="F435" s="12"/>
      <c r="G435" s="12"/>
      <c r="H435" s="12"/>
      <c r="I435" s="12"/>
      <c r="J435" s="12"/>
      <c r="K435" s="12"/>
      <c r="L435" s="56"/>
      <c r="M435" s="12"/>
      <c r="N435" s="12"/>
      <c r="O435" s="12"/>
      <c r="P435" s="12"/>
      <c r="Q435" s="12"/>
      <c r="R435" s="12"/>
      <c r="S435" s="12"/>
      <c r="T435" s="12"/>
      <c r="U435" s="11"/>
      <c r="Y435" s="3"/>
    </row>
    <row r="436" spans="2:25" ht="24.75" hidden="1" customHeight="1" x14ac:dyDescent="0.25">
      <c r="B436" s="9"/>
      <c r="C436" s="11"/>
      <c r="D436" s="11"/>
      <c r="E436" s="11"/>
      <c r="F436" s="12"/>
      <c r="G436" s="12"/>
      <c r="H436" s="12"/>
      <c r="I436" s="12"/>
      <c r="J436" s="12"/>
      <c r="K436" s="12"/>
      <c r="L436" s="56"/>
      <c r="M436" s="12"/>
      <c r="N436" s="12"/>
      <c r="O436" s="12"/>
      <c r="P436" s="12"/>
      <c r="Q436" s="12"/>
      <c r="R436" s="12"/>
      <c r="S436" s="12"/>
      <c r="T436" s="12"/>
      <c r="U436" s="11"/>
      <c r="Y436" s="3"/>
    </row>
    <row r="437" spans="2:25" ht="24.75" hidden="1" customHeight="1" x14ac:dyDescent="0.25">
      <c r="B437" s="9"/>
      <c r="C437" s="11"/>
      <c r="D437" s="11"/>
      <c r="E437" s="11"/>
      <c r="F437" s="12"/>
      <c r="G437" s="12"/>
      <c r="H437" s="12"/>
      <c r="I437" s="12"/>
      <c r="J437" s="12"/>
      <c r="K437" s="12"/>
      <c r="L437" s="56"/>
      <c r="M437" s="12"/>
      <c r="N437" s="12"/>
      <c r="O437" s="12"/>
      <c r="P437" s="12"/>
      <c r="Q437" s="12"/>
      <c r="R437" s="12"/>
      <c r="S437" s="12"/>
      <c r="T437" s="12"/>
      <c r="U437" s="11"/>
      <c r="Y437" s="3"/>
    </row>
    <row r="438" spans="2:25" ht="24.75" hidden="1" customHeight="1" x14ac:dyDescent="0.25">
      <c r="B438" s="9"/>
      <c r="C438" s="11"/>
      <c r="D438" s="11"/>
      <c r="E438" s="11"/>
      <c r="F438" s="12"/>
      <c r="G438" s="12"/>
      <c r="H438" s="12"/>
      <c r="I438" s="12"/>
      <c r="J438" s="12"/>
      <c r="K438" s="12"/>
      <c r="L438" s="56"/>
      <c r="M438" s="12"/>
      <c r="N438" s="12"/>
      <c r="O438" s="12"/>
      <c r="P438" s="12"/>
      <c r="Q438" s="12"/>
      <c r="R438" s="12"/>
      <c r="S438" s="12"/>
      <c r="T438" s="12"/>
      <c r="U438" s="11"/>
      <c r="Y438" s="3"/>
    </row>
    <row r="439" spans="2:25" ht="24.75" hidden="1" customHeight="1" x14ac:dyDescent="0.25">
      <c r="B439" s="9"/>
      <c r="C439" s="11"/>
      <c r="D439" s="11"/>
      <c r="E439" s="11"/>
      <c r="F439" s="12"/>
      <c r="G439" s="12"/>
      <c r="H439" s="12"/>
      <c r="I439" s="12"/>
      <c r="J439" s="12"/>
      <c r="K439" s="12"/>
      <c r="L439" s="56"/>
      <c r="M439" s="12"/>
      <c r="N439" s="12"/>
      <c r="O439" s="12"/>
      <c r="P439" s="12"/>
      <c r="Q439" s="12"/>
      <c r="R439" s="12"/>
      <c r="S439" s="12"/>
      <c r="T439" s="12"/>
      <c r="U439" s="11"/>
      <c r="Y439" s="3"/>
    </row>
    <row r="440" spans="2:25" ht="24.75" hidden="1" customHeight="1" x14ac:dyDescent="0.25">
      <c r="B440" s="9"/>
      <c r="C440" s="11"/>
      <c r="D440" s="11"/>
      <c r="E440" s="11"/>
      <c r="F440" s="12"/>
      <c r="G440" s="12"/>
      <c r="H440" s="12"/>
      <c r="I440" s="12"/>
      <c r="J440" s="12"/>
      <c r="K440" s="12"/>
      <c r="L440" s="56"/>
      <c r="M440" s="12"/>
      <c r="N440" s="12"/>
      <c r="O440" s="12"/>
      <c r="P440" s="12"/>
      <c r="Q440" s="12"/>
      <c r="R440" s="12"/>
      <c r="S440" s="12"/>
      <c r="T440" s="12"/>
      <c r="U440" s="11"/>
      <c r="Y440" s="3"/>
    </row>
    <row r="441" spans="2:25" ht="24.75" hidden="1" customHeight="1" x14ac:dyDescent="0.25">
      <c r="B441" s="9"/>
      <c r="C441" s="11"/>
      <c r="D441" s="11"/>
      <c r="E441" s="11"/>
      <c r="F441" s="12"/>
      <c r="G441" s="12"/>
      <c r="H441" s="12"/>
      <c r="I441" s="12"/>
      <c r="J441" s="12"/>
      <c r="K441" s="12"/>
      <c r="L441" s="56"/>
      <c r="M441" s="12"/>
      <c r="N441" s="12"/>
      <c r="O441" s="12"/>
      <c r="P441" s="12"/>
      <c r="Q441" s="12"/>
      <c r="R441" s="12"/>
      <c r="S441" s="12"/>
      <c r="T441" s="12"/>
      <c r="U441" s="11"/>
      <c r="Y441" s="3"/>
    </row>
    <row r="442" spans="2:25" ht="24.75" hidden="1" customHeight="1" x14ac:dyDescent="0.25">
      <c r="B442" s="9"/>
      <c r="C442" s="11"/>
      <c r="D442" s="11"/>
      <c r="E442" s="11"/>
      <c r="F442" s="12"/>
      <c r="G442" s="12"/>
      <c r="H442" s="12"/>
      <c r="I442" s="12"/>
      <c r="J442" s="12"/>
      <c r="K442" s="12"/>
      <c r="L442" s="56"/>
      <c r="M442" s="12"/>
      <c r="N442" s="12"/>
      <c r="O442" s="12"/>
      <c r="P442" s="12"/>
      <c r="Q442" s="12"/>
      <c r="R442" s="12"/>
      <c r="S442" s="12"/>
      <c r="T442" s="12"/>
      <c r="U442" s="11"/>
      <c r="Y442" s="3"/>
    </row>
    <row r="443" spans="2:25" ht="24.75" hidden="1" customHeight="1" x14ac:dyDescent="0.25">
      <c r="B443" s="9"/>
      <c r="C443" s="11"/>
      <c r="D443" s="11"/>
      <c r="E443" s="11"/>
      <c r="F443" s="12"/>
      <c r="G443" s="12"/>
      <c r="H443" s="12"/>
      <c r="I443" s="12"/>
      <c r="J443" s="12"/>
      <c r="K443" s="12"/>
      <c r="L443" s="56"/>
      <c r="M443" s="12"/>
      <c r="N443" s="12"/>
      <c r="O443" s="12"/>
      <c r="P443" s="12"/>
      <c r="Q443" s="12"/>
      <c r="R443" s="12"/>
      <c r="S443" s="12"/>
      <c r="T443" s="12"/>
      <c r="U443" s="11"/>
      <c r="Y443" s="3"/>
    </row>
    <row r="444" spans="2:25" ht="24.75" hidden="1" customHeight="1" x14ac:dyDescent="0.25">
      <c r="B444" s="9"/>
      <c r="C444" s="11"/>
      <c r="D444" s="11"/>
      <c r="E444" s="11"/>
      <c r="F444" s="12"/>
      <c r="G444" s="12"/>
      <c r="H444" s="12"/>
      <c r="I444" s="12"/>
      <c r="J444" s="12"/>
      <c r="K444" s="12"/>
      <c r="L444" s="56"/>
      <c r="M444" s="12"/>
      <c r="N444" s="12"/>
      <c r="O444" s="12"/>
      <c r="P444" s="12"/>
      <c r="Q444" s="12"/>
      <c r="R444" s="12"/>
      <c r="S444" s="12"/>
      <c r="T444" s="12"/>
      <c r="U444" s="11"/>
      <c r="Y444" s="3"/>
    </row>
    <row r="445" spans="2:25" ht="24.75" hidden="1" customHeight="1" x14ac:dyDescent="0.25">
      <c r="B445" s="9"/>
      <c r="C445" s="11"/>
      <c r="D445" s="11"/>
      <c r="E445" s="11"/>
      <c r="F445" s="12"/>
      <c r="G445" s="12"/>
      <c r="H445" s="12"/>
      <c r="I445" s="12"/>
      <c r="J445" s="12"/>
      <c r="K445" s="12"/>
      <c r="L445" s="56"/>
      <c r="M445" s="12"/>
      <c r="N445" s="12"/>
      <c r="O445" s="12"/>
      <c r="P445" s="12"/>
      <c r="Q445" s="12"/>
      <c r="R445" s="12"/>
      <c r="S445" s="12"/>
      <c r="T445" s="12"/>
      <c r="U445" s="11"/>
      <c r="Y445" s="3"/>
    </row>
    <row r="446" spans="2:25" ht="24.75" hidden="1" customHeight="1" x14ac:dyDescent="0.25">
      <c r="B446" s="9"/>
      <c r="C446" s="11"/>
      <c r="D446" s="11"/>
      <c r="E446" s="11"/>
      <c r="F446" s="12"/>
      <c r="G446" s="12"/>
      <c r="H446" s="12"/>
      <c r="I446" s="12"/>
      <c r="J446" s="12"/>
      <c r="K446" s="12"/>
      <c r="L446" s="56"/>
      <c r="M446" s="12"/>
      <c r="N446" s="12"/>
      <c r="O446" s="12"/>
      <c r="P446" s="12"/>
      <c r="Q446" s="12"/>
      <c r="R446" s="12"/>
      <c r="S446" s="12"/>
      <c r="T446" s="12"/>
      <c r="U446" s="11"/>
      <c r="Y446" s="3"/>
    </row>
    <row r="447" spans="2:25" ht="24.75" hidden="1" customHeight="1" x14ac:dyDescent="0.25">
      <c r="B447" s="9"/>
      <c r="C447" s="11"/>
      <c r="D447" s="11"/>
      <c r="E447" s="11"/>
      <c r="F447" s="12"/>
      <c r="G447" s="12"/>
      <c r="H447" s="12"/>
      <c r="I447" s="12"/>
      <c r="J447" s="12"/>
      <c r="K447" s="12"/>
      <c r="L447" s="56"/>
      <c r="M447" s="12"/>
      <c r="N447" s="12"/>
      <c r="O447" s="12"/>
      <c r="P447" s="12"/>
      <c r="Q447" s="12"/>
      <c r="R447" s="12"/>
      <c r="S447" s="12"/>
      <c r="T447" s="12"/>
      <c r="U447" s="11"/>
      <c r="Y447" s="3"/>
    </row>
    <row r="448" spans="2:25" ht="24.75" hidden="1" customHeight="1" x14ac:dyDescent="0.25">
      <c r="B448" s="9"/>
      <c r="C448" s="11"/>
      <c r="D448" s="11"/>
      <c r="E448" s="11"/>
      <c r="F448" s="12"/>
      <c r="G448" s="12"/>
      <c r="H448" s="12"/>
      <c r="I448" s="12"/>
      <c r="J448" s="12"/>
      <c r="K448" s="12"/>
      <c r="L448" s="56"/>
      <c r="M448" s="12"/>
      <c r="N448" s="12"/>
      <c r="O448" s="12"/>
      <c r="P448" s="12"/>
      <c r="Q448" s="12"/>
      <c r="R448" s="12"/>
      <c r="S448" s="12"/>
      <c r="T448" s="12"/>
      <c r="U448" s="11"/>
      <c r="Y448" s="3"/>
    </row>
    <row r="449" spans="2:25" ht="24.75" hidden="1" customHeight="1" x14ac:dyDescent="0.25">
      <c r="B449" s="9"/>
      <c r="C449" s="11"/>
      <c r="D449" s="11"/>
      <c r="E449" s="11"/>
      <c r="F449" s="12"/>
      <c r="G449" s="12"/>
      <c r="H449" s="12"/>
      <c r="I449" s="12"/>
      <c r="J449" s="12"/>
      <c r="K449" s="12"/>
      <c r="L449" s="56"/>
      <c r="M449" s="12"/>
      <c r="N449" s="12"/>
      <c r="O449" s="12"/>
      <c r="P449" s="12"/>
      <c r="Q449" s="12"/>
      <c r="R449" s="12"/>
      <c r="S449" s="12"/>
      <c r="T449" s="12"/>
      <c r="U449" s="11"/>
      <c r="Y449" s="3"/>
    </row>
    <row r="450" spans="2:25" ht="24.75" hidden="1" customHeight="1" x14ac:dyDescent="0.25">
      <c r="B450" s="9"/>
      <c r="C450" s="11"/>
      <c r="D450" s="11"/>
      <c r="E450" s="11"/>
      <c r="F450" s="12"/>
      <c r="G450" s="12"/>
      <c r="H450" s="12"/>
      <c r="I450" s="12"/>
      <c r="J450" s="12"/>
      <c r="K450" s="12"/>
      <c r="L450" s="56"/>
      <c r="M450" s="12"/>
      <c r="N450" s="12"/>
      <c r="O450" s="12"/>
      <c r="P450" s="12"/>
      <c r="Q450" s="12"/>
      <c r="R450" s="12"/>
      <c r="S450" s="12"/>
      <c r="T450" s="12"/>
      <c r="U450" s="11"/>
      <c r="Y450" s="3"/>
    </row>
    <row r="451" spans="2:25" ht="24.75" hidden="1" customHeight="1" x14ac:dyDescent="0.25">
      <c r="B451" s="9"/>
      <c r="C451" s="11"/>
      <c r="D451" s="11"/>
      <c r="E451" s="11"/>
      <c r="F451" s="12"/>
      <c r="G451" s="12"/>
      <c r="H451" s="12"/>
      <c r="I451" s="12"/>
      <c r="J451" s="12"/>
      <c r="K451" s="12"/>
      <c r="L451" s="56"/>
      <c r="M451" s="12"/>
      <c r="N451" s="12"/>
      <c r="O451" s="12"/>
      <c r="P451" s="12"/>
      <c r="Q451" s="12"/>
      <c r="R451" s="12"/>
      <c r="S451" s="12"/>
      <c r="T451" s="12"/>
      <c r="U451" s="11"/>
      <c r="Y451" s="3"/>
    </row>
    <row r="452" spans="2:25" ht="24.75" hidden="1" customHeight="1" x14ac:dyDescent="0.25">
      <c r="B452" s="9"/>
      <c r="C452" s="11"/>
      <c r="D452" s="11"/>
      <c r="E452" s="11"/>
      <c r="F452" s="12"/>
      <c r="G452" s="12"/>
      <c r="H452" s="12"/>
      <c r="I452" s="12"/>
      <c r="J452" s="12"/>
      <c r="K452" s="12"/>
      <c r="L452" s="56"/>
      <c r="M452" s="12"/>
      <c r="N452" s="12"/>
      <c r="O452" s="12"/>
      <c r="P452" s="12"/>
      <c r="Q452" s="12"/>
      <c r="R452" s="12"/>
      <c r="S452" s="12"/>
      <c r="T452" s="12"/>
      <c r="U452" s="11"/>
      <c r="Y452" s="3"/>
    </row>
    <row r="453" spans="2:25" ht="24.75" hidden="1" customHeight="1" x14ac:dyDescent="0.25">
      <c r="B453" s="9"/>
      <c r="C453" s="11"/>
      <c r="D453" s="11"/>
      <c r="E453" s="11"/>
      <c r="F453" s="12"/>
      <c r="G453" s="12"/>
      <c r="H453" s="12"/>
      <c r="I453" s="12"/>
      <c r="J453" s="12"/>
      <c r="K453" s="12"/>
      <c r="L453" s="56"/>
      <c r="M453" s="12"/>
      <c r="N453" s="12"/>
      <c r="O453" s="12"/>
      <c r="P453" s="12"/>
      <c r="Q453" s="12"/>
      <c r="R453" s="12"/>
      <c r="S453" s="12"/>
      <c r="T453" s="12"/>
      <c r="U453" s="11"/>
      <c r="Y453" s="3"/>
    </row>
    <row r="454" spans="2:25" ht="24.75" hidden="1" customHeight="1" x14ac:dyDescent="0.25">
      <c r="B454" s="9"/>
      <c r="C454" s="11"/>
      <c r="D454" s="11"/>
      <c r="E454" s="11"/>
      <c r="F454" s="12"/>
      <c r="G454" s="12"/>
      <c r="H454" s="12"/>
      <c r="I454" s="12"/>
      <c r="J454" s="12"/>
      <c r="K454" s="12"/>
      <c r="L454" s="56"/>
      <c r="M454" s="12"/>
      <c r="N454" s="12"/>
      <c r="O454" s="12"/>
      <c r="P454" s="12"/>
      <c r="Q454" s="12"/>
      <c r="R454" s="12"/>
      <c r="S454" s="12"/>
      <c r="T454" s="12"/>
      <c r="U454" s="11"/>
      <c r="Y454" s="3"/>
    </row>
    <row r="455" spans="2:25" ht="24.75" hidden="1" customHeight="1" x14ac:dyDescent="0.25">
      <c r="B455" s="9"/>
      <c r="C455" s="11"/>
      <c r="D455" s="11"/>
      <c r="E455" s="11"/>
      <c r="F455" s="12"/>
      <c r="G455" s="12"/>
      <c r="H455" s="12"/>
      <c r="I455" s="12"/>
      <c r="J455" s="12"/>
      <c r="K455" s="12"/>
      <c r="L455" s="56"/>
      <c r="M455" s="12"/>
      <c r="N455" s="12"/>
      <c r="O455" s="12"/>
      <c r="P455" s="12"/>
      <c r="Q455" s="12"/>
      <c r="R455" s="12"/>
      <c r="S455" s="12"/>
      <c r="T455" s="12"/>
      <c r="U455" s="11"/>
      <c r="Y455" s="3"/>
    </row>
    <row r="456" spans="2:25" ht="24.75" hidden="1" customHeight="1" x14ac:dyDescent="0.25">
      <c r="B456" s="9"/>
      <c r="C456" s="11"/>
      <c r="D456" s="11"/>
      <c r="E456" s="11"/>
      <c r="F456" s="12"/>
      <c r="G456" s="12"/>
      <c r="H456" s="12"/>
      <c r="I456" s="12"/>
      <c r="J456" s="12"/>
      <c r="K456" s="12"/>
      <c r="L456" s="56"/>
      <c r="M456" s="12"/>
      <c r="N456" s="12"/>
      <c r="O456" s="12"/>
      <c r="P456" s="12"/>
      <c r="Q456" s="12"/>
      <c r="R456" s="12"/>
      <c r="S456" s="12"/>
      <c r="T456" s="12"/>
      <c r="U456" s="11"/>
      <c r="Y456" s="3"/>
    </row>
    <row r="457" spans="2:25" ht="24.75" hidden="1" customHeight="1" x14ac:dyDescent="0.25">
      <c r="B457" s="9"/>
      <c r="C457" s="11"/>
      <c r="D457" s="11"/>
      <c r="E457" s="11"/>
      <c r="F457" s="12"/>
      <c r="G457" s="12"/>
      <c r="H457" s="12"/>
      <c r="I457" s="12"/>
      <c r="J457" s="12"/>
      <c r="K457" s="12"/>
      <c r="L457" s="56"/>
      <c r="M457" s="12"/>
      <c r="N457" s="12"/>
      <c r="O457" s="12"/>
      <c r="P457" s="12"/>
      <c r="Q457" s="12"/>
      <c r="R457" s="12"/>
      <c r="S457" s="12"/>
      <c r="T457" s="12"/>
      <c r="U457" s="11"/>
      <c r="Y457" s="3"/>
    </row>
    <row r="458" spans="2:25" ht="24.75" hidden="1" customHeight="1" x14ac:dyDescent="0.25">
      <c r="B458" s="9"/>
      <c r="C458" s="11"/>
      <c r="D458" s="11"/>
      <c r="E458" s="11"/>
      <c r="F458" s="12"/>
      <c r="G458" s="12"/>
      <c r="H458" s="12"/>
      <c r="I458" s="12"/>
      <c r="J458" s="12"/>
      <c r="K458" s="12"/>
      <c r="L458" s="56"/>
      <c r="M458" s="12"/>
      <c r="N458" s="12"/>
      <c r="O458" s="12"/>
      <c r="P458" s="12"/>
      <c r="Q458" s="12"/>
      <c r="R458" s="12"/>
      <c r="S458" s="12"/>
      <c r="T458" s="12"/>
      <c r="U458" s="11"/>
      <c r="Y458" s="3"/>
    </row>
    <row r="459" spans="2:25" ht="24.75" hidden="1" customHeight="1" x14ac:dyDescent="0.25">
      <c r="B459" s="9"/>
      <c r="C459" s="11"/>
      <c r="D459" s="11"/>
      <c r="E459" s="11"/>
      <c r="F459" s="12"/>
      <c r="G459" s="12"/>
      <c r="H459" s="12"/>
      <c r="I459" s="12"/>
      <c r="J459" s="12"/>
      <c r="K459" s="12"/>
      <c r="L459" s="56"/>
      <c r="M459" s="12"/>
      <c r="N459" s="12"/>
      <c r="O459" s="12"/>
      <c r="P459" s="12"/>
      <c r="Q459" s="12"/>
      <c r="R459" s="12"/>
      <c r="S459" s="12"/>
      <c r="T459" s="12"/>
      <c r="U459" s="11"/>
      <c r="Y459" s="3"/>
    </row>
    <row r="460" spans="2:25" ht="24.75" hidden="1" customHeight="1" x14ac:dyDescent="0.25">
      <c r="B460" s="9"/>
      <c r="C460" s="11"/>
      <c r="D460" s="11"/>
      <c r="E460" s="11"/>
      <c r="F460" s="12"/>
      <c r="G460" s="12"/>
      <c r="H460" s="12"/>
      <c r="I460" s="12"/>
      <c r="J460" s="12"/>
      <c r="K460" s="12"/>
      <c r="L460" s="56"/>
      <c r="M460" s="12"/>
      <c r="N460" s="12"/>
      <c r="O460" s="12"/>
      <c r="P460" s="12"/>
      <c r="Q460" s="12"/>
      <c r="R460" s="12"/>
      <c r="S460" s="12"/>
      <c r="T460" s="12"/>
      <c r="U460" s="11"/>
      <c r="Y460" s="3"/>
    </row>
    <row r="461" spans="2:25" ht="24.75" hidden="1" customHeight="1" x14ac:dyDescent="0.25">
      <c r="B461" s="9"/>
      <c r="C461" s="11"/>
      <c r="D461" s="11"/>
      <c r="E461" s="11"/>
      <c r="F461" s="12"/>
      <c r="G461" s="12"/>
      <c r="H461" s="12"/>
      <c r="I461" s="12"/>
      <c r="J461" s="12"/>
      <c r="K461" s="12"/>
      <c r="L461" s="56"/>
      <c r="M461" s="12"/>
      <c r="N461" s="12"/>
      <c r="O461" s="12"/>
      <c r="P461" s="12"/>
      <c r="Q461" s="12"/>
      <c r="R461" s="12"/>
      <c r="S461" s="12"/>
      <c r="T461" s="12"/>
      <c r="U461" s="11"/>
      <c r="Y461" s="3"/>
    </row>
    <row r="462" spans="2:25" ht="24.75" hidden="1" customHeight="1" x14ac:dyDescent="0.25">
      <c r="B462" s="9"/>
      <c r="C462" s="11"/>
      <c r="D462" s="11"/>
      <c r="E462" s="11"/>
      <c r="F462" s="12"/>
      <c r="G462" s="12"/>
      <c r="H462" s="12"/>
      <c r="I462" s="12"/>
      <c r="J462" s="12"/>
      <c r="K462" s="12"/>
      <c r="L462" s="56"/>
      <c r="M462" s="12"/>
      <c r="N462" s="12"/>
      <c r="O462" s="12"/>
      <c r="P462" s="12"/>
      <c r="Q462" s="12"/>
      <c r="R462" s="12"/>
      <c r="S462" s="12"/>
      <c r="T462" s="12"/>
      <c r="U462" s="11"/>
      <c r="Y462" s="3"/>
    </row>
    <row r="463" spans="2:25" ht="24.75" hidden="1" customHeight="1" x14ac:dyDescent="0.25">
      <c r="B463" s="9"/>
      <c r="C463" s="11"/>
      <c r="D463" s="11"/>
      <c r="E463" s="11"/>
      <c r="F463" s="12"/>
      <c r="G463" s="12"/>
      <c r="H463" s="12"/>
      <c r="I463" s="12"/>
      <c r="J463" s="12"/>
      <c r="K463" s="12"/>
      <c r="L463" s="56"/>
      <c r="M463" s="12"/>
      <c r="N463" s="12"/>
      <c r="O463" s="12"/>
      <c r="P463" s="12"/>
      <c r="Q463" s="12"/>
      <c r="R463" s="12"/>
      <c r="S463" s="12"/>
      <c r="T463" s="12"/>
      <c r="U463" s="11"/>
      <c r="Y463" s="3"/>
    </row>
    <row r="464" spans="2:25" ht="24.75" hidden="1" customHeight="1" x14ac:dyDescent="0.25">
      <c r="B464" s="9"/>
      <c r="C464" s="11"/>
      <c r="D464" s="11"/>
      <c r="E464" s="11"/>
      <c r="F464" s="12"/>
      <c r="G464" s="12"/>
      <c r="H464" s="12"/>
      <c r="I464" s="12"/>
      <c r="J464" s="12"/>
      <c r="K464" s="12"/>
      <c r="L464" s="56"/>
      <c r="M464" s="12"/>
      <c r="N464" s="12"/>
      <c r="O464" s="12"/>
      <c r="P464" s="12"/>
      <c r="Q464" s="12"/>
      <c r="R464" s="12"/>
      <c r="S464" s="12"/>
      <c r="T464" s="12"/>
      <c r="U464" s="11"/>
      <c r="Y464" s="3"/>
    </row>
    <row r="465" spans="2:25" ht="24.75" hidden="1" customHeight="1" x14ac:dyDescent="0.25">
      <c r="B465" s="9"/>
      <c r="C465" s="11"/>
      <c r="D465" s="11"/>
      <c r="E465" s="11"/>
      <c r="F465" s="12"/>
      <c r="G465" s="12"/>
      <c r="H465" s="12"/>
      <c r="I465" s="12"/>
      <c r="J465" s="12"/>
      <c r="K465" s="12"/>
      <c r="L465" s="56"/>
      <c r="M465" s="12"/>
      <c r="N465" s="12"/>
      <c r="O465" s="12"/>
      <c r="P465" s="12"/>
      <c r="Q465" s="12"/>
      <c r="R465" s="12"/>
      <c r="S465" s="12"/>
      <c r="T465" s="12"/>
      <c r="U465" s="11"/>
      <c r="Y465" s="3"/>
    </row>
    <row r="466" spans="2:25" ht="24.75" hidden="1" customHeight="1" x14ac:dyDescent="0.25">
      <c r="B466" s="9"/>
      <c r="C466" s="11"/>
      <c r="D466" s="11"/>
      <c r="E466" s="11"/>
      <c r="F466" s="12"/>
      <c r="G466" s="12"/>
      <c r="H466" s="12"/>
      <c r="I466" s="12"/>
      <c r="J466" s="12"/>
      <c r="K466" s="12"/>
      <c r="L466" s="56"/>
      <c r="M466" s="12"/>
      <c r="N466" s="12"/>
      <c r="O466" s="12"/>
      <c r="P466" s="12"/>
      <c r="Q466" s="12"/>
      <c r="R466" s="12"/>
      <c r="S466" s="12"/>
      <c r="T466" s="12"/>
      <c r="U466" s="11"/>
      <c r="Y466" s="3"/>
    </row>
    <row r="467" spans="2:25" ht="24.75" hidden="1" customHeight="1" x14ac:dyDescent="0.25">
      <c r="B467" s="9"/>
      <c r="C467" s="11"/>
      <c r="D467" s="11"/>
      <c r="E467" s="11"/>
      <c r="F467" s="12"/>
      <c r="G467" s="12"/>
      <c r="H467" s="12"/>
      <c r="I467" s="12"/>
      <c r="J467" s="12"/>
      <c r="K467" s="12"/>
      <c r="L467" s="56"/>
      <c r="M467" s="12"/>
      <c r="N467" s="12"/>
      <c r="O467" s="12"/>
      <c r="P467" s="12"/>
      <c r="Q467" s="12"/>
      <c r="R467" s="12"/>
      <c r="S467" s="12"/>
      <c r="T467" s="12"/>
      <c r="U467" s="11"/>
      <c r="Y467" s="3"/>
    </row>
    <row r="468" spans="2:25" ht="24.75" hidden="1" customHeight="1" x14ac:dyDescent="0.25">
      <c r="B468" s="9"/>
      <c r="C468" s="11"/>
      <c r="D468" s="11"/>
      <c r="E468" s="11"/>
      <c r="F468" s="12"/>
      <c r="G468" s="12"/>
      <c r="H468" s="12"/>
      <c r="I468" s="12"/>
      <c r="J468" s="12"/>
      <c r="K468" s="12"/>
      <c r="L468" s="56"/>
      <c r="M468" s="12"/>
      <c r="N468" s="12"/>
      <c r="O468" s="12"/>
      <c r="P468" s="12"/>
      <c r="Q468" s="12"/>
      <c r="R468" s="12"/>
      <c r="S468" s="12"/>
      <c r="T468" s="12"/>
      <c r="U468" s="11"/>
      <c r="Y468" s="3"/>
    </row>
    <row r="469" spans="2:25" ht="24.75" hidden="1" customHeight="1" x14ac:dyDescent="0.25">
      <c r="B469" s="9"/>
      <c r="C469" s="11"/>
      <c r="D469" s="11"/>
      <c r="E469" s="11"/>
      <c r="F469" s="12"/>
      <c r="G469" s="12"/>
      <c r="H469" s="12"/>
      <c r="I469" s="12"/>
      <c r="J469" s="12"/>
      <c r="K469" s="12"/>
      <c r="L469" s="56"/>
      <c r="M469" s="12"/>
      <c r="N469" s="12"/>
      <c r="O469" s="12"/>
      <c r="P469" s="12"/>
      <c r="Q469" s="12"/>
      <c r="R469" s="12"/>
      <c r="S469" s="12"/>
      <c r="T469" s="12"/>
      <c r="U469" s="11"/>
      <c r="Y469" s="3"/>
    </row>
    <row r="470" spans="2:25" ht="24.75" hidden="1" customHeight="1" x14ac:dyDescent="0.25">
      <c r="B470" s="9"/>
      <c r="C470" s="11"/>
      <c r="D470" s="11"/>
      <c r="E470" s="11"/>
      <c r="F470" s="12"/>
      <c r="G470" s="12"/>
      <c r="H470" s="12"/>
      <c r="I470" s="12"/>
      <c r="J470" s="12"/>
      <c r="K470" s="12"/>
      <c r="L470" s="56"/>
      <c r="M470" s="12"/>
      <c r="N470" s="12"/>
      <c r="O470" s="12"/>
      <c r="P470" s="12"/>
      <c r="Q470" s="12"/>
      <c r="R470" s="12"/>
      <c r="S470" s="12"/>
      <c r="T470" s="12"/>
      <c r="U470" s="11"/>
      <c r="Y470" s="3"/>
    </row>
    <row r="471" spans="2:25" ht="24.75" hidden="1" customHeight="1" x14ac:dyDescent="0.25">
      <c r="B471" s="9"/>
      <c r="C471" s="11"/>
      <c r="D471" s="11"/>
      <c r="E471" s="11"/>
      <c r="F471" s="12"/>
      <c r="G471" s="12"/>
      <c r="H471" s="12"/>
      <c r="I471" s="12"/>
      <c r="J471" s="12"/>
      <c r="K471" s="12"/>
      <c r="L471" s="56"/>
      <c r="M471" s="12"/>
      <c r="N471" s="12"/>
      <c r="O471" s="12"/>
      <c r="P471" s="12"/>
      <c r="Q471" s="12"/>
      <c r="R471" s="12"/>
      <c r="S471" s="12"/>
      <c r="T471" s="12"/>
      <c r="U471" s="11"/>
      <c r="Y471" s="3"/>
    </row>
    <row r="472" spans="2:25" ht="24.75" hidden="1" customHeight="1" x14ac:dyDescent="0.25">
      <c r="B472" s="9"/>
      <c r="C472" s="11"/>
      <c r="D472" s="11"/>
      <c r="E472" s="11"/>
      <c r="F472" s="12"/>
      <c r="G472" s="12"/>
      <c r="H472" s="12"/>
      <c r="I472" s="12"/>
      <c r="J472" s="12"/>
      <c r="K472" s="12"/>
      <c r="L472" s="56"/>
      <c r="M472" s="12"/>
      <c r="N472" s="12"/>
      <c r="O472" s="12"/>
      <c r="P472" s="12"/>
      <c r="Q472" s="12"/>
      <c r="R472" s="12"/>
      <c r="S472" s="12"/>
      <c r="T472" s="12"/>
      <c r="U472" s="11"/>
      <c r="Y472" s="3"/>
    </row>
    <row r="473" spans="2:25" ht="24.75" hidden="1" customHeight="1" x14ac:dyDescent="0.25">
      <c r="B473" s="9"/>
      <c r="C473" s="11"/>
      <c r="D473" s="11"/>
      <c r="E473" s="11"/>
      <c r="F473" s="12"/>
      <c r="G473" s="12"/>
      <c r="H473" s="12"/>
      <c r="I473" s="12"/>
      <c r="J473" s="12"/>
      <c r="K473" s="12"/>
      <c r="L473" s="56"/>
      <c r="M473" s="12"/>
      <c r="N473" s="12"/>
      <c r="O473" s="12"/>
      <c r="P473" s="12"/>
      <c r="Q473" s="12"/>
      <c r="R473" s="12"/>
      <c r="S473" s="12"/>
      <c r="T473" s="12"/>
      <c r="U473" s="11"/>
      <c r="Y473" s="3"/>
    </row>
    <row r="474" spans="2:25" ht="24.75" hidden="1" customHeight="1" x14ac:dyDescent="0.25">
      <c r="B474" s="9"/>
      <c r="C474" s="11"/>
      <c r="D474" s="11"/>
      <c r="E474" s="11"/>
      <c r="F474" s="12"/>
      <c r="G474" s="12"/>
      <c r="H474" s="12"/>
      <c r="I474" s="12"/>
      <c r="J474" s="12"/>
      <c r="K474" s="12"/>
      <c r="L474" s="56"/>
      <c r="M474" s="12"/>
      <c r="N474" s="12"/>
      <c r="O474" s="12"/>
      <c r="P474" s="12"/>
      <c r="Q474" s="12"/>
      <c r="R474" s="12"/>
      <c r="S474" s="12"/>
      <c r="T474" s="12"/>
      <c r="U474" s="11"/>
      <c r="Y474" s="3"/>
    </row>
    <row r="475" spans="2:25" ht="24.75" hidden="1" customHeight="1" x14ac:dyDescent="0.25">
      <c r="B475" s="9"/>
      <c r="C475" s="11"/>
      <c r="D475" s="11"/>
      <c r="E475" s="11"/>
      <c r="F475" s="12"/>
      <c r="G475" s="12"/>
      <c r="H475" s="12"/>
      <c r="I475" s="12"/>
      <c r="J475" s="12"/>
      <c r="K475" s="12"/>
      <c r="L475" s="56"/>
      <c r="M475" s="12"/>
      <c r="N475" s="12"/>
      <c r="O475" s="12"/>
      <c r="P475" s="12"/>
      <c r="Q475" s="12"/>
      <c r="R475" s="12"/>
      <c r="S475" s="12"/>
      <c r="T475" s="12"/>
      <c r="U475" s="11"/>
      <c r="Y475" s="3"/>
    </row>
    <row r="476" spans="2:25" ht="24.75" hidden="1" customHeight="1" x14ac:dyDescent="0.25">
      <c r="B476" s="9"/>
      <c r="C476" s="11"/>
      <c r="D476" s="11"/>
      <c r="E476" s="11"/>
      <c r="F476" s="12"/>
      <c r="G476" s="12"/>
      <c r="H476" s="12"/>
      <c r="I476" s="12"/>
      <c r="J476" s="12"/>
      <c r="K476" s="12"/>
      <c r="L476" s="56"/>
      <c r="M476" s="12"/>
      <c r="N476" s="12"/>
      <c r="O476" s="12"/>
      <c r="P476" s="12"/>
      <c r="Q476" s="12"/>
      <c r="R476" s="12"/>
      <c r="S476" s="12"/>
      <c r="T476" s="12"/>
      <c r="U476" s="11"/>
      <c r="Y476" s="3"/>
    </row>
    <row r="477" spans="2:25" ht="24.75" hidden="1" customHeight="1" x14ac:dyDescent="0.25">
      <c r="B477" s="9"/>
      <c r="C477" s="11"/>
      <c r="D477" s="11"/>
      <c r="E477" s="11"/>
      <c r="F477" s="12"/>
      <c r="G477" s="12"/>
      <c r="H477" s="12"/>
      <c r="I477" s="12"/>
      <c r="J477" s="12"/>
      <c r="K477" s="12"/>
      <c r="L477" s="56"/>
      <c r="M477" s="12"/>
      <c r="N477" s="12"/>
      <c r="O477" s="12"/>
      <c r="P477" s="12"/>
      <c r="Q477" s="12"/>
      <c r="R477" s="12"/>
      <c r="S477" s="12"/>
      <c r="T477" s="12"/>
      <c r="U477" s="11"/>
      <c r="Y477" s="3"/>
    </row>
    <row r="478" spans="2:25" ht="24.75" hidden="1" customHeight="1" x14ac:dyDescent="0.25">
      <c r="B478" s="9"/>
      <c r="C478" s="11"/>
      <c r="D478" s="11"/>
      <c r="E478" s="11"/>
      <c r="F478" s="12"/>
      <c r="G478" s="12"/>
      <c r="H478" s="12"/>
      <c r="I478" s="12"/>
      <c r="J478" s="12"/>
      <c r="K478" s="12"/>
      <c r="L478" s="56"/>
      <c r="M478" s="12"/>
      <c r="N478" s="12"/>
      <c r="O478" s="12"/>
      <c r="P478" s="12"/>
      <c r="Q478" s="12"/>
      <c r="R478" s="12"/>
      <c r="S478" s="12"/>
      <c r="T478" s="12"/>
      <c r="U478" s="11"/>
      <c r="Y478" s="3"/>
    </row>
    <row r="479" spans="2:25" ht="24.75" hidden="1" customHeight="1" x14ac:dyDescent="0.25">
      <c r="B479" s="9"/>
      <c r="C479" s="11"/>
      <c r="D479" s="11"/>
      <c r="E479" s="11"/>
      <c r="F479" s="12"/>
      <c r="G479" s="12"/>
      <c r="H479" s="12"/>
      <c r="I479" s="12"/>
      <c r="J479" s="12"/>
      <c r="K479" s="12"/>
      <c r="L479" s="56"/>
      <c r="M479" s="12"/>
      <c r="N479" s="12"/>
      <c r="O479" s="12"/>
      <c r="P479" s="12"/>
      <c r="Q479" s="12"/>
      <c r="R479" s="12"/>
      <c r="S479" s="12"/>
      <c r="T479" s="12"/>
      <c r="U479" s="11"/>
      <c r="Y479" s="3"/>
    </row>
    <row r="480" spans="2:25" ht="24.75" hidden="1" customHeight="1" x14ac:dyDescent="0.25">
      <c r="B480" s="9"/>
      <c r="C480" s="11"/>
      <c r="D480" s="11"/>
      <c r="E480" s="11"/>
      <c r="F480" s="12"/>
      <c r="G480" s="12"/>
      <c r="H480" s="12"/>
      <c r="I480" s="12"/>
      <c r="J480" s="12"/>
      <c r="K480" s="12"/>
      <c r="L480" s="56"/>
      <c r="M480" s="12"/>
      <c r="N480" s="12"/>
      <c r="O480" s="12"/>
      <c r="P480" s="12"/>
      <c r="Q480" s="12"/>
      <c r="R480" s="12"/>
      <c r="S480" s="12"/>
      <c r="T480" s="12"/>
      <c r="U480" s="11"/>
      <c r="Y480" s="3"/>
    </row>
    <row r="481" spans="2:25" ht="24.75" hidden="1" customHeight="1" x14ac:dyDescent="0.25">
      <c r="B481" s="9"/>
      <c r="C481" s="11"/>
      <c r="D481" s="11"/>
      <c r="E481" s="11"/>
      <c r="F481" s="12"/>
      <c r="G481" s="12"/>
      <c r="H481" s="12"/>
      <c r="I481" s="12"/>
      <c r="J481" s="12"/>
      <c r="K481" s="12"/>
      <c r="L481" s="56"/>
      <c r="M481" s="12"/>
      <c r="N481" s="12"/>
      <c r="O481" s="12"/>
      <c r="P481" s="12"/>
      <c r="Q481" s="12"/>
      <c r="R481" s="12"/>
      <c r="S481" s="12"/>
      <c r="T481" s="12"/>
      <c r="U481" s="11"/>
      <c r="Y481" s="3"/>
    </row>
    <row r="482" spans="2:25" ht="24.75" hidden="1" customHeight="1" x14ac:dyDescent="0.25">
      <c r="B482" s="9"/>
      <c r="C482" s="11"/>
      <c r="D482" s="11"/>
      <c r="E482" s="11"/>
      <c r="F482" s="12"/>
      <c r="G482" s="12"/>
      <c r="H482" s="12"/>
      <c r="I482" s="12"/>
      <c r="J482" s="12"/>
      <c r="K482" s="12"/>
      <c r="L482" s="56"/>
      <c r="M482" s="12"/>
      <c r="N482" s="12"/>
      <c r="O482" s="12"/>
      <c r="P482" s="12"/>
      <c r="Q482" s="12"/>
      <c r="R482" s="12"/>
      <c r="S482" s="12"/>
      <c r="T482" s="12"/>
      <c r="U482" s="11"/>
      <c r="Y482" s="3"/>
    </row>
    <row r="483" spans="2:25" ht="24.75" hidden="1" customHeight="1" x14ac:dyDescent="0.25">
      <c r="B483" s="9"/>
      <c r="C483" s="11"/>
      <c r="D483" s="11"/>
      <c r="E483" s="11"/>
      <c r="F483" s="12"/>
      <c r="G483" s="12"/>
      <c r="H483" s="12"/>
      <c r="I483" s="12"/>
      <c r="J483" s="12"/>
      <c r="K483" s="12"/>
      <c r="L483" s="56"/>
      <c r="M483" s="12"/>
      <c r="N483" s="12"/>
      <c r="O483" s="12"/>
      <c r="P483" s="12"/>
      <c r="Q483" s="12"/>
      <c r="R483" s="12"/>
      <c r="S483" s="12"/>
      <c r="T483" s="12"/>
      <c r="U483" s="11"/>
      <c r="Y483" s="3"/>
    </row>
    <row r="484" spans="2:25" ht="24.75" hidden="1" customHeight="1" x14ac:dyDescent="0.25">
      <c r="B484" s="9"/>
      <c r="C484" s="11"/>
      <c r="D484" s="11"/>
      <c r="E484" s="11"/>
      <c r="F484" s="12"/>
      <c r="G484" s="12"/>
      <c r="H484" s="12"/>
      <c r="I484" s="12"/>
      <c r="J484" s="12"/>
      <c r="K484" s="12"/>
      <c r="L484" s="56"/>
      <c r="M484" s="12"/>
      <c r="N484" s="12"/>
      <c r="O484" s="12"/>
      <c r="P484" s="12"/>
      <c r="Q484" s="12"/>
      <c r="R484" s="12"/>
      <c r="S484" s="12"/>
      <c r="T484" s="12"/>
      <c r="U484" s="11"/>
      <c r="Y484" s="3"/>
    </row>
    <row r="485" spans="2:25" ht="24.75" hidden="1" customHeight="1" x14ac:dyDescent="0.25">
      <c r="B485" s="9"/>
      <c r="C485" s="11"/>
      <c r="D485" s="11"/>
      <c r="E485" s="11"/>
      <c r="F485" s="12"/>
      <c r="G485" s="12"/>
      <c r="H485" s="12"/>
      <c r="I485" s="12"/>
      <c r="J485" s="12"/>
      <c r="K485" s="12"/>
      <c r="L485" s="56"/>
      <c r="M485" s="12"/>
      <c r="N485" s="12"/>
      <c r="O485" s="12"/>
      <c r="P485" s="12"/>
      <c r="Q485" s="12"/>
      <c r="R485" s="12"/>
      <c r="S485" s="12"/>
      <c r="T485" s="12"/>
      <c r="U485" s="11"/>
      <c r="Y485" s="3"/>
    </row>
    <row r="486" spans="2:25" ht="24.75" hidden="1" customHeight="1" x14ac:dyDescent="0.25">
      <c r="B486" s="9"/>
      <c r="C486" s="11"/>
      <c r="D486" s="11"/>
      <c r="E486" s="11"/>
      <c r="F486" s="12"/>
      <c r="G486" s="12"/>
      <c r="H486" s="12"/>
      <c r="I486" s="12"/>
      <c r="J486" s="12"/>
      <c r="K486" s="12"/>
      <c r="L486" s="56"/>
      <c r="M486" s="12"/>
      <c r="N486" s="12"/>
      <c r="O486" s="12"/>
      <c r="P486" s="12"/>
      <c r="Q486" s="12"/>
      <c r="R486" s="12"/>
      <c r="S486" s="12"/>
      <c r="T486" s="12"/>
      <c r="U486" s="11"/>
      <c r="Y486" s="3"/>
    </row>
    <row r="487" spans="2:25" ht="24.75" hidden="1" customHeight="1" x14ac:dyDescent="0.25">
      <c r="B487" s="9"/>
      <c r="C487" s="11"/>
      <c r="D487" s="11"/>
      <c r="E487" s="11"/>
      <c r="F487" s="12"/>
      <c r="G487" s="12"/>
      <c r="H487" s="12"/>
      <c r="I487" s="12"/>
      <c r="J487" s="12"/>
      <c r="K487" s="12"/>
      <c r="L487" s="56"/>
      <c r="M487" s="12"/>
      <c r="N487" s="12"/>
      <c r="O487" s="12"/>
      <c r="P487" s="12"/>
      <c r="Q487" s="12"/>
      <c r="R487" s="12"/>
      <c r="S487" s="12"/>
      <c r="T487" s="12"/>
      <c r="U487" s="11"/>
      <c r="Y487" s="3"/>
    </row>
    <row r="488" spans="2:25" ht="24.75" hidden="1" customHeight="1" x14ac:dyDescent="0.25">
      <c r="B488" s="9"/>
      <c r="C488" s="11"/>
      <c r="D488" s="11"/>
      <c r="E488" s="11"/>
      <c r="F488" s="12"/>
      <c r="G488" s="12"/>
      <c r="H488" s="12"/>
      <c r="I488" s="12"/>
      <c r="J488" s="12"/>
      <c r="K488" s="12"/>
      <c r="L488" s="56"/>
      <c r="M488" s="12"/>
      <c r="N488" s="12"/>
      <c r="O488" s="12"/>
      <c r="P488" s="12"/>
      <c r="Q488" s="12"/>
      <c r="R488" s="12"/>
      <c r="S488" s="12"/>
      <c r="T488" s="12"/>
      <c r="U488" s="11"/>
      <c r="Y488" s="3"/>
    </row>
    <row r="489" spans="2:25" ht="24.75" hidden="1" customHeight="1" x14ac:dyDescent="0.25">
      <c r="B489" s="9"/>
      <c r="C489" s="11"/>
      <c r="D489" s="11"/>
      <c r="E489" s="11"/>
      <c r="F489" s="12"/>
      <c r="G489" s="12"/>
      <c r="H489" s="12"/>
      <c r="I489" s="12"/>
      <c r="J489" s="12"/>
      <c r="K489" s="12"/>
      <c r="L489" s="56"/>
      <c r="M489" s="12"/>
      <c r="N489" s="12"/>
      <c r="O489" s="12"/>
      <c r="P489" s="12"/>
      <c r="Q489" s="12"/>
      <c r="R489" s="12"/>
      <c r="S489" s="12"/>
      <c r="T489" s="12"/>
      <c r="U489" s="11"/>
      <c r="Y489" s="3"/>
    </row>
    <row r="490" spans="2:25" ht="24.75" hidden="1" customHeight="1" x14ac:dyDescent="0.25">
      <c r="B490" s="9"/>
      <c r="C490" s="11"/>
      <c r="D490" s="11"/>
      <c r="E490" s="11"/>
      <c r="F490" s="12"/>
      <c r="G490" s="12"/>
      <c r="H490" s="12"/>
      <c r="I490" s="12"/>
      <c r="J490" s="12"/>
      <c r="K490" s="12"/>
      <c r="L490" s="56"/>
      <c r="M490" s="12"/>
      <c r="N490" s="12"/>
      <c r="O490" s="12"/>
      <c r="P490" s="12"/>
      <c r="Q490" s="12"/>
      <c r="R490" s="12"/>
      <c r="S490" s="12"/>
      <c r="T490" s="12"/>
      <c r="U490" s="11"/>
      <c r="Y490" s="3"/>
    </row>
    <row r="491" spans="2:25" ht="24.75" hidden="1" customHeight="1" x14ac:dyDescent="0.25">
      <c r="B491" s="9"/>
      <c r="C491" s="11"/>
      <c r="D491" s="11"/>
      <c r="E491" s="11"/>
      <c r="F491" s="12"/>
      <c r="G491" s="12"/>
      <c r="H491" s="12"/>
      <c r="I491" s="12"/>
      <c r="J491" s="12"/>
      <c r="K491" s="12"/>
      <c r="L491" s="56"/>
      <c r="M491" s="12"/>
      <c r="N491" s="12"/>
      <c r="O491" s="12"/>
      <c r="P491" s="12"/>
      <c r="Q491" s="12"/>
      <c r="R491" s="12"/>
      <c r="S491" s="12"/>
      <c r="T491" s="12"/>
      <c r="U491" s="11"/>
      <c r="Y491" s="3"/>
    </row>
    <row r="492" spans="2:25" ht="24.75" hidden="1" customHeight="1" x14ac:dyDescent="0.25">
      <c r="B492" s="9"/>
      <c r="C492" s="11"/>
      <c r="D492" s="11"/>
      <c r="E492" s="11"/>
      <c r="F492" s="12"/>
      <c r="G492" s="12"/>
      <c r="H492" s="12"/>
      <c r="I492" s="12"/>
      <c r="J492" s="12"/>
      <c r="K492" s="12"/>
      <c r="L492" s="56"/>
      <c r="M492" s="12"/>
      <c r="N492" s="12"/>
      <c r="O492" s="12"/>
      <c r="P492" s="12"/>
      <c r="Q492" s="12"/>
      <c r="R492" s="12"/>
      <c r="S492" s="12"/>
      <c r="T492" s="12"/>
      <c r="U492" s="11"/>
      <c r="Y492" s="3"/>
    </row>
    <row r="493" spans="2:25" ht="24.75" hidden="1" customHeight="1" x14ac:dyDescent="0.25">
      <c r="B493" s="9"/>
      <c r="C493" s="11"/>
      <c r="D493" s="11"/>
      <c r="E493" s="11"/>
      <c r="F493" s="12"/>
      <c r="G493" s="12"/>
      <c r="H493" s="12"/>
      <c r="I493" s="12"/>
      <c r="J493" s="12"/>
      <c r="K493" s="12"/>
      <c r="L493" s="56"/>
      <c r="M493" s="12"/>
      <c r="N493" s="12"/>
      <c r="O493" s="12"/>
      <c r="P493" s="12"/>
      <c r="Q493" s="12"/>
      <c r="R493" s="12"/>
      <c r="S493" s="12"/>
      <c r="T493" s="12"/>
      <c r="U493" s="11"/>
      <c r="Y493" s="3"/>
    </row>
    <row r="494" spans="2:25" ht="24.75" hidden="1" customHeight="1" x14ac:dyDescent="0.25">
      <c r="B494" s="9"/>
      <c r="C494" s="11"/>
      <c r="D494" s="11"/>
      <c r="E494" s="11"/>
      <c r="F494" s="12"/>
      <c r="G494" s="12"/>
      <c r="H494" s="12"/>
      <c r="I494" s="12"/>
      <c r="J494" s="12"/>
      <c r="K494" s="12"/>
      <c r="L494" s="56"/>
      <c r="M494" s="12"/>
      <c r="N494" s="12"/>
      <c r="O494" s="12"/>
      <c r="P494" s="12"/>
      <c r="Q494" s="12"/>
      <c r="R494" s="12"/>
      <c r="S494" s="12"/>
      <c r="T494" s="12"/>
      <c r="U494" s="11"/>
      <c r="Y494" s="3"/>
    </row>
    <row r="495" spans="2:25" ht="24.75" hidden="1" customHeight="1" x14ac:dyDescent="0.25">
      <c r="B495" s="9"/>
      <c r="C495" s="11"/>
      <c r="D495" s="11"/>
      <c r="E495" s="11"/>
      <c r="F495" s="12"/>
      <c r="G495" s="12"/>
      <c r="H495" s="12"/>
      <c r="I495" s="12"/>
      <c r="J495" s="12"/>
      <c r="K495" s="12"/>
      <c r="L495" s="56"/>
      <c r="M495" s="12"/>
      <c r="N495" s="12"/>
      <c r="O495" s="12"/>
      <c r="P495" s="12"/>
      <c r="Q495" s="12"/>
      <c r="R495" s="12"/>
      <c r="S495" s="12"/>
      <c r="T495" s="12"/>
      <c r="U495" s="11"/>
      <c r="Y495" s="3"/>
    </row>
    <row r="496" spans="2:25" ht="24.75" hidden="1" customHeight="1" x14ac:dyDescent="0.25">
      <c r="B496" s="9"/>
      <c r="C496" s="11"/>
      <c r="D496" s="11"/>
      <c r="E496" s="11"/>
      <c r="F496" s="12"/>
      <c r="G496" s="12"/>
      <c r="H496" s="12"/>
      <c r="I496" s="12"/>
      <c r="J496" s="12"/>
      <c r="K496" s="12"/>
      <c r="L496" s="56"/>
      <c r="M496" s="12"/>
      <c r="N496" s="12"/>
      <c r="O496" s="12"/>
      <c r="P496" s="12"/>
      <c r="Q496" s="12"/>
      <c r="R496" s="12"/>
      <c r="S496" s="12"/>
      <c r="T496" s="12"/>
      <c r="U496" s="11"/>
      <c r="Y496" s="3"/>
    </row>
    <row r="497" spans="2:25" ht="24.75" hidden="1" customHeight="1" x14ac:dyDescent="0.25">
      <c r="B497" s="9"/>
      <c r="C497" s="11"/>
      <c r="D497" s="11"/>
      <c r="E497" s="11"/>
      <c r="F497" s="12"/>
      <c r="G497" s="12"/>
      <c r="H497" s="12"/>
      <c r="I497" s="12"/>
      <c r="J497" s="12"/>
      <c r="K497" s="12"/>
      <c r="L497" s="56"/>
      <c r="M497" s="12"/>
      <c r="N497" s="12"/>
      <c r="O497" s="12"/>
      <c r="P497" s="12"/>
      <c r="Q497" s="12"/>
      <c r="R497" s="12"/>
      <c r="S497" s="12"/>
      <c r="T497" s="12"/>
      <c r="U497" s="11"/>
      <c r="Y497" s="3"/>
    </row>
    <row r="498" spans="2:25" ht="24.75" hidden="1" customHeight="1" x14ac:dyDescent="0.25">
      <c r="B498" s="9"/>
      <c r="C498" s="11"/>
      <c r="D498" s="11"/>
      <c r="E498" s="11"/>
      <c r="F498" s="12"/>
      <c r="G498" s="12"/>
      <c r="H498" s="12"/>
      <c r="I498" s="12"/>
      <c r="J498" s="12"/>
      <c r="K498" s="12"/>
      <c r="L498" s="56"/>
      <c r="M498" s="12"/>
      <c r="N498" s="12"/>
      <c r="O498" s="12"/>
      <c r="P498" s="12"/>
      <c r="Q498" s="12"/>
      <c r="R498" s="12"/>
      <c r="S498" s="12"/>
      <c r="T498" s="12"/>
      <c r="U498" s="11"/>
      <c r="Y498" s="3"/>
    </row>
    <row r="499" spans="2:25" ht="24.75" hidden="1" customHeight="1" x14ac:dyDescent="0.25">
      <c r="B499" s="9"/>
      <c r="C499" s="11"/>
      <c r="D499" s="11"/>
      <c r="E499" s="11"/>
      <c r="F499" s="12"/>
      <c r="G499" s="12"/>
      <c r="H499" s="12"/>
      <c r="I499" s="12"/>
      <c r="J499" s="12"/>
      <c r="K499" s="12"/>
      <c r="L499" s="56"/>
      <c r="M499" s="12"/>
      <c r="N499" s="12"/>
      <c r="O499" s="12"/>
      <c r="P499" s="12"/>
      <c r="Q499" s="12"/>
      <c r="R499" s="12"/>
      <c r="S499" s="12"/>
      <c r="T499" s="12"/>
      <c r="U499" s="11"/>
      <c r="Y499" s="3"/>
    </row>
    <row r="500" spans="2:25" ht="24.75" hidden="1" customHeight="1" x14ac:dyDescent="0.25">
      <c r="B500" s="9"/>
      <c r="C500" s="11"/>
      <c r="D500" s="11"/>
      <c r="E500" s="11"/>
      <c r="F500" s="12"/>
      <c r="G500" s="12"/>
      <c r="H500" s="12"/>
      <c r="I500" s="12"/>
      <c r="J500" s="12"/>
      <c r="K500" s="12"/>
      <c r="L500" s="56"/>
      <c r="M500" s="12"/>
      <c r="N500" s="12"/>
      <c r="O500" s="12"/>
      <c r="P500" s="12"/>
      <c r="Q500" s="12"/>
      <c r="R500" s="12"/>
      <c r="S500" s="12"/>
      <c r="T500" s="12"/>
      <c r="U500" s="11"/>
      <c r="Y500" s="3"/>
    </row>
    <row r="501" spans="2:25" ht="24.75" hidden="1" customHeight="1" x14ac:dyDescent="0.25">
      <c r="B501" s="9"/>
      <c r="C501" s="11"/>
      <c r="D501" s="11"/>
      <c r="E501" s="11"/>
      <c r="F501" s="12"/>
      <c r="G501" s="12"/>
      <c r="H501" s="12"/>
      <c r="I501" s="12"/>
      <c r="J501" s="12"/>
      <c r="K501" s="12"/>
      <c r="L501" s="56"/>
      <c r="M501" s="12"/>
      <c r="N501" s="12"/>
      <c r="O501" s="12"/>
      <c r="P501" s="12"/>
      <c r="Q501" s="12"/>
      <c r="R501" s="12"/>
      <c r="S501" s="12"/>
      <c r="T501" s="12"/>
      <c r="U501" s="11"/>
      <c r="Y501" s="3"/>
    </row>
    <row r="502" spans="2:25" ht="24.75" hidden="1" customHeight="1" x14ac:dyDescent="0.25">
      <c r="B502" s="9"/>
      <c r="C502" s="11"/>
      <c r="D502" s="11"/>
      <c r="E502" s="11"/>
      <c r="F502" s="12"/>
      <c r="G502" s="12"/>
      <c r="H502" s="12"/>
      <c r="I502" s="12"/>
      <c r="J502" s="12"/>
      <c r="K502" s="12"/>
      <c r="L502" s="56"/>
      <c r="M502" s="12"/>
      <c r="N502" s="12"/>
      <c r="O502" s="12"/>
      <c r="P502" s="12"/>
      <c r="Q502" s="12"/>
      <c r="R502" s="12"/>
      <c r="S502" s="12"/>
      <c r="T502" s="12"/>
      <c r="U502" s="11"/>
      <c r="Y502" s="3"/>
    </row>
    <row r="503" spans="2:25" ht="24.75" hidden="1" customHeight="1" x14ac:dyDescent="0.25">
      <c r="B503" s="9"/>
      <c r="C503" s="11"/>
      <c r="D503" s="11"/>
      <c r="E503" s="11"/>
      <c r="F503" s="12"/>
      <c r="G503" s="12"/>
      <c r="H503" s="12"/>
      <c r="I503" s="12"/>
      <c r="J503" s="12"/>
      <c r="K503" s="12"/>
      <c r="L503" s="56"/>
      <c r="M503" s="12"/>
      <c r="N503" s="12"/>
      <c r="O503" s="12"/>
      <c r="P503" s="12"/>
      <c r="Q503" s="12"/>
      <c r="R503" s="12"/>
      <c r="S503" s="12"/>
      <c r="T503" s="12"/>
      <c r="U503" s="11"/>
      <c r="Y503" s="3"/>
    </row>
    <row r="504" spans="2:25" ht="24.75" hidden="1" customHeight="1" x14ac:dyDescent="0.25">
      <c r="B504" s="9"/>
      <c r="C504" s="11"/>
      <c r="D504" s="11"/>
      <c r="E504" s="11"/>
      <c r="F504" s="12"/>
      <c r="G504" s="12"/>
      <c r="H504" s="12"/>
      <c r="I504" s="12"/>
      <c r="J504" s="12"/>
      <c r="K504" s="12"/>
      <c r="L504" s="56"/>
      <c r="M504" s="12"/>
      <c r="N504" s="12"/>
      <c r="O504" s="12"/>
      <c r="P504" s="12"/>
      <c r="Q504" s="12"/>
      <c r="R504" s="12"/>
      <c r="S504" s="12"/>
      <c r="T504" s="12"/>
      <c r="U504" s="11"/>
      <c r="Y504" s="3"/>
    </row>
    <row r="505" spans="2:25" ht="24.75" hidden="1" customHeight="1" x14ac:dyDescent="0.25">
      <c r="B505" s="9"/>
      <c r="C505" s="11"/>
      <c r="D505" s="11"/>
      <c r="E505" s="11"/>
      <c r="F505" s="12"/>
      <c r="G505" s="12"/>
      <c r="H505" s="12"/>
      <c r="I505" s="12"/>
      <c r="J505" s="12"/>
      <c r="K505" s="12"/>
      <c r="L505" s="56"/>
      <c r="M505" s="12"/>
      <c r="N505" s="12"/>
      <c r="O505" s="12"/>
      <c r="P505" s="12"/>
      <c r="Q505" s="12"/>
      <c r="R505" s="12"/>
      <c r="S505" s="12"/>
      <c r="T505" s="12"/>
      <c r="U505" s="11"/>
      <c r="Y505" s="3"/>
    </row>
    <row r="506" spans="2:25" ht="24.75" hidden="1" customHeight="1" x14ac:dyDescent="0.25">
      <c r="B506" s="9"/>
      <c r="C506" s="11"/>
      <c r="D506" s="11"/>
      <c r="E506" s="11"/>
      <c r="F506" s="12"/>
      <c r="G506" s="12"/>
      <c r="H506" s="12"/>
      <c r="I506" s="12"/>
      <c r="J506" s="12"/>
      <c r="K506" s="12"/>
      <c r="L506" s="56"/>
      <c r="M506" s="12"/>
      <c r="N506" s="12"/>
      <c r="O506" s="12"/>
      <c r="P506" s="12"/>
      <c r="Q506" s="12"/>
      <c r="R506" s="12"/>
      <c r="S506" s="12"/>
      <c r="T506" s="12"/>
      <c r="U506" s="11"/>
      <c r="Y506" s="3"/>
    </row>
    <row r="507" spans="2:25" ht="24.75" hidden="1" customHeight="1" x14ac:dyDescent="0.25">
      <c r="B507" s="9"/>
      <c r="C507" s="11"/>
      <c r="D507" s="11"/>
      <c r="E507" s="11"/>
      <c r="F507" s="12"/>
      <c r="G507" s="12"/>
      <c r="H507" s="12"/>
      <c r="I507" s="12"/>
      <c r="J507" s="12"/>
      <c r="K507" s="12"/>
      <c r="L507" s="56"/>
      <c r="M507" s="12"/>
      <c r="N507" s="12"/>
      <c r="O507" s="12"/>
      <c r="P507" s="12"/>
      <c r="Q507" s="12"/>
      <c r="R507" s="12"/>
      <c r="S507" s="12"/>
      <c r="T507" s="12"/>
      <c r="U507" s="11"/>
      <c r="Y507" s="3"/>
    </row>
    <row r="508" spans="2:25" ht="24.75" hidden="1" customHeight="1" x14ac:dyDescent="0.25">
      <c r="B508" s="9"/>
      <c r="C508" s="11"/>
      <c r="D508" s="11"/>
      <c r="E508" s="11"/>
      <c r="F508" s="12"/>
      <c r="G508" s="12"/>
      <c r="H508" s="12"/>
      <c r="I508" s="12"/>
      <c r="J508" s="12"/>
      <c r="K508" s="12"/>
      <c r="L508" s="56"/>
      <c r="M508" s="12"/>
      <c r="N508" s="12"/>
      <c r="O508" s="12"/>
      <c r="P508" s="12"/>
      <c r="Q508" s="12"/>
      <c r="R508" s="12"/>
      <c r="S508" s="12"/>
      <c r="T508" s="12"/>
      <c r="U508" s="11"/>
      <c r="Y508" s="3"/>
    </row>
    <row r="509" spans="2:25" ht="24.75" hidden="1" customHeight="1" x14ac:dyDescent="0.25">
      <c r="B509" s="9"/>
      <c r="C509" s="11"/>
      <c r="D509" s="11"/>
      <c r="E509" s="11"/>
      <c r="F509" s="12"/>
      <c r="G509" s="12"/>
      <c r="H509" s="12"/>
      <c r="I509" s="12"/>
      <c r="J509" s="12"/>
      <c r="K509" s="12"/>
      <c r="L509" s="56"/>
      <c r="M509" s="12"/>
      <c r="N509" s="12"/>
      <c r="O509" s="12"/>
      <c r="P509" s="12"/>
      <c r="Q509" s="12"/>
      <c r="R509" s="12"/>
      <c r="S509" s="12"/>
      <c r="T509" s="12"/>
      <c r="U509" s="11"/>
      <c r="Y509" s="3"/>
    </row>
    <row r="510" spans="2:25" ht="24.75" hidden="1" customHeight="1" x14ac:dyDescent="0.25">
      <c r="B510" s="9"/>
      <c r="C510" s="11"/>
      <c r="D510" s="11"/>
      <c r="E510" s="11"/>
      <c r="F510" s="12"/>
      <c r="G510" s="12"/>
      <c r="H510" s="12"/>
      <c r="I510" s="12"/>
      <c r="J510" s="12"/>
      <c r="K510" s="12"/>
      <c r="L510" s="56"/>
      <c r="M510" s="12"/>
      <c r="N510" s="12"/>
      <c r="O510" s="12"/>
      <c r="P510" s="12"/>
      <c r="Q510" s="12"/>
      <c r="R510" s="12"/>
      <c r="S510" s="12"/>
      <c r="T510" s="12"/>
      <c r="U510" s="11"/>
      <c r="Y510" s="3"/>
    </row>
    <row r="511" spans="2:25" ht="24.75" hidden="1" customHeight="1" x14ac:dyDescent="0.25">
      <c r="B511" s="9"/>
      <c r="C511" s="11"/>
      <c r="D511" s="11"/>
      <c r="E511" s="11"/>
      <c r="F511" s="12"/>
      <c r="G511" s="12"/>
      <c r="H511" s="12"/>
      <c r="I511" s="12"/>
      <c r="J511" s="12"/>
      <c r="K511" s="12"/>
      <c r="L511" s="56"/>
      <c r="M511" s="12"/>
      <c r="N511" s="12"/>
      <c r="O511" s="12"/>
      <c r="P511" s="12"/>
      <c r="Q511" s="12"/>
      <c r="R511" s="12"/>
      <c r="S511" s="12"/>
      <c r="T511" s="12"/>
      <c r="U511" s="11"/>
      <c r="Y511" s="3"/>
    </row>
    <row r="512" spans="2:25" ht="24.75" hidden="1" customHeight="1" x14ac:dyDescent="0.25">
      <c r="B512" s="9"/>
      <c r="C512" s="11"/>
      <c r="D512" s="11"/>
      <c r="E512" s="11"/>
      <c r="F512" s="12"/>
      <c r="G512" s="12"/>
      <c r="H512" s="12"/>
      <c r="I512" s="12"/>
      <c r="J512" s="12"/>
      <c r="K512" s="12"/>
      <c r="L512" s="56"/>
      <c r="M512" s="12"/>
      <c r="N512" s="12"/>
      <c r="O512" s="12"/>
      <c r="P512" s="12"/>
      <c r="Q512" s="12"/>
      <c r="R512" s="12"/>
      <c r="S512" s="12"/>
      <c r="T512" s="12"/>
      <c r="U512" s="11"/>
      <c r="Y512" s="3"/>
    </row>
    <row r="513" spans="2:25" ht="24.75" hidden="1" customHeight="1" x14ac:dyDescent="0.25">
      <c r="B513" s="9"/>
      <c r="C513" s="11"/>
      <c r="D513" s="11"/>
      <c r="E513" s="11"/>
      <c r="F513" s="12"/>
      <c r="G513" s="12"/>
      <c r="H513" s="12"/>
      <c r="I513" s="12"/>
      <c r="J513" s="12"/>
      <c r="K513" s="12"/>
      <c r="L513" s="56"/>
      <c r="M513" s="12"/>
      <c r="N513" s="12"/>
      <c r="O513" s="12"/>
      <c r="P513" s="12"/>
      <c r="Q513" s="12"/>
      <c r="R513" s="12"/>
      <c r="S513" s="12"/>
      <c r="T513" s="12"/>
      <c r="U513" s="11"/>
      <c r="Y513" s="3"/>
    </row>
    <row r="514" spans="2:25" ht="24.75" hidden="1" customHeight="1" x14ac:dyDescent="0.25">
      <c r="B514" s="9"/>
      <c r="C514" s="11"/>
      <c r="D514" s="11"/>
      <c r="E514" s="11"/>
      <c r="F514" s="12"/>
      <c r="G514" s="12"/>
      <c r="H514" s="12"/>
      <c r="I514" s="12"/>
      <c r="J514" s="12"/>
      <c r="K514" s="12"/>
      <c r="L514" s="56"/>
      <c r="M514" s="12"/>
      <c r="N514" s="12"/>
      <c r="O514" s="12"/>
      <c r="P514" s="12"/>
      <c r="Q514" s="12"/>
      <c r="R514" s="12"/>
      <c r="S514" s="12"/>
      <c r="T514" s="12"/>
      <c r="U514" s="11"/>
      <c r="Y514" s="3"/>
    </row>
    <row r="515" spans="2:25" ht="24.75" hidden="1" customHeight="1" x14ac:dyDescent="0.25">
      <c r="B515" s="9"/>
      <c r="C515" s="11"/>
      <c r="D515" s="11"/>
      <c r="E515" s="11"/>
      <c r="F515" s="12"/>
      <c r="G515" s="12"/>
      <c r="H515" s="12"/>
      <c r="I515" s="12"/>
      <c r="J515" s="12"/>
      <c r="K515" s="12"/>
      <c r="L515" s="56"/>
      <c r="M515" s="12"/>
      <c r="N515" s="12"/>
      <c r="O515" s="12"/>
      <c r="P515" s="12"/>
      <c r="Q515" s="12"/>
      <c r="R515" s="12"/>
      <c r="S515" s="12"/>
      <c r="T515" s="12"/>
      <c r="U515" s="11"/>
      <c r="Y515" s="3"/>
    </row>
    <row r="516" spans="2:25" ht="24.75" hidden="1" customHeight="1" x14ac:dyDescent="0.25">
      <c r="B516" s="9"/>
      <c r="C516" s="11"/>
      <c r="D516" s="11"/>
      <c r="E516" s="11"/>
      <c r="F516" s="12"/>
      <c r="G516" s="12"/>
      <c r="H516" s="12"/>
      <c r="I516" s="12"/>
      <c r="J516" s="12"/>
      <c r="K516" s="12"/>
      <c r="L516" s="56"/>
      <c r="M516" s="12"/>
      <c r="N516" s="12"/>
      <c r="O516" s="12"/>
      <c r="P516" s="12"/>
      <c r="Q516" s="12"/>
      <c r="R516" s="12"/>
      <c r="S516" s="12"/>
      <c r="T516" s="12"/>
      <c r="U516" s="11"/>
      <c r="Y516" s="3"/>
    </row>
    <row r="517" spans="2:25" ht="24.75" hidden="1" customHeight="1" x14ac:dyDescent="0.25">
      <c r="B517" s="9"/>
      <c r="C517" s="11"/>
      <c r="D517" s="11"/>
      <c r="E517" s="11"/>
      <c r="F517" s="12"/>
      <c r="G517" s="12"/>
      <c r="H517" s="12"/>
      <c r="I517" s="12"/>
      <c r="J517" s="12"/>
      <c r="K517" s="12"/>
      <c r="L517" s="56"/>
      <c r="M517" s="12"/>
      <c r="N517" s="12"/>
      <c r="O517" s="12"/>
      <c r="P517" s="12"/>
      <c r="Q517" s="12"/>
      <c r="R517" s="12"/>
      <c r="S517" s="12"/>
      <c r="T517" s="12"/>
      <c r="U517" s="11"/>
      <c r="Y517" s="3"/>
    </row>
  </sheetData>
  <autoFilter ref="B5:U348" xr:uid="{00000000-0009-0000-0000-000000000000}"/>
  <mergeCells count="1">
    <mergeCell ref="B1:U4"/>
  </mergeCells>
  <phoneticPr fontId="10" type="noConversion"/>
  <conditionalFormatting sqref="T6:T348">
    <cfRule type="cellIs" dxfId="26" priority="13" operator="between">
      <formula>0.39</formula>
      <formula>0</formula>
    </cfRule>
    <cfRule type="cellIs" dxfId="25" priority="14" operator="between">
      <formula>0.69</formula>
      <formula>0.4</formula>
    </cfRule>
    <cfRule type="cellIs" dxfId="24" priority="15" operator="between">
      <formula>1</formula>
      <formula>0.7</formula>
    </cfRule>
  </conditionalFormatting>
  <dataValidations count="1">
    <dataValidation type="list" allowBlank="1" showInputMessage="1" showErrorMessage="1" sqref="T349:T517 F6:S517" xr:uid="{00000000-0002-0000-0000-000000000000}">
      <formula1>$W$2:$W$4</formula1>
    </dataValidation>
  </dataValidations>
  <printOptions horizontalCentered="1"/>
  <pageMargins left="0" right="0" top="0.19685039370078741" bottom="0.19685039370078741" header="0.19685039370078741" footer="0.19685039370078741"/>
  <pageSetup paperSize="9" scale="1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36" operator="beginsWith" id="{11AA46F6-0E18-4562-B7C3-FAC74FC74100}">
            <xm:f>LEFT(F7,LEN($W$3))=$W$3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137" operator="beginsWith" id="{B251C68C-B7C4-4902-A2C2-5BD7E60B6A19}">
            <xm:f>LEFT(F7,LEN($W$2))=$W$2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F7 I7:O7 F8:O517 S7:S348 S349:T517</xm:sqref>
        </x14:conditionalFormatting>
        <x14:conditionalFormatting xmlns:xm="http://schemas.microsoft.com/office/excel/2006/main">
          <x14:cfRule type="beginsWith" priority="30" operator="beginsWith" id="{DF7CFB81-F676-4475-B0DE-6E2216035EC5}">
            <xm:f>LEFT(S13,LEN($W$3))=$W$3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31" operator="beginsWith" id="{2CA68336-5760-4452-8449-4D36B9BA1A15}">
            <xm:f>LEFT(S13,LEN($W$2))=$W$2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S13</xm:sqref>
        </x14:conditionalFormatting>
        <x14:conditionalFormatting xmlns:xm="http://schemas.microsoft.com/office/excel/2006/main">
          <x14:cfRule type="beginsWith" priority="20" operator="beginsWith" id="{3F814A40-9A20-4B08-94A5-45B769E48A2A}">
            <xm:f>LEFT(F6,LEN($W$3))=$W$3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21" operator="beginsWith" id="{B3582E43-0E4C-4379-A87C-065DF81145B3}">
            <xm:f>LEFT(F6,LEN($W$2))=$W$2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F6:S6</xm:sqref>
        </x14:conditionalFormatting>
        <x14:conditionalFormatting xmlns:xm="http://schemas.microsoft.com/office/excel/2006/main">
          <x14:cfRule type="beginsWith" priority="18" operator="beginsWith" id="{DAAFFD04-7BDE-4FAA-91E6-7A9DB76324EC}">
            <xm:f>LEFT(G7,LEN($W$3))=$W$3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19" operator="beginsWith" id="{AAFED4FE-83D3-4B2F-B17C-407B34ACBF8B}">
            <xm:f>LEFT(G7,LEN($W$2))=$W$2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G7:H7</xm:sqref>
        </x14:conditionalFormatting>
        <x14:conditionalFormatting xmlns:xm="http://schemas.microsoft.com/office/excel/2006/main">
          <x14:cfRule type="beginsWith" priority="22" operator="beginsWith" id="{7C09FFD5-77E0-42C7-BAB1-7EF9EFDA9FC7}">
            <xm:f>LEFT(F7,LEN($W$3))=$W$3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23" operator="beginsWith" id="{AAD1AF3E-6983-4E6A-9716-7C7CE2E12F0C}">
            <xm:f>LEFT(F7,LEN($W$2))=$W$2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beginsWith" priority="16" operator="beginsWith" id="{871E2BA7-6F99-4764-8A64-0DB5B0EC3CA1}">
            <xm:f>LEFT(T6,LEN($X$3))=$X$3</xm:f>
            <xm:f>$X$3</xm:f>
            <x14:dxf>
              <fill>
                <patternFill>
                  <bgColor rgb="FFFF5050"/>
                </patternFill>
              </fill>
            </x14:dxf>
          </x14:cfRule>
          <x14:cfRule type="beginsWith" priority="17" operator="beginsWith" id="{9E3C706E-DC31-40B2-B4AA-04A859227C0C}">
            <xm:f>LEFT(T6,LEN($X$2))=$X$2</xm:f>
            <xm:f>$X$2</xm:f>
            <x14:dxf>
              <fill>
                <patternFill>
                  <bgColor rgb="FF00CC66"/>
                </patternFill>
              </fill>
            </x14:dxf>
          </x14:cfRule>
          <xm:sqref>T6:T348</xm:sqref>
        </x14:conditionalFormatting>
        <x14:conditionalFormatting xmlns:xm="http://schemas.microsoft.com/office/excel/2006/main">
          <x14:cfRule type="beginsWith" priority="11" operator="beginsWith" id="{25FE6B4A-8723-4DE1-A57B-C1218E8E0F7C}">
            <xm:f>LEFT(P7,LEN($W$3))=$W$3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12" operator="beginsWith" id="{5F062C6E-0632-45F4-A808-B58151956B03}">
            <xm:f>LEFT(P7,LEN($W$2))=$W$2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P7:P517</xm:sqref>
        </x14:conditionalFormatting>
        <x14:conditionalFormatting xmlns:xm="http://schemas.microsoft.com/office/excel/2006/main">
          <x14:cfRule type="beginsWith" priority="9" operator="beginsWith" id="{3D314FBB-CF74-4A01-A0D2-429189E4FB4E}">
            <xm:f>LEFT(P13,LEN($W$3))=$W$3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10" operator="beginsWith" id="{30CD29D2-6DD2-4F3D-AB44-50C105BACF5C}">
            <xm:f>LEFT(P13,LEN($W$2))=$W$2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P13</xm:sqref>
        </x14:conditionalFormatting>
        <x14:conditionalFormatting xmlns:xm="http://schemas.microsoft.com/office/excel/2006/main">
          <x14:cfRule type="beginsWith" priority="7" operator="beginsWith" id="{0EC0395E-39D8-4516-A287-2A4E4EDFD903}">
            <xm:f>LEFT(Q7,LEN($W$3))=$W$3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8" operator="beginsWith" id="{538D412D-DD07-4BAC-9C11-2A6FADE4EE0A}">
            <xm:f>LEFT(Q7,LEN($W$2))=$W$2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Q7:Q517</xm:sqref>
        </x14:conditionalFormatting>
        <x14:conditionalFormatting xmlns:xm="http://schemas.microsoft.com/office/excel/2006/main">
          <x14:cfRule type="beginsWith" priority="5" operator="beginsWith" id="{E0173A93-9D5D-4C9C-86D9-441FC705E456}">
            <xm:f>LEFT(Q13,LEN($W$3))=$W$3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6" operator="beginsWith" id="{92B9DDFA-3370-473C-849A-8C04E6B6187A}">
            <xm:f>LEFT(Q13,LEN($W$2))=$W$2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Q13</xm:sqref>
        </x14:conditionalFormatting>
        <x14:conditionalFormatting xmlns:xm="http://schemas.microsoft.com/office/excel/2006/main">
          <x14:cfRule type="beginsWith" priority="3" operator="beginsWith" id="{7EA3BE69-B8DC-41EB-9BEA-059F41BC9104}">
            <xm:f>LEFT(R7,LEN($W$3))=$W$3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4" operator="beginsWith" id="{40072425-13BD-4DFE-8F3F-69E98F53C987}">
            <xm:f>LEFT(R7,LEN($W$2))=$W$2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R7:R517</xm:sqref>
        </x14:conditionalFormatting>
        <x14:conditionalFormatting xmlns:xm="http://schemas.microsoft.com/office/excel/2006/main">
          <x14:cfRule type="beginsWith" priority="1" operator="beginsWith" id="{4CA6F4E7-725D-4137-A4BC-A0C9CEB1E20E}">
            <xm:f>LEFT(R13,LEN($W$3))=$W$3</xm:f>
            <xm:f>$W$3</xm:f>
            <x14:dxf>
              <fill>
                <patternFill>
                  <bgColor rgb="FFFF5050"/>
                </patternFill>
              </fill>
            </x14:dxf>
          </x14:cfRule>
          <x14:cfRule type="beginsWith" priority="2" operator="beginsWith" id="{7793A6C9-6E4A-441F-A97A-5E9C324DFC16}">
            <xm:f>LEFT(R13,LEN($W$2))=$W$2</xm:f>
            <xm:f>$W$2</xm:f>
            <x14:dxf>
              <fill>
                <patternFill>
                  <bgColor rgb="FF00CC66"/>
                </patternFill>
              </fill>
            </x14:dxf>
          </x14:cfRule>
          <xm:sqref>R13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3044-465B-4D5E-BD56-BA05851CC221}">
  <dimension ref="A4:AU348"/>
  <sheetViews>
    <sheetView topLeftCell="D1" workbookViewId="0">
      <selection activeCell="M12" sqref="M12"/>
    </sheetView>
  </sheetViews>
  <sheetFormatPr defaultRowHeight="15" x14ac:dyDescent="0.25"/>
  <cols>
    <col min="2" max="15" width="14.42578125" style="44" customWidth="1"/>
    <col min="18" max="31" width="13.7109375" customWidth="1"/>
    <col min="33" max="44" width="13" customWidth="1"/>
    <col min="45" max="46" width="13.7109375" customWidth="1"/>
  </cols>
  <sheetData>
    <row r="4" spans="1:47" ht="43.9" customHeight="1" x14ac:dyDescent="0.25">
      <c r="B4" s="58" t="s">
        <v>219</v>
      </c>
      <c r="C4" s="58" t="s">
        <v>8</v>
      </c>
      <c r="D4" s="58" t="s">
        <v>221</v>
      </c>
      <c r="E4" s="58" t="s">
        <v>220</v>
      </c>
      <c r="F4" s="58" t="s">
        <v>0</v>
      </c>
      <c r="G4" s="58" t="s">
        <v>1</v>
      </c>
      <c r="H4" s="58" t="s">
        <v>360</v>
      </c>
      <c r="I4" s="58" t="s">
        <v>4</v>
      </c>
      <c r="J4" s="58" t="s">
        <v>11</v>
      </c>
      <c r="K4" s="58" t="s">
        <v>218</v>
      </c>
      <c r="L4" s="58" t="s">
        <v>363</v>
      </c>
      <c r="M4" s="58" t="s">
        <v>222</v>
      </c>
      <c r="N4" s="58" t="s">
        <v>379</v>
      </c>
      <c r="O4" s="58" t="s">
        <v>380</v>
      </c>
      <c r="R4" s="59" t="s">
        <v>219</v>
      </c>
      <c r="S4" s="59" t="s">
        <v>8</v>
      </c>
      <c r="T4" s="59" t="s">
        <v>221</v>
      </c>
      <c r="U4" s="59" t="s">
        <v>220</v>
      </c>
      <c r="V4" s="59" t="s">
        <v>0</v>
      </c>
      <c r="W4" s="59" t="s">
        <v>1</v>
      </c>
      <c r="X4" s="59" t="s">
        <v>360</v>
      </c>
      <c r="Y4" s="59" t="s">
        <v>4</v>
      </c>
      <c r="Z4" s="59" t="s">
        <v>11</v>
      </c>
      <c r="AA4" s="59" t="s">
        <v>218</v>
      </c>
      <c r="AB4" s="59" t="s">
        <v>363</v>
      </c>
      <c r="AC4" s="59" t="s">
        <v>222</v>
      </c>
      <c r="AD4" s="59" t="s">
        <v>379</v>
      </c>
      <c r="AE4" s="59" t="s">
        <v>380</v>
      </c>
      <c r="AG4" s="59" t="s">
        <v>219</v>
      </c>
      <c r="AH4" s="59" t="s">
        <v>8</v>
      </c>
      <c r="AI4" s="59" t="s">
        <v>221</v>
      </c>
      <c r="AJ4" s="59" t="s">
        <v>220</v>
      </c>
      <c r="AK4" s="59" t="s">
        <v>0</v>
      </c>
      <c r="AL4" s="59" t="s">
        <v>1</v>
      </c>
      <c r="AM4" s="59" t="s">
        <v>360</v>
      </c>
      <c r="AN4" s="59" t="s">
        <v>4</v>
      </c>
      <c r="AO4" s="59" t="s">
        <v>11</v>
      </c>
      <c r="AP4" s="59" t="s">
        <v>218</v>
      </c>
      <c r="AQ4" s="59" t="s">
        <v>363</v>
      </c>
      <c r="AR4" s="59" t="s">
        <v>222</v>
      </c>
      <c r="AS4" s="59" t="s">
        <v>379</v>
      </c>
      <c r="AT4" s="59" t="s">
        <v>380</v>
      </c>
    </row>
    <row r="5" spans="1:47" x14ac:dyDescent="0.25">
      <c r="A5" s="45" t="s">
        <v>362</v>
      </c>
      <c r="B5" s="46">
        <v>0.02</v>
      </c>
      <c r="C5" s="46">
        <v>0.03</v>
      </c>
      <c r="D5" s="46">
        <v>0.03</v>
      </c>
      <c r="E5" s="46">
        <v>0.1</v>
      </c>
      <c r="F5" s="46">
        <v>0.21</v>
      </c>
      <c r="G5" s="46">
        <v>0.05</v>
      </c>
      <c r="H5" s="46">
        <v>0.24</v>
      </c>
      <c r="I5" s="46">
        <v>0.05</v>
      </c>
      <c r="J5" s="46">
        <v>0.04</v>
      </c>
      <c r="K5" s="46">
        <v>0.06</v>
      </c>
      <c r="L5" s="46">
        <v>0.08</v>
      </c>
      <c r="M5" s="46">
        <v>0.05</v>
      </c>
      <c r="N5" s="46">
        <v>0.02</v>
      </c>
      <c r="O5" s="46">
        <v>0.02</v>
      </c>
      <c r="P5" s="47">
        <f t="shared" ref="P5:P68" si="0">SUM(B5:O5)</f>
        <v>1</v>
      </c>
    </row>
    <row r="6" spans="1:47" x14ac:dyDescent="0.25">
      <c r="B6" s="48">
        <f>IF('Resultado da inspeção'!F6='Resultado da inspeção'!$W$4,0%,Ranking!B$5)</f>
        <v>0.02</v>
      </c>
      <c r="C6" s="48">
        <f>IF('Resultado da inspeção'!G6='Resultado da inspeção'!$W$4,0%,Ranking!C$5)</f>
        <v>0.03</v>
      </c>
      <c r="D6" s="48">
        <f>IF('Resultado da inspeção'!H6='Resultado da inspeção'!$W$4,0%,Ranking!D$5)</f>
        <v>0.03</v>
      </c>
      <c r="E6" s="48">
        <f>IF('Resultado da inspeção'!I6='Resultado da inspeção'!$W$4,0%,Ranking!E$5)</f>
        <v>0.1</v>
      </c>
      <c r="F6" s="48">
        <f>IF('Resultado da inspeção'!J6='Resultado da inspeção'!$W$4,0%,Ranking!F$5)</f>
        <v>0.21</v>
      </c>
      <c r="G6" s="48">
        <f>IF('Resultado da inspeção'!K6='Resultado da inspeção'!$W$4,0%,Ranking!G$5)</f>
        <v>0.05</v>
      </c>
      <c r="H6" s="48">
        <f>IF('Resultado da inspeção'!L6='Resultado da inspeção'!$W$4,0%,Ranking!H$5)</f>
        <v>0.24</v>
      </c>
      <c r="I6" s="48">
        <f>IF('Resultado da inspeção'!M6='Resultado da inspeção'!$W$4,0%,Ranking!I$5)</f>
        <v>0.05</v>
      </c>
      <c r="J6" s="48">
        <f>IF('Resultado da inspeção'!N6='Resultado da inspeção'!$W$4,0%,Ranking!J$5)</f>
        <v>0.04</v>
      </c>
      <c r="K6" s="48">
        <f>IF('Resultado da inspeção'!O6='Resultado da inspeção'!$W$4,0%,Ranking!K$5)</f>
        <v>0.06</v>
      </c>
      <c r="L6" s="48">
        <f>IF('Resultado da inspeção'!P6='Resultado da inspeção'!$W$4,0%,Ranking!L$5)</f>
        <v>0.08</v>
      </c>
      <c r="M6" s="48">
        <f>IF('Resultado da inspeção'!Q6='Resultado da inspeção'!$W$4,0%,Ranking!M$5)</f>
        <v>0.05</v>
      </c>
      <c r="N6" s="48">
        <f>IF('Resultado da inspeção'!R6='Resultado da inspeção'!$W$4,0%,Ranking!N$5)</f>
        <v>0.02</v>
      </c>
      <c r="O6" s="48">
        <f>IF('Resultado da inspeção'!S6='Resultado da inspeção'!$W$4,0%,Ranking!O$5)</f>
        <v>0.02</v>
      </c>
      <c r="P6" s="47">
        <f t="shared" si="0"/>
        <v>1</v>
      </c>
      <c r="Q6" s="49">
        <f>100%-P6</f>
        <v>0</v>
      </c>
      <c r="R6" s="50">
        <f t="shared" ref="R6:R69" si="1">B6/$P6</f>
        <v>0.02</v>
      </c>
      <c r="S6" s="50">
        <f t="shared" ref="S6:S69" si="2">C6/$P6</f>
        <v>0.03</v>
      </c>
      <c r="T6" s="50">
        <f t="shared" ref="T6:T69" si="3">D6/$P6</f>
        <v>0.03</v>
      </c>
      <c r="U6" s="50">
        <f t="shared" ref="U6:U69" si="4">E6/$P6</f>
        <v>0.1</v>
      </c>
      <c r="V6" s="50">
        <f t="shared" ref="V6:V69" si="5">F6/$P6</f>
        <v>0.21</v>
      </c>
      <c r="W6" s="50">
        <f t="shared" ref="W6:W69" si="6">G6/$P6</f>
        <v>0.05</v>
      </c>
      <c r="X6" s="50">
        <f t="shared" ref="X6:X69" si="7">H6/$P6</f>
        <v>0.24</v>
      </c>
      <c r="Y6" s="50">
        <f t="shared" ref="Y6:Y69" si="8">I6/$P6</f>
        <v>0.05</v>
      </c>
      <c r="Z6" s="50">
        <f t="shared" ref="Z6:Z69" si="9">J6/$P6</f>
        <v>0.04</v>
      </c>
      <c r="AA6" s="50">
        <f t="shared" ref="AA6:AA69" si="10">K6/$P6</f>
        <v>0.06</v>
      </c>
      <c r="AB6" s="50">
        <f t="shared" ref="AB6:AB69" si="11">L6/$P6</f>
        <v>0.08</v>
      </c>
      <c r="AC6" s="50">
        <f t="shared" ref="AC6:AC69" si="12">M6/$P6</f>
        <v>0.05</v>
      </c>
      <c r="AD6" s="50">
        <f t="shared" ref="AD6:AD69" si="13">N6/$P6</f>
        <v>0.02</v>
      </c>
      <c r="AE6" s="50">
        <f t="shared" ref="AE6:AE69" si="14">O6/$P6</f>
        <v>0.02</v>
      </c>
      <c r="AF6" s="47">
        <f t="shared" ref="AF6" si="15">SUM(R6:AE6)</f>
        <v>1</v>
      </c>
      <c r="AG6" s="50">
        <f>IF('Resultado da inspeção'!F6='Resultado da inspeção'!$W$3,0%,Ranking!R6)</f>
        <v>0.02</v>
      </c>
      <c r="AH6" s="50">
        <f>IF('Resultado da inspeção'!G6='Resultado da inspeção'!$W$3,0%,Ranking!S6)</f>
        <v>0.03</v>
      </c>
      <c r="AI6" s="50">
        <f>IF('Resultado da inspeção'!H6='Resultado da inspeção'!$W$3,0%,Ranking!T6)</f>
        <v>0.03</v>
      </c>
      <c r="AJ6" s="50">
        <f>IF('Resultado da inspeção'!I6='Resultado da inspeção'!$W$3,0%,Ranking!U6)</f>
        <v>0.1</v>
      </c>
      <c r="AK6" s="50">
        <f>IF('Resultado da inspeção'!J6='Resultado da inspeção'!$W$3,0%,Ranking!V6)</f>
        <v>0.21</v>
      </c>
      <c r="AL6" s="50">
        <f>IF('Resultado da inspeção'!K6='Resultado da inspeção'!$W$3,0%,Ranking!W6)</f>
        <v>0.05</v>
      </c>
      <c r="AM6" s="50">
        <f>IF('Resultado da inspeção'!L6='Resultado da inspeção'!$W$3,0%,Ranking!X6)</f>
        <v>0.24</v>
      </c>
      <c r="AN6" s="50">
        <f>IF('Resultado da inspeção'!M6='Resultado da inspeção'!$W$3,0%,Ranking!Y6)</f>
        <v>0.05</v>
      </c>
      <c r="AO6" s="50">
        <f>IF('Resultado da inspeção'!N6='Resultado da inspeção'!$W$3,0%,Ranking!Z6)</f>
        <v>0.04</v>
      </c>
      <c r="AP6" s="50">
        <f>IF('Resultado da inspeção'!O6='Resultado da inspeção'!$W$3,0%,Ranking!AA6)</f>
        <v>0.06</v>
      </c>
      <c r="AQ6" s="50">
        <f>IF('Resultado da inspeção'!P6='Resultado da inspeção'!$W$3,0%,Ranking!AB6)</f>
        <v>0.08</v>
      </c>
      <c r="AR6" s="50">
        <f>IF('Resultado da inspeção'!Q6='Resultado da inspeção'!$W$3,0%,Ranking!AC6)</f>
        <v>0.05</v>
      </c>
      <c r="AS6" s="50">
        <f>IF('Resultado da inspeção'!R6='Resultado da inspeção'!$W$3,0%,Ranking!AD6)</f>
        <v>0.02</v>
      </c>
      <c r="AT6" s="50">
        <f>IF('Resultado da inspeção'!S6='Resultado da inspeção'!$W$3,0%,Ranking!AE6)</f>
        <v>0.02</v>
      </c>
      <c r="AU6" s="49">
        <f>SUM(AG6:AT6)</f>
        <v>1</v>
      </c>
    </row>
    <row r="7" spans="1:47" x14ac:dyDescent="0.25">
      <c r="B7" s="48">
        <f>IF('Resultado da inspeção'!F7='Resultado da inspeção'!$W$4,0%,Ranking!B$5)</f>
        <v>0.02</v>
      </c>
      <c r="C7" s="48">
        <f>IF('Resultado da inspeção'!G7='Resultado da inspeção'!$W$4,0%,Ranking!C$5)</f>
        <v>0.03</v>
      </c>
      <c r="D7" s="48">
        <f>IF('Resultado da inspeção'!H7='Resultado da inspeção'!$W$4,0%,Ranking!D$5)</f>
        <v>0.03</v>
      </c>
      <c r="E7" s="48">
        <f>IF('Resultado da inspeção'!I7='Resultado da inspeção'!$W$4,0%,Ranking!E$5)</f>
        <v>0.1</v>
      </c>
      <c r="F7" s="48">
        <f>IF('Resultado da inspeção'!J7='Resultado da inspeção'!$W$4,0%,Ranking!F$5)</f>
        <v>0.21</v>
      </c>
      <c r="G7" s="48">
        <f>IF('Resultado da inspeção'!K7='Resultado da inspeção'!$W$4,0%,Ranking!G$5)</f>
        <v>0.05</v>
      </c>
      <c r="H7" s="48">
        <f>IF('Resultado da inspeção'!L7='Resultado da inspeção'!$W$4,0%,Ranking!H$5)</f>
        <v>0.24</v>
      </c>
      <c r="I7" s="48">
        <f>IF('Resultado da inspeção'!M7='Resultado da inspeção'!$W$4,0%,Ranking!I$5)</f>
        <v>0.05</v>
      </c>
      <c r="J7" s="48">
        <f>IF('Resultado da inspeção'!N7='Resultado da inspeção'!$W$4,0%,Ranking!J$5)</f>
        <v>0.04</v>
      </c>
      <c r="K7" s="48">
        <f>IF('Resultado da inspeção'!O7='Resultado da inspeção'!$W$4,0%,Ranking!K$5)</f>
        <v>0.06</v>
      </c>
      <c r="L7" s="48">
        <f>IF('Resultado da inspeção'!P7='Resultado da inspeção'!$W$4,0%,Ranking!L$5)</f>
        <v>0.08</v>
      </c>
      <c r="M7" s="48">
        <f>IF('Resultado da inspeção'!Q7='Resultado da inspeção'!$W$4,0%,Ranking!M$5)</f>
        <v>0.05</v>
      </c>
      <c r="N7" s="48">
        <f>IF('Resultado da inspeção'!R7='Resultado da inspeção'!$W$4,0%,Ranking!N$5)</f>
        <v>0.02</v>
      </c>
      <c r="O7" s="48">
        <f>IF('Resultado da inspeção'!S7='Resultado da inspeção'!$W$4,0%,Ranking!O$5)</f>
        <v>0.02</v>
      </c>
      <c r="P7" s="47">
        <f t="shared" si="0"/>
        <v>1</v>
      </c>
      <c r="Q7" s="49">
        <f t="shared" ref="Q7:Q70" si="16">100%-P7</f>
        <v>0</v>
      </c>
      <c r="R7" s="50">
        <f t="shared" si="1"/>
        <v>0.02</v>
      </c>
      <c r="S7" s="50">
        <f t="shared" si="2"/>
        <v>0.03</v>
      </c>
      <c r="T7" s="50">
        <f t="shared" si="3"/>
        <v>0.03</v>
      </c>
      <c r="U7" s="50">
        <f t="shared" si="4"/>
        <v>0.1</v>
      </c>
      <c r="V7" s="50">
        <f t="shared" si="5"/>
        <v>0.21</v>
      </c>
      <c r="W7" s="50">
        <f t="shared" si="6"/>
        <v>0.05</v>
      </c>
      <c r="X7" s="50">
        <f t="shared" si="7"/>
        <v>0.24</v>
      </c>
      <c r="Y7" s="50">
        <f t="shared" si="8"/>
        <v>0.05</v>
      </c>
      <c r="Z7" s="50">
        <f t="shared" si="9"/>
        <v>0.04</v>
      </c>
      <c r="AA7" s="50">
        <f t="shared" si="10"/>
        <v>0.06</v>
      </c>
      <c r="AB7" s="50">
        <f t="shared" si="11"/>
        <v>0.08</v>
      </c>
      <c r="AC7" s="50">
        <f t="shared" si="12"/>
        <v>0.05</v>
      </c>
      <c r="AD7" s="50">
        <f t="shared" si="13"/>
        <v>0.02</v>
      </c>
      <c r="AE7" s="50">
        <f t="shared" si="14"/>
        <v>0.02</v>
      </c>
      <c r="AF7" s="47">
        <f t="shared" ref="AF7:AF70" si="17">SUM(R7:AE7)</f>
        <v>1</v>
      </c>
      <c r="AG7" s="50">
        <f>IF('Resultado da inspeção'!F7='Resultado da inspeção'!$W$3,0%,Ranking!R7)</f>
        <v>0.02</v>
      </c>
      <c r="AH7" s="50">
        <f>IF('Resultado da inspeção'!G7='Resultado da inspeção'!$W$3,0%,Ranking!S7)</f>
        <v>0.03</v>
      </c>
      <c r="AI7" s="50">
        <f>IF('Resultado da inspeção'!H7='Resultado da inspeção'!$W$3,0%,Ranking!T7)</f>
        <v>0.03</v>
      </c>
      <c r="AJ7" s="50">
        <f>IF('Resultado da inspeção'!I7='Resultado da inspeção'!$W$3,0%,Ranking!U7)</f>
        <v>0.1</v>
      </c>
      <c r="AK7" s="50">
        <f>IF('Resultado da inspeção'!J7='Resultado da inspeção'!$W$3,0%,Ranking!V7)</f>
        <v>0.21</v>
      </c>
      <c r="AL7" s="50">
        <f>IF('Resultado da inspeção'!K7='Resultado da inspeção'!$W$3,0%,Ranking!W7)</f>
        <v>0.05</v>
      </c>
      <c r="AM7" s="50">
        <f>IF('Resultado da inspeção'!L7='Resultado da inspeção'!$W$3,0%,Ranking!X7)</f>
        <v>0.24</v>
      </c>
      <c r="AN7" s="50">
        <f>IF('Resultado da inspeção'!M7='Resultado da inspeção'!$W$3,0%,Ranking!Y7)</f>
        <v>0.05</v>
      </c>
      <c r="AO7" s="50">
        <f>IF('Resultado da inspeção'!N7='Resultado da inspeção'!$W$3,0%,Ranking!Z7)</f>
        <v>0.04</v>
      </c>
      <c r="AP7" s="50">
        <f>IF('Resultado da inspeção'!O7='Resultado da inspeção'!$W$3,0%,Ranking!AA7)</f>
        <v>0.06</v>
      </c>
      <c r="AQ7" s="50">
        <f>IF('Resultado da inspeção'!P7='Resultado da inspeção'!$W$3,0%,Ranking!AB7)</f>
        <v>0.08</v>
      </c>
      <c r="AR7" s="50">
        <f>IF('Resultado da inspeção'!Q7='Resultado da inspeção'!$W$3,0%,Ranking!AC7)</f>
        <v>0.05</v>
      </c>
      <c r="AS7" s="50">
        <f>IF('Resultado da inspeção'!R7='Resultado da inspeção'!$W$3,0%,Ranking!AD7)</f>
        <v>0.02</v>
      </c>
      <c r="AT7" s="50">
        <f>IF('Resultado da inspeção'!S7='Resultado da inspeção'!$W$3,0%,Ranking!AE7)</f>
        <v>0.02</v>
      </c>
      <c r="AU7" s="49">
        <f t="shared" ref="AU7:AU70" si="18">SUM(AG7:AT7)</f>
        <v>1</v>
      </c>
    </row>
    <row r="8" spans="1:47" x14ac:dyDescent="0.25">
      <c r="B8" s="48">
        <f>IF('Resultado da inspeção'!F8='Resultado da inspeção'!$W$4,0%,Ranking!B$5)</f>
        <v>0.02</v>
      </c>
      <c r="C8" s="48">
        <f>IF('Resultado da inspeção'!G8='Resultado da inspeção'!$W$4,0%,Ranking!C$5)</f>
        <v>0.03</v>
      </c>
      <c r="D8" s="48">
        <f>IF('Resultado da inspeção'!H8='Resultado da inspeção'!$W$4,0%,Ranking!D$5)</f>
        <v>0.03</v>
      </c>
      <c r="E8" s="48">
        <f>IF('Resultado da inspeção'!I8='Resultado da inspeção'!$W$4,0%,Ranking!E$5)</f>
        <v>0.1</v>
      </c>
      <c r="F8" s="48">
        <f>IF('Resultado da inspeção'!J8='Resultado da inspeção'!$W$4,0%,Ranking!F$5)</f>
        <v>0.21</v>
      </c>
      <c r="G8" s="48">
        <f>IF('Resultado da inspeção'!K8='Resultado da inspeção'!$W$4,0%,Ranking!G$5)</f>
        <v>0.05</v>
      </c>
      <c r="H8" s="48">
        <f>IF('Resultado da inspeção'!L8='Resultado da inspeção'!$W$4,0%,Ranking!H$5)</f>
        <v>0.24</v>
      </c>
      <c r="I8" s="48">
        <f>IF('Resultado da inspeção'!M8='Resultado da inspeção'!$W$4,0%,Ranking!I$5)</f>
        <v>0.05</v>
      </c>
      <c r="J8" s="48">
        <f>IF('Resultado da inspeção'!N8='Resultado da inspeção'!$W$4,0%,Ranking!J$5)</f>
        <v>0.04</v>
      </c>
      <c r="K8" s="48">
        <f>IF('Resultado da inspeção'!O8='Resultado da inspeção'!$W$4,0%,Ranking!K$5)</f>
        <v>0.06</v>
      </c>
      <c r="L8" s="48">
        <f>IF('Resultado da inspeção'!P8='Resultado da inspeção'!$W$4,0%,Ranking!L$5)</f>
        <v>0.08</v>
      </c>
      <c r="M8" s="48">
        <f>IF('Resultado da inspeção'!Q8='Resultado da inspeção'!$W$4,0%,Ranking!M$5)</f>
        <v>0.05</v>
      </c>
      <c r="N8" s="48">
        <f>IF('Resultado da inspeção'!R8='Resultado da inspeção'!$W$4,0%,Ranking!N$5)</f>
        <v>0.02</v>
      </c>
      <c r="O8" s="48">
        <f>IF('Resultado da inspeção'!S8='Resultado da inspeção'!$W$4,0%,Ranking!O$5)</f>
        <v>0.02</v>
      </c>
      <c r="P8" s="47">
        <f t="shared" si="0"/>
        <v>1</v>
      </c>
      <c r="Q8" s="49">
        <f t="shared" si="16"/>
        <v>0</v>
      </c>
      <c r="R8" s="50">
        <f t="shared" si="1"/>
        <v>0.02</v>
      </c>
      <c r="S8" s="50">
        <f t="shared" si="2"/>
        <v>0.03</v>
      </c>
      <c r="T8" s="50">
        <f t="shared" si="3"/>
        <v>0.03</v>
      </c>
      <c r="U8" s="50">
        <f t="shared" si="4"/>
        <v>0.1</v>
      </c>
      <c r="V8" s="50">
        <f t="shared" si="5"/>
        <v>0.21</v>
      </c>
      <c r="W8" s="50">
        <f t="shared" si="6"/>
        <v>0.05</v>
      </c>
      <c r="X8" s="50">
        <f t="shared" si="7"/>
        <v>0.24</v>
      </c>
      <c r="Y8" s="50">
        <f t="shared" si="8"/>
        <v>0.05</v>
      </c>
      <c r="Z8" s="50">
        <f t="shared" si="9"/>
        <v>0.04</v>
      </c>
      <c r="AA8" s="50">
        <f t="shared" si="10"/>
        <v>0.06</v>
      </c>
      <c r="AB8" s="50">
        <f t="shared" si="11"/>
        <v>0.08</v>
      </c>
      <c r="AC8" s="50">
        <f t="shared" si="12"/>
        <v>0.05</v>
      </c>
      <c r="AD8" s="50">
        <f t="shared" si="13"/>
        <v>0.02</v>
      </c>
      <c r="AE8" s="50">
        <f t="shared" si="14"/>
        <v>0.02</v>
      </c>
      <c r="AF8" s="47">
        <f t="shared" si="17"/>
        <v>1</v>
      </c>
      <c r="AG8" s="50">
        <f>IF('Resultado da inspeção'!F8='Resultado da inspeção'!$W$3,0%,Ranking!R8)</f>
        <v>0.02</v>
      </c>
      <c r="AH8" s="50">
        <f>IF('Resultado da inspeção'!G8='Resultado da inspeção'!$W$3,0%,Ranking!S8)</f>
        <v>0.03</v>
      </c>
      <c r="AI8" s="50">
        <f>IF('Resultado da inspeção'!H8='Resultado da inspeção'!$W$3,0%,Ranking!T8)</f>
        <v>0.03</v>
      </c>
      <c r="AJ8" s="50">
        <f>IF('Resultado da inspeção'!I8='Resultado da inspeção'!$W$3,0%,Ranking!U8)</f>
        <v>0.1</v>
      </c>
      <c r="AK8" s="50">
        <f>IF('Resultado da inspeção'!J8='Resultado da inspeção'!$W$3,0%,Ranking!V8)</f>
        <v>0.21</v>
      </c>
      <c r="AL8" s="50">
        <f>IF('Resultado da inspeção'!K8='Resultado da inspeção'!$W$3,0%,Ranking!W8)</f>
        <v>0.05</v>
      </c>
      <c r="AM8" s="50">
        <f>IF('Resultado da inspeção'!L8='Resultado da inspeção'!$W$3,0%,Ranking!X8)</f>
        <v>0.24</v>
      </c>
      <c r="AN8" s="50">
        <f>IF('Resultado da inspeção'!M8='Resultado da inspeção'!$W$3,0%,Ranking!Y8)</f>
        <v>0.05</v>
      </c>
      <c r="AO8" s="50">
        <f>IF('Resultado da inspeção'!N8='Resultado da inspeção'!$W$3,0%,Ranking!Z8)</f>
        <v>0.04</v>
      </c>
      <c r="AP8" s="50">
        <f>IF('Resultado da inspeção'!O8='Resultado da inspeção'!$W$3,0%,Ranking!AA8)</f>
        <v>0.06</v>
      </c>
      <c r="AQ8" s="50">
        <f>IF('Resultado da inspeção'!P8='Resultado da inspeção'!$W$3,0%,Ranking!AB8)</f>
        <v>0.08</v>
      </c>
      <c r="AR8" s="50">
        <f>IF('Resultado da inspeção'!Q8='Resultado da inspeção'!$W$3,0%,Ranking!AC8)</f>
        <v>0.05</v>
      </c>
      <c r="AS8" s="50">
        <f>IF('Resultado da inspeção'!R8='Resultado da inspeção'!$W$3,0%,Ranking!AD8)</f>
        <v>0.02</v>
      </c>
      <c r="AT8" s="50">
        <f>IF('Resultado da inspeção'!S8='Resultado da inspeção'!$W$3,0%,Ranking!AE8)</f>
        <v>0.02</v>
      </c>
      <c r="AU8" s="49">
        <f t="shared" si="18"/>
        <v>1</v>
      </c>
    </row>
    <row r="9" spans="1:47" x14ac:dyDescent="0.25">
      <c r="B9" s="48">
        <f>IF('Resultado da inspeção'!F9='Resultado da inspeção'!$W$4,0%,Ranking!B$5)</f>
        <v>0.02</v>
      </c>
      <c r="C9" s="48">
        <f>IF('Resultado da inspeção'!G9='Resultado da inspeção'!$W$4,0%,Ranking!C$5)</f>
        <v>0.03</v>
      </c>
      <c r="D9" s="48">
        <f>IF('Resultado da inspeção'!H9='Resultado da inspeção'!$W$4,0%,Ranking!D$5)</f>
        <v>0.03</v>
      </c>
      <c r="E9" s="48">
        <f>IF('Resultado da inspeção'!I9='Resultado da inspeção'!$W$4,0%,Ranking!E$5)</f>
        <v>0.1</v>
      </c>
      <c r="F9" s="48">
        <f>IF('Resultado da inspeção'!J9='Resultado da inspeção'!$W$4,0%,Ranking!F$5)</f>
        <v>0.21</v>
      </c>
      <c r="G9" s="48">
        <f>IF('Resultado da inspeção'!K9='Resultado da inspeção'!$W$4,0%,Ranking!G$5)</f>
        <v>0.05</v>
      </c>
      <c r="H9" s="48">
        <f>IF('Resultado da inspeção'!L9='Resultado da inspeção'!$W$4,0%,Ranking!H$5)</f>
        <v>0.24</v>
      </c>
      <c r="I9" s="48">
        <f>IF('Resultado da inspeção'!M9='Resultado da inspeção'!$W$4,0%,Ranking!I$5)</f>
        <v>0.05</v>
      </c>
      <c r="J9" s="48">
        <f>IF('Resultado da inspeção'!N9='Resultado da inspeção'!$W$4,0%,Ranking!J$5)</f>
        <v>0.04</v>
      </c>
      <c r="K9" s="48">
        <f>IF('Resultado da inspeção'!O9='Resultado da inspeção'!$W$4,0%,Ranking!K$5)</f>
        <v>0.06</v>
      </c>
      <c r="L9" s="48">
        <f>IF('Resultado da inspeção'!P9='Resultado da inspeção'!$W$4,0%,Ranking!L$5)</f>
        <v>0.08</v>
      </c>
      <c r="M9" s="48">
        <f>IF('Resultado da inspeção'!Q9='Resultado da inspeção'!$W$4,0%,Ranking!M$5)</f>
        <v>0.05</v>
      </c>
      <c r="N9" s="48">
        <f>IF('Resultado da inspeção'!R9='Resultado da inspeção'!$W$4,0%,Ranking!N$5)</f>
        <v>0.02</v>
      </c>
      <c r="O9" s="48">
        <f>IF('Resultado da inspeção'!S9='Resultado da inspeção'!$W$4,0%,Ranking!O$5)</f>
        <v>0.02</v>
      </c>
      <c r="P9" s="47">
        <f t="shared" si="0"/>
        <v>1</v>
      </c>
      <c r="Q9" s="49">
        <f t="shared" si="16"/>
        <v>0</v>
      </c>
      <c r="R9" s="50">
        <f t="shared" si="1"/>
        <v>0.02</v>
      </c>
      <c r="S9" s="50">
        <f t="shared" si="2"/>
        <v>0.03</v>
      </c>
      <c r="T9" s="50">
        <f t="shared" si="3"/>
        <v>0.03</v>
      </c>
      <c r="U9" s="50">
        <f t="shared" si="4"/>
        <v>0.1</v>
      </c>
      <c r="V9" s="50">
        <f t="shared" si="5"/>
        <v>0.21</v>
      </c>
      <c r="W9" s="50">
        <f t="shared" si="6"/>
        <v>0.05</v>
      </c>
      <c r="X9" s="50">
        <f t="shared" si="7"/>
        <v>0.24</v>
      </c>
      <c r="Y9" s="50">
        <f t="shared" si="8"/>
        <v>0.05</v>
      </c>
      <c r="Z9" s="50">
        <f t="shared" si="9"/>
        <v>0.04</v>
      </c>
      <c r="AA9" s="50">
        <f t="shared" si="10"/>
        <v>0.06</v>
      </c>
      <c r="AB9" s="50">
        <f t="shared" si="11"/>
        <v>0.08</v>
      </c>
      <c r="AC9" s="50">
        <f t="shared" si="12"/>
        <v>0.05</v>
      </c>
      <c r="AD9" s="50">
        <f t="shared" si="13"/>
        <v>0.02</v>
      </c>
      <c r="AE9" s="50">
        <f t="shared" si="14"/>
        <v>0.02</v>
      </c>
      <c r="AF9" s="47">
        <f t="shared" si="17"/>
        <v>1</v>
      </c>
      <c r="AG9" s="50">
        <f>IF('Resultado da inspeção'!F9='Resultado da inspeção'!$W$3,0%,Ranking!R9)</f>
        <v>0.02</v>
      </c>
      <c r="AH9" s="50">
        <f>IF('Resultado da inspeção'!G9='Resultado da inspeção'!$W$3,0%,Ranking!S9)</f>
        <v>0.03</v>
      </c>
      <c r="AI9" s="50">
        <f>IF('Resultado da inspeção'!H9='Resultado da inspeção'!$W$3,0%,Ranking!T9)</f>
        <v>0.03</v>
      </c>
      <c r="AJ9" s="50">
        <f>IF('Resultado da inspeção'!I9='Resultado da inspeção'!$W$3,0%,Ranking!U9)</f>
        <v>0.1</v>
      </c>
      <c r="AK9" s="50">
        <f>IF('Resultado da inspeção'!J9='Resultado da inspeção'!$W$3,0%,Ranking!V9)</f>
        <v>0.21</v>
      </c>
      <c r="AL9" s="50">
        <f>IF('Resultado da inspeção'!K9='Resultado da inspeção'!$W$3,0%,Ranking!W9)</f>
        <v>0.05</v>
      </c>
      <c r="AM9" s="50">
        <f>IF('Resultado da inspeção'!L9='Resultado da inspeção'!$W$3,0%,Ranking!X9)</f>
        <v>0.24</v>
      </c>
      <c r="AN9" s="50">
        <f>IF('Resultado da inspeção'!M9='Resultado da inspeção'!$W$3,0%,Ranking!Y9)</f>
        <v>0.05</v>
      </c>
      <c r="AO9" s="50">
        <f>IF('Resultado da inspeção'!N9='Resultado da inspeção'!$W$3,0%,Ranking!Z9)</f>
        <v>0.04</v>
      </c>
      <c r="AP9" s="50">
        <f>IF('Resultado da inspeção'!O9='Resultado da inspeção'!$W$3,0%,Ranking!AA9)</f>
        <v>0.06</v>
      </c>
      <c r="AQ9" s="50">
        <f>IF('Resultado da inspeção'!P9='Resultado da inspeção'!$W$3,0%,Ranking!AB9)</f>
        <v>0.08</v>
      </c>
      <c r="AR9" s="50">
        <f>IF('Resultado da inspeção'!Q9='Resultado da inspeção'!$W$3,0%,Ranking!AC9)</f>
        <v>0.05</v>
      </c>
      <c r="AS9" s="50">
        <f>IF('Resultado da inspeção'!R9='Resultado da inspeção'!$W$3,0%,Ranking!AD9)</f>
        <v>0.02</v>
      </c>
      <c r="AT9" s="50">
        <f>IF('Resultado da inspeção'!S9='Resultado da inspeção'!$W$3,0%,Ranking!AE9)</f>
        <v>0.02</v>
      </c>
      <c r="AU9" s="49">
        <f t="shared" si="18"/>
        <v>1</v>
      </c>
    </row>
    <row r="10" spans="1:47" x14ac:dyDescent="0.25">
      <c r="B10" s="48">
        <f>IF('Resultado da inspeção'!F10='Resultado da inspeção'!$W$4,0%,Ranking!B$5)</f>
        <v>0.02</v>
      </c>
      <c r="C10" s="48">
        <f>IF('Resultado da inspeção'!G10='Resultado da inspeção'!$W$4,0%,Ranking!C$5)</f>
        <v>0.03</v>
      </c>
      <c r="D10" s="48">
        <f>IF('Resultado da inspeção'!H10='Resultado da inspeção'!$W$4,0%,Ranking!D$5)</f>
        <v>0.03</v>
      </c>
      <c r="E10" s="48">
        <f>IF('Resultado da inspeção'!I10='Resultado da inspeção'!$W$4,0%,Ranking!E$5)</f>
        <v>0.1</v>
      </c>
      <c r="F10" s="48">
        <f>IF('Resultado da inspeção'!J10='Resultado da inspeção'!$W$4,0%,Ranking!F$5)</f>
        <v>0.21</v>
      </c>
      <c r="G10" s="48">
        <f>IF('Resultado da inspeção'!K10='Resultado da inspeção'!$W$4,0%,Ranking!G$5)</f>
        <v>0.05</v>
      </c>
      <c r="H10" s="48">
        <f>IF('Resultado da inspeção'!L10='Resultado da inspeção'!$W$4,0%,Ranking!H$5)</f>
        <v>0.24</v>
      </c>
      <c r="I10" s="48">
        <f>IF('Resultado da inspeção'!M10='Resultado da inspeção'!$W$4,0%,Ranking!I$5)</f>
        <v>0.05</v>
      </c>
      <c r="J10" s="48">
        <f>IF('Resultado da inspeção'!N10='Resultado da inspeção'!$W$4,0%,Ranking!J$5)</f>
        <v>0.04</v>
      </c>
      <c r="K10" s="48">
        <f>IF('Resultado da inspeção'!O10='Resultado da inspeção'!$W$4,0%,Ranking!K$5)</f>
        <v>0.06</v>
      </c>
      <c r="L10" s="48">
        <f>IF('Resultado da inspeção'!P10='Resultado da inspeção'!$W$4,0%,Ranking!L$5)</f>
        <v>0.08</v>
      </c>
      <c r="M10" s="48">
        <f>IF('Resultado da inspeção'!Q10='Resultado da inspeção'!$W$4,0%,Ranking!M$5)</f>
        <v>0.05</v>
      </c>
      <c r="N10" s="48">
        <f>IF('Resultado da inspeção'!R10='Resultado da inspeção'!$W$4,0%,Ranking!N$5)</f>
        <v>0.02</v>
      </c>
      <c r="O10" s="48">
        <f>IF('Resultado da inspeção'!S10='Resultado da inspeção'!$W$4,0%,Ranking!O$5)</f>
        <v>0.02</v>
      </c>
      <c r="P10" s="47">
        <f t="shared" si="0"/>
        <v>1</v>
      </c>
      <c r="Q10" s="49">
        <f t="shared" si="16"/>
        <v>0</v>
      </c>
      <c r="R10" s="50">
        <f t="shared" si="1"/>
        <v>0.02</v>
      </c>
      <c r="S10" s="50">
        <f t="shared" si="2"/>
        <v>0.03</v>
      </c>
      <c r="T10" s="50">
        <f t="shared" si="3"/>
        <v>0.03</v>
      </c>
      <c r="U10" s="50">
        <f t="shared" si="4"/>
        <v>0.1</v>
      </c>
      <c r="V10" s="50">
        <f t="shared" si="5"/>
        <v>0.21</v>
      </c>
      <c r="W10" s="50">
        <f t="shared" si="6"/>
        <v>0.05</v>
      </c>
      <c r="X10" s="50">
        <f t="shared" si="7"/>
        <v>0.24</v>
      </c>
      <c r="Y10" s="50">
        <f t="shared" si="8"/>
        <v>0.05</v>
      </c>
      <c r="Z10" s="50">
        <f t="shared" si="9"/>
        <v>0.04</v>
      </c>
      <c r="AA10" s="50">
        <f t="shared" si="10"/>
        <v>0.06</v>
      </c>
      <c r="AB10" s="50">
        <f t="shared" si="11"/>
        <v>0.08</v>
      </c>
      <c r="AC10" s="50">
        <f t="shared" si="12"/>
        <v>0.05</v>
      </c>
      <c r="AD10" s="50">
        <f t="shared" si="13"/>
        <v>0.02</v>
      </c>
      <c r="AE10" s="50">
        <f t="shared" si="14"/>
        <v>0.02</v>
      </c>
      <c r="AF10" s="47">
        <f t="shared" si="17"/>
        <v>1</v>
      </c>
      <c r="AG10" s="50">
        <f>IF('Resultado da inspeção'!F10='Resultado da inspeção'!$W$3,0%,Ranking!R10)</f>
        <v>0.02</v>
      </c>
      <c r="AH10" s="50">
        <f>IF('Resultado da inspeção'!G10='Resultado da inspeção'!$W$3,0%,Ranking!S10)</f>
        <v>0.03</v>
      </c>
      <c r="AI10" s="50">
        <f>IF('Resultado da inspeção'!H10='Resultado da inspeção'!$W$3,0%,Ranking!T10)</f>
        <v>0.03</v>
      </c>
      <c r="AJ10" s="50">
        <f>IF('Resultado da inspeção'!I10='Resultado da inspeção'!$W$3,0%,Ranking!U10)</f>
        <v>0.1</v>
      </c>
      <c r="AK10" s="50">
        <f>IF('Resultado da inspeção'!J10='Resultado da inspeção'!$W$3,0%,Ranking!V10)</f>
        <v>0.21</v>
      </c>
      <c r="AL10" s="50">
        <f>IF('Resultado da inspeção'!K10='Resultado da inspeção'!$W$3,0%,Ranking!W10)</f>
        <v>0.05</v>
      </c>
      <c r="AM10" s="50">
        <f>IF('Resultado da inspeção'!L10='Resultado da inspeção'!$W$3,0%,Ranking!X10)</f>
        <v>0.24</v>
      </c>
      <c r="AN10" s="50">
        <f>IF('Resultado da inspeção'!M10='Resultado da inspeção'!$W$3,0%,Ranking!Y10)</f>
        <v>0.05</v>
      </c>
      <c r="AO10" s="50">
        <f>IF('Resultado da inspeção'!N10='Resultado da inspeção'!$W$3,0%,Ranking!Z10)</f>
        <v>0.04</v>
      </c>
      <c r="AP10" s="50">
        <f>IF('Resultado da inspeção'!O10='Resultado da inspeção'!$W$3,0%,Ranking!AA10)</f>
        <v>0.06</v>
      </c>
      <c r="AQ10" s="50">
        <f>IF('Resultado da inspeção'!P10='Resultado da inspeção'!$W$3,0%,Ranking!AB10)</f>
        <v>0.08</v>
      </c>
      <c r="AR10" s="50">
        <f>IF('Resultado da inspeção'!Q10='Resultado da inspeção'!$W$3,0%,Ranking!AC10)</f>
        <v>0.05</v>
      </c>
      <c r="AS10" s="50">
        <f>IF('Resultado da inspeção'!R10='Resultado da inspeção'!$W$3,0%,Ranking!AD10)</f>
        <v>0.02</v>
      </c>
      <c r="AT10" s="50">
        <f>IF('Resultado da inspeção'!S10='Resultado da inspeção'!$W$3,0%,Ranking!AE10)</f>
        <v>0.02</v>
      </c>
      <c r="AU10" s="49">
        <f t="shared" si="18"/>
        <v>1</v>
      </c>
    </row>
    <row r="11" spans="1:47" x14ac:dyDescent="0.25">
      <c r="B11" s="48">
        <f>IF('Resultado da inspeção'!F11='Resultado da inspeção'!$W$4,0%,Ranking!B$5)</f>
        <v>0.02</v>
      </c>
      <c r="C11" s="48">
        <f>IF('Resultado da inspeção'!G11='Resultado da inspeção'!$W$4,0%,Ranking!C$5)</f>
        <v>0.03</v>
      </c>
      <c r="D11" s="48">
        <f>IF('Resultado da inspeção'!H11='Resultado da inspeção'!$W$4,0%,Ranking!D$5)</f>
        <v>0.03</v>
      </c>
      <c r="E11" s="48">
        <f>IF('Resultado da inspeção'!I11='Resultado da inspeção'!$W$4,0%,Ranking!E$5)</f>
        <v>0.1</v>
      </c>
      <c r="F11" s="48">
        <f>IF('Resultado da inspeção'!J11='Resultado da inspeção'!$W$4,0%,Ranking!F$5)</f>
        <v>0.21</v>
      </c>
      <c r="G11" s="48">
        <f>IF('Resultado da inspeção'!K11='Resultado da inspeção'!$W$4,0%,Ranking!G$5)</f>
        <v>0.05</v>
      </c>
      <c r="H11" s="48">
        <f>IF('Resultado da inspeção'!L11='Resultado da inspeção'!$W$4,0%,Ranking!H$5)</f>
        <v>0.24</v>
      </c>
      <c r="I11" s="48">
        <f>IF('Resultado da inspeção'!M11='Resultado da inspeção'!$W$4,0%,Ranking!I$5)</f>
        <v>0.05</v>
      </c>
      <c r="J11" s="48">
        <f>IF('Resultado da inspeção'!N11='Resultado da inspeção'!$W$4,0%,Ranking!J$5)</f>
        <v>0.04</v>
      </c>
      <c r="K11" s="48">
        <f>IF('Resultado da inspeção'!O11='Resultado da inspeção'!$W$4,0%,Ranking!K$5)</f>
        <v>0.06</v>
      </c>
      <c r="L11" s="48">
        <f>IF('Resultado da inspeção'!P11='Resultado da inspeção'!$W$4,0%,Ranking!L$5)</f>
        <v>0.08</v>
      </c>
      <c r="M11" s="48">
        <f>IF('Resultado da inspeção'!Q11='Resultado da inspeção'!$W$4,0%,Ranking!M$5)</f>
        <v>0.05</v>
      </c>
      <c r="N11" s="48">
        <f>IF('Resultado da inspeção'!R11='Resultado da inspeção'!$W$4,0%,Ranking!N$5)</f>
        <v>0.02</v>
      </c>
      <c r="O11" s="48">
        <f>IF('Resultado da inspeção'!S11='Resultado da inspeção'!$W$4,0%,Ranking!O$5)</f>
        <v>0.02</v>
      </c>
      <c r="P11" s="47">
        <f t="shared" si="0"/>
        <v>1</v>
      </c>
      <c r="Q11" s="49">
        <f t="shared" si="16"/>
        <v>0</v>
      </c>
      <c r="R11" s="50">
        <f t="shared" si="1"/>
        <v>0.02</v>
      </c>
      <c r="S11" s="50">
        <f t="shared" si="2"/>
        <v>0.03</v>
      </c>
      <c r="T11" s="50">
        <f t="shared" si="3"/>
        <v>0.03</v>
      </c>
      <c r="U11" s="50">
        <f t="shared" si="4"/>
        <v>0.1</v>
      </c>
      <c r="V11" s="50">
        <f t="shared" si="5"/>
        <v>0.21</v>
      </c>
      <c r="W11" s="50">
        <f t="shared" si="6"/>
        <v>0.05</v>
      </c>
      <c r="X11" s="50">
        <f t="shared" si="7"/>
        <v>0.24</v>
      </c>
      <c r="Y11" s="50">
        <f t="shared" si="8"/>
        <v>0.05</v>
      </c>
      <c r="Z11" s="50">
        <f t="shared" si="9"/>
        <v>0.04</v>
      </c>
      <c r="AA11" s="50">
        <f t="shared" si="10"/>
        <v>0.06</v>
      </c>
      <c r="AB11" s="50">
        <f t="shared" si="11"/>
        <v>0.08</v>
      </c>
      <c r="AC11" s="50">
        <f t="shared" si="12"/>
        <v>0.05</v>
      </c>
      <c r="AD11" s="50">
        <f t="shared" si="13"/>
        <v>0.02</v>
      </c>
      <c r="AE11" s="50">
        <f t="shared" si="14"/>
        <v>0.02</v>
      </c>
      <c r="AF11" s="47">
        <f t="shared" si="17"/>
        <v>1</v>
      </c>
      <c r="AG11" s="50">
        <f>IF('Resultado da inspeção'!F11='Resultado da inspeção'!$W$3,0%,Ranking!R11)</f>
        <v>0.02</v>
      </c>
      <c r="AH11" s="50">
        <f>IF('Resultado da inspeção'!G11='Resultado da inspeção'!$W$3,0%,Ranking!S11)</f>
        <v>0.03</v>
      </c>
      <c r="AI11" s="50">
        <f>IF('Resultado da inspeção'!H11='Resultado da inspeção'!$W$3,0%,Ranking!T11)</f>
        <v>0.03</v>
      </c>
      <c r="AJ11" s="50">
        <f>IF('Resultado da inspeção'!I11='Resultado da inspeção'!$W$3,0%,Ranking!U11)</f>
        <v>0.1</v>
      </c>
      <c r="AK11" s="50">
        <f>IF('Resultado da inspeção'!J11='Resultado da inspeção'!$W$3,0%,Ranking!V11)</f>
        <v>0.21</v>
      </c>
      <c r="AL11" s="50">
        <f>IF('Resultado da inspeção'!K11='Resultado da inspeção'!$W$3,0%,Ranking!W11)</f>
        <v>0.05</v>
      </c>
      <c r="AM11" s="50">
        <f>IF('Resultado da inspeção'!L11='Resultado da inspeção'!$W$3,0%,Ranking!X11)</f>
        <v>0.24</v>
      </c>
      <c r="AN11" s="50">
        <f>IF('Resultado da inspeção'!M11='Resultado da inspeção'!$W$3,0%,Ranking!Y11)</f>
        <v>0.05</v>
      </c>
      <c r="AO11" s="50">
        <f>IF('Resultado da inspeção'!N11='Resultado da inspeção'!$W$3,0%,Ranking!Z11)</f>
        <v>0.04</v>
      </c>
      <c r="AP11" s="50">
        <f>IF('Resultado da inspeção'!O11='Resultado da inspeção'!$W$3,0%,Ranking!AA11)</f>
        <v>0.06</v>
      </c>
      <c r="AQ11" s="50">
        <f>IF('Resultado da inspeção'!P11='Resultado da inspeção'!$W$3,0%,Ranking!AB11)</f>
        <v>0.08</v>
      </c>
      <c r="AR11" s="50">
        <f>IF('Resultado da inspeção'!Q11='Resultado da inspeção'!$W$3,0%,Ranking!AC11)</f>
        <v>0.05</v>
      </c>
      <c r="AS11" s="50">
        <f>IF('Resultado da inspeção'!R11='Resultado da inspeção'!$W$3,0%,Ranking!AD11)</f>
        <v>0.02</v>
      </c>
      <c r="AT11" s="50">
        <f>IF('Resultado da inspeção'!S11='Resultado da inspeção'!$W$3,0%,Ranking!AE11)</f>
        <v>0.02</v>
      </c>
      <c r="AU11" s="49">
        <f t="shared" si="18"/>
        <v>1</v>
      </c>
    </row>
    <row r="12" spans="1:47" x14ac:dyDescent="0.25">
      <c r="B12" s="48">
        <f>IF('Resultado da inspeção'!F12='Resultado da inspeção'!$W$4,0%,Ranking!B$5)</f>
        <v>0.02</v>
      </c>
      <c r="C12" s="48">
        <f>IF('Resultado da inspeção'!G12='Resultado da inspeção'!$W$4,0%,Ranking!C$5)</f>
        <v>0.03</v>
      </c>
      <c r="D12" s="48">
        <f>IF('Resultado da inspeção'!H12='Resultado da inspeção'!$W$4,0%,Ranking!D$5)</f>
        <v>0.03</v>
      </c>
      <c r="E12" s="48">
        <f>IF('Resultado da inspeção'!I12='Resultado da inspeção'!$W$4,0%,Ranking!E$5)</f>
        <v>0.1</v>
      </c>
      <c r="F12" s="48">
        <f>IF('Resultado da inspeção'!J12='Resultado da inspeção'!$W$4,0%,Ranking!F$5)</f>
        <v>0.21</v>
      </c>
      <c r="G12" s="48">
        <f>IF('Resultado da inspeção'!K12='Resultado da inspeção'!$W$4,0%,Ranking!G$5)</f>
        <v>0.05</v>
      </c>
      <c r="H12" s="48">
        <f>IF('Resultado da inspeção'!L12='Resultado da inspeção'!$W$4,0%,Ranking!H$5)</f>
        <v>0.24</v>
      </c>
      <c r="I12" s="48">
        <f>IF('Resultado da inspeção'!M12='Resultado da inspeção'!$W$4,0%,Ranking!I$5)</f>
        <v>0.05</v>
      </c>
      <c r="J12" s="48">
        <f>IF('Resultado da inspeção'!N12='Resultado da inspeção'!$W$4,0%,Ranking!J$5)</f>
        <v>0.04</v>
      </c>
      <c r="K12" s="48">
        <f>IF('Resultado da inspeção'!O12='Resultado da inspeção'!$W$4,0%,Ranking!K$5)</f>
        <v>0.06</v>
      </c>
      <c r="L12" s="48">
        <f>IF('Resultado da inspeção'!P12='Resultado da inspeção'!$W$4,0%,Ranking!L$5)</f>
        <v>0.08</v>
      </c>
      <c r="M12" s="48">
        <f>IF('Resultado da inspeção'!Q12='Resultado da inspeção'!$W$4,0%,Ranking!M$5)</f>
        <v>0.05</v>
      </c>
      <c r="N12" s="48">
        <f>IF('Resultado da inspeção'!R12='Resultado da inspeção'!$W$4,0%,Ranking!N$5)</f>
        <v>0.02</v>
      </c>
      <c r="O12" s="48">
        <f>IF('Resultado da inspeção'!S12='Resultado da inspeção'!$W$4,0%,Ranking!O$5)</f>
        <v>0.02</v>
      </c>
      <c r="P12" s="47">
        <f t="shared" si="0"/>
        <v>1</v>
      </c>
      <c r="Q12" s="49">
        <f t="shared" si="16"/>
        <v>0</v>
      </c>
      <c r="R12" s="50">
        <f t="shared" si="1"/>
        <v>0.02</v>
      </c>
      <c r="S12" s="50">
        <f t="shared" si="2"/>
        <v>0.03</v>
      </c>
      <c r="T12" s="50">
        <f t="shared" si="3"/>
        <v>0.03</v>
      </c>
      <c r="U12" s="50">
        <f t="shared" si="4"/>
        <v>0.1</v>
      </c>
      <c r="V12" s="50">
        <f t="shared" si="5"/>
        <v>0.21</v>
      </c>
      <c r="W12" s="50">
        <f t="shared" si="6"/>
        <v>0.05</v>
      </c>
      <c r="X12" s="50">
        <f t="shared" si="7"/>
        <v>0.24</v>
      </c>
      <c r="Y12" s="50">
        <f t="shared" si="8"/>
        <v>0.05</v>
      </c>
      <c r="Z12" s="50">
        <f t="shared" si="9"/>
        <v>0.04</v>
      </c>
      <c r="AA12" s="50">
        <f t="shared" si="10"/>
        <v>0.06</v>
      </c>
      <c r="AB12" s="50">
        <f t="shared" si="11"/>
        <v>0.08</v>
      </c>
      <c r="AC12" s="50">
        <f t="shared" si="12"/>
        <v>0.05</v>
      </c>
      <c r="AD12" s="50">
        <f t="shared" si="13"/>
        <v>0.02</v>
      </c>
      <c r="AE12" s="50">
        <f t="shared" si="14"/>
        <v>0.02</v>
      </c>
      <c r="AF12" s="47">
        <f t="shared" si="17"/>
        <v>1</v>
      </c>
      <c r="AG12" s="50">
        <f>IF('Resultado da inspeção'!F12='Resultado da inspeção'!$W$3,0%,Ranking!R12)</f>
        <v>0.02</v>
      </c>
      <c r="AH12" s="50">
        <f>IF('Resultado da inspeção'!G12='Resultado da inspeção'!$W$3,0%,Ranking!S12)</f>
        <v>0.03</v>
      </c>
      <c r="AI12" s="50">
        <f>IF('Resultado da inspeção'!H12='Resultado da inspeção'!$W$3,0%,Ranking!T12)</f>
        <v>0.03</v>
      </c>
      <c r="AJ12" s="50">
        <f>IF('Resultado da inspeção'!I12='Resultado da inspeção'!$W$3,0%,Ranking!U12)</f>
        <v>0.1</v>
      </c>
      <c r="AK12" s="50">
        <f>IF('Resultado da inspeção'!J12='Resultado da inspeção'!$W$3,0%,Ranking!V12)</f>
        <v>0.21</v>
      </c>
      <c r="AL12" s="50">
        <f>IF('Resultado da inspeção'!K12='Resultado da inspeção'!$W$3,0%,Ranking!W12)</f>
        <v>0.05</v>
      </c>
      <c r="AM12" s="50">
        <f>IF('Resultado da inspeção'!L12='Resultado da inspeção'!$W$3,0%,Ranking!X12)</f>
        <v>0.24</v>
      </c>
      <c r="AN12" s="50">
        <f>IF('Resultado da inspeção'!M12='Resultado da inspeção'!$W$3,0%,Ranking!Y12)</f>
        <v>0.05</v>
      </c>
      <c r="AO12" s="50">
        <f>IF('Resultado da inspeção'!N12='Resultado da inspeção'!$W$3,0%,Ranking!Z12)</f>
        <v>0.04</v>
      </c>
      <c r="AP12" s="50">
        <f>IF('Resultado da inspeção'!O12='Resultado da inspeção'!$W$3,0%,Ranking!AA12)</f>
        <v>0.06</v>
      </c>
      <c r="AQ12" s="50">
        <f>IF('Resultado da inspeção'!P12='Resultado da inspeção'!$W$3,0%,Ranking!AB12)</f>
        <v>0.08</v>
      </c>
      <c r="AR12" s="50">
        <f>IF('Resultado da inspeção'!Q12='Resultado da inspeção'!$W$3,0%,Ranking!AC12)</f>
        <v>0.05</v>
      </c>
      <c r="AS12" s="50">
        <f>IF('Resultado da inspeção'!R12='Resultado da inspeção'!$W$3,0%,Ranking!AD12)</f>
        <v>0.02</v>
      </c>
      <c r="AT12" s="50">
        <f>IF('Resultado da inspeção'!S12='Resultado da inspeção'!$W$3,0%,Ranking!AE12)</f>
        <v>0.02</v>
      </c>
      <c r="AU12" s="49">
        <f t="shared" si="18"/>
        <v>1</v>
      </c>
    </row>
    <row r="13" spans="1:47" x14ac:dyDescent="0.25">
      <c r="B13" s="48">
        <f>IF('Resultado da inspeção'!F13='Resultado da inspeção'!$W$4,0%,Ranking!B$5)</f>
        <v>0.02</v>
      </c>
      <c r="C13" s="48">
        <f>IF('Resultado da inspeção'!G13='Resultado da inspeção'!$W$4,0%,Ranking!C$5)</f>
        <v>0.03</v>
      </c>
      <c r="D13" s="48">
        <f>IF('Resultado da inspeção'!H13='Resultado da inspeção'!$W$4,0%,Ranking!D$5)</f>
        <v>0.03</v>
      </c>
      <c r="E13" s="48">
        <f>IF('Resultado da inspeção'!I13='Resultado da inspeção'!$W$4,0%,Ranking!E$5)</f>
        <v>0.1</v>
      </c>
      <c r="F13" s="48">
        <f>IF('Resultado da inspeção'!J13='Resultado da inspeção'!$W$4,0%,Ranking!F$5)</f>
        <v>0.21</v>
      </c>
      <c r="G13" s="48">
        <f>IF('Resultado da inspeção'!K13='Resultado da inspeção'!$W$4,0%,Ranking!G$5)</f>
        <v>0.05</v>
      </c>
      <c r="H13" s="48">
        <f>IF('Resultado da inspeção'!L13='Resultado da inspeção'!$W$4,0%,Ranking!H$5)</f>
        <v>0.24</v>
      </c>
      <c r="I13" s="48">
        <f>IF('Resultado da inspeção'!M13='Resultado da inspeção'!$W$4,0%,Ranking!I$5)</f>
        <v>0.05</v>
      </c>
      <c r="J13" s="48">
        <f>IF('Resultado da inspeção'!N13='Resultado da inspeção'!$W$4,0%,Ranking!J$5)</f>
        <v>0.04</v>
      </c>
      <c r="K13" s="48">
        <f>IF('Resultado da inspeção'!O13='Resultado da inspeção'!$W$4,0%,Ranking!K$5)</f>
        <v>0.06</v>
      </c>
      <c r="L13" s="48">
        <f>IF('Resultado da inspeção'!P13='Resultado da inspeção'!$W$4,0%,Ranking!L$5)</f>
        <v>0.08</v>
      </c>
      <c r="M13" s="48">
        <f>IF('Resultado da inspeção'!Q13='Resultado da inspeção'!$W$4,0%,Ranking!M$5)</f>
        <v>0.05</v>
      </c>
      <c r="N13" s="48">
        <f>IF('Resultado da inspeção'!R13='Resultado da inspeção'!$W$4,0%,Ranking!N$5)</f>
        <v>0.02</v>
      </c>
      <c r="O13" s="48">
        <f>IF('Resultado da inspeção'!S13='Resultado da inspeção'!$W$4,0%,Ranking!O$5)</f>
        <v>0.02</v>
      </c>
      <c r="P13" s="47">
        <f t="shared" si="0"/>
        <v>1</v>
      </c>
      <c r="Q13" s="49">
        <f t="shared" si="16"/>
        <v>0</v>
      </c>
      <c r="R13" s="50">
        <f t="shared" si="1"/>
        <v>0.02</v>
      </c>
      <c r="S13" s="50">
        <f t="shared" si="2"/>
        <v>0.03</v>
      </c>
      <c r="T13" s="50">
        <f t="shared" si="3"/>
        <v>0.03</v>
      </c>
      <c r="U13" s="50">
        <f t="shared" si="4"/>
        <v>0.1</v>
      </c>
      <c r="V13" s="50">
        <f t="shared" si="5"/>
        <v>0.21</v>
      </c>
      <c r="W13" s="50">
        <f t="shared" si="6"/>
        <v>0.05</v>
      </c>
      <c r="X13" s="50">
        <f t="shared" si="7"/>
        <v>0.24</v>
      </c>
      <c r="Y13" s="50">
        <f t="shared" si="8"/>
        <v>0.05</v>
      </c>
      <c r="Z13" s="50">
        <f t="shared" si="9"/>
        <v>0.04</v>
      </c>
      <c r="AA13" s="50">
        <f t="shared" si="10"/>
        <v>0.06</v>
      </c>
      <c r="AB13" s="50">
        <f t="shared" si="11"/>
        <v>0.08</v>
      </c>
      <c r="AC13" s="50">
        <f t="shared" si="12"/>
        <v>0.05</v>
      </c>
      <c r="AD13" s="50">
        <f t="shared" si="13"/>
        <v>0.02</v>
      </c>
      <c r="AE13" s="50">
        <f t="shared" si="14"/>
        <v>0.02</v>
      </c>
      <c r="AF13" s="47">
        <f t="shared" si="17"/>
        <v>1</v>
      </c>
      <c r="AG13" s="50">
        <f>IF('Resultado da inspeção'!F13='Resultado da inspeção'!$W$3,0%,Ranking!R13)</f>
        <v>0.02</v>
      </c>
      <c r="AH13" s="50">
        <f>IF('Resultado da inspeção'!G13='Resultado da inspeção'!$W$3,0%,Ranking!S13)</f>
        <v>0.03</v>
      </c>
      <c r="AI13" s="50">
        <f>IF('Resultado da inspeção'!H13='Resultado da inspeção'!$W$3,0%,Ranking!T13)</f>
        <v>0.03</v>
      </c>
      <c r="AJ13" s="50">
        <f>IF('Resultado da inspeção'!I13='Resultado da inspeção'!$W$3,0%,Ranking!U13)</f>
        <v>0.1</v>
      </c>
      <c r="AK13" s="50">
        <f>IF('Resultado da inspeção'!J13='Resultado da inspeção'!$W$3,0%,Ranking!V13)</f>
        <v>0.21</v>
      </c>
      <c r="AL13" s="50">
        <f>IF('Resultado da inspeção'!K13='Resultado da inspeção'!$W$3,0%,Ranking!W13)</f>
        <v>0.05</v>
      </c>
      <c r="AM13" s="50">
        <f>IF('Resultado da inspeção'!L13='Resultado da inspeção'!$W$3,0%,Ranking!X13)</f>
        <v>0.24</v>
      </c>
      <c r="AN13" s="50">
        <f>IF('Resultado da inspeção'!M13='Resultado da inspeção'!$W$3,0%,Ranking!Y13)</f>
        <v>0.05</v>
      </c>
      <c r="AO13" s="50">
        <f>IF('Resultado da inspeção'!N13='Resultado da inspeção'!$W$3,0%,Ranking!Z13)</f>
        <v>0.04</v>
      </c>
      <c r="AP13" s="50">
        <f>IF('Resultado da inspeção'!O13='Resultado da inspeção'!$W$3,0%,Ranking!AA13)</f>
        <v>0.06</v>
      </c>
      <c r="AQ13" s="50">
        <f>IF('Resultado da inspeção'!P13='Resultado da inspeção'!$W$3,0%,Ranking!AB13)</f>
        <v>0.08</v>
      </c>
      <c r="AR13" s="50">
        <f>IF('Resultado da inspeção'!Q13='Resultado da inspeção'!$W$3,0%,Ranking!AC13)</f>
        <v>0.05</v>
      </c>
      <c r="AS13" s="50">
        <f>IF('Resultado da inspeção'!R13='Resultado da inspeção'!$W$3,0%,Ranking!AD13)</f>
        <v>0.02</v>
      </c>
      <c r="AT13" s="50">
        <f>IF('Resultado da inspeção'!S13='Resultado da inspeção'!$W$3,0%,Ranking!AE13)</f>
        <v>0.02</v>
      </c>
      <c r="AU13" s="49">
        <f t="shared" si="18"/>
        <v>1</v>
      </c>
    </row>
    <row r="14" spans="1:47" x14ac:dyDescent="0.25">
      <c r="B14" s="48">
        <f>IF('Resultado da inspeção'!F14='Resultado da inspeção'!$W$4,0%,Ranking!B$5)</f>
        <v>0.02</v>
      </c>
      <c r="C14" s="48">
        <f>IF('Resultado da inspeção'!G14='Resultado da inspeção'!$W$4,0%,Ranking!C$5)</f>
        <v>0.03</v>
      </c>
      <c r="D14" s="48">
        <f>IF('Resultado da inspeção'!H14='Resultado da inspeção'!$W$4,0%,Ranking!D$5)</f>
        <v>0.03</v>
      </c>
      <c r="E14" s="48">
        <f>IF('Resultado da inspeção'!I14='Resultado da inspeção'!$W$4,0%,Ranking!E$5)</f>
        <v>0.1</v>
      </c>
      <c r="F14" s="48">
        <f>IF('Resultado da inspeção'!J14='Resultado da inspeção'!$W$4,0%,Ranking!F$5)</f>
        <v>0.21</v>
      </c>
      <c r="G14" s="48">
        <f>IF('Resultado da inspeção'!K14='Resultado da inspeção'!$W$4,0%,Ranking!G$5)</f>
        <v>0.05</v>
      </c>
      <c r="H14" s="48">
        <f>IF('Resultado da inspeção'!L14='Resultado da inspeção'!$W$4,0%,Ranking!H$5)</f>
        <v>0.24</v>
      </c>
      <c r="I14" s="48">
        <f>IF('Resultado da inspeção'!M14='Resultado da inspeção'!$W$4,0%,Ranking!I$5)</f>
        <v>0.05</v>
      </c>
      <c r="J14" s="48">
        <f>IF('Resultado da inspeção'!N14='Resultado da inspeção'!$W$4,0%,Ranking!J$5)</f>
        <v>0.04</v>
      </c>
      <c r="K14" s="48">
        <f>IF('Resultado da inspeção'!O14='Resultado da inspeção'!$W$4,0%,Ranking!K$5)</f>
        <v>0.06</v>
      </c>
      <c r="L14" s="48">
        <f>IF('Resultado da inspeção'!P14='Resultado da inspeção'!$W$4,0%,Ranking!L$5)</f>
        <v>0.08</v>
      </c>
      <c r="M14" s="48">
        <f>IF('Resultado da inspeção'!Q14='Resultado da inspeção'!$W$4,0%,Ranking!M$5)</f>
        <v>0.05</v>
      </c>
      <c r="N14" s="48">
        <f>IF('Resultado da inspeção'!R14='Resultado da inspeção'!$W$4,0%,Ranking!N$5)</f>
        <v>0.02</v>
      </c>
      <c r="O14" s="48">
        <f>IF('Resultado da inspeção'!S14='Resultado da inspeção'!$W$4,0%,Ranking!O$5)</f>
        <v>0.02</v>
      </c>
      <c r="P14" s="47">
        <f t="shared" si="0"/>
        <v>1</v>
      </c>
      <c r="Q14" s="49">
        <f t="shared" si="16"/>
        <v>0</v>
      </c>
      <c r="R14" s="50">
        <f t="shared" si="1"/>
        <v>0.02</v>
      </c>
      <c r="S14" s="50">
        <f t="shared" si="2"/>
        <v>0.03</v>
      </c>
      <c r="T14" s="50">
        <f t="shared" si="3"/>
        <v>0.03</v>
      </c>
      <c r="U14" s="50">
        <f t="shared" si="4"/>
        <v>0.1</v>
      </c>
      <c r="V14" s="50">
        <f t="shared" si="5"/>
        <v>0.21</v>
      </c>
      <c r="W14" s="50">
        <f t="shared" si="6"/>
        <v>0.05</v>
      </c>
      <c r="X14" s="50">
        <f t="shared" si="7"/>
        <v>0.24</v>
      </c>
      <c r="Y14" s="50">
        <f t="shared" si="8"/>
        <v>0.05</v>
      </c>
      <c r="Z14" s="50">
        <f t="shared" si="9"/>
        <v>0.04</v>
      </c>
      <c r="AA14" s="50">
        <f t="shared" si="10"/>
        <v>0.06</v>
      </c>
      <c r="AB14" s="50">
        <f t="shared" si="11"/>
        <v>0.08</v>
      </c>
      <c r="AC14" s="50">
        <f t="shared" si="12"/>
        <v>0.05</v>
      </c>
      <c r="AD14" s="50">
        <f t="shared" si="13"/>
        <v>0.02</v>
      </c>
      <c r="AE14" s="50">
        <f t="shared" si="14"/>
        <v>0.02</v>
      </c>
      <c r="AF14" s="47">
        <f t="shared" si="17"/>
        <v>1</v>
      </c>
      <c r="AG14" s="50">
        <f>IF('Resultado da inspeção'!F14='Resultado da inspeção'!$W$3,0%,Ranking!R14)</f>
        <v>0.02</v>
      </c>
      <c r="AH14" s="50">
        <f>IF('Resultado da inspeção'!G14='Resultado da inspeção'!$W$3,0%,Ranking!S14)</f>
        <v>0.03</v>
      </c>
      <c r="AI14" s="50">
        <f>IF('Resultado da inspeção'!H14='Resultado da inspeção'!$W$3,0%,Ranking!T14)</f>
        <v>0.03</v>
      </c>
      <c r="AJ14" s="50">
        <f>IF('Resultado da inspeção'!I14='Resultado da inspeção'!$W$3,0%,Ranking!U14)</f>
        <v>0.1</v>
      </c>
      <c r="AK14" s="50">
        <f>IF('Resultado da inspeção'!J14='Resultado da inspeção'!$W$3,0%,Ranking!V14)</f>
        <v>0.21</v>
      </c>
      <c r="AL14" s="50">
        <f>IF('Resultado da inspeção'!K14='Resultado da inspeção'!$W$3,0%,Ranking!W14)</f>
        <v>0.05</v>
      </c>
      <c r="AM14" s="50">
        <f>IF('Resultado da inspeção'!L14='Resultado da inspeção'!$W$3,0%,Ranking!X14)</f>
        <v>0.24</v>
      </c>
      <c r="AN14" s="50">
        <f>IF('Resultado da inspeção'!M14='Resultado da inspeção'!$W$3,0%,Ranking!Y14)</f>
        <v>0.05</v>
      </c>
      <c r="AO14" s="50">
        <f>IF('Resultado da inspeção'!N14='Resultado da inspeção'!$W$3,0%,Ranking!Z14)</f>
        <v>0.04</v>
      </c>
      <c r="AP14" s="50">
        <f>IF('Resultado da inspeção'!O14='Resultado da inspeção'!$W$3,0%,Ranking!AA14)</f>
        <v>0.06</v>
      </c>
      <c r="AQ14" s="50">
        <f>IF('Resultado da inspeção'!P14='Resultado da inspeção'!$W$3,0%,Ranking!AB14)</f>
        <v>0.08</v>
      </c>
      <c r="AR14" s="50">
        <f>IF('Resultado da inspeção'!Q14='Resultado da inspeção'!$W$3,0%,Ranking!AC14)</f>
        <v>0.05</v>
      </c>
      <c r="AS14" s="50">
        <f>IF('Resultado da inspeção'!R14='Resultado da inspeção'!$W$3,0%,Ranking!AD14)</f>
        <v>0.02</v>
      </c>
      <c r="AT14" s="50">
        <f>IF('Resultado da inspeção'!S14='Resultado da inspeção'!$W$3,0%,Ranking!AE14)</f>
        <v>0.02</v>
      </c>
      <c r="AU14" s="49">
        <f t="shared" si="18"/>
        <v>1</v>
      </c>
    </row>
    <row r="15" spans="1:47" x14ac:dyDescent="0.25">
      <c r="B15" s="48">
        <f>IF('Resultado da inspeção'!F15='Resultado da inspeção'!$W$4,0%,Ranking!B$5)</f>
        <v>0.02</v>
      </c>
      <c r="C15" s="48">
        <f>IF('Resultado da inspeção'!G15='Resultado da inspeção'!$W$4,0%,Ranking!C$5)</f>
        <v>0.03</v>
      </c>
      <c r="D15" s="48">
        <f>IF('Resultado da inspeção'!H15='Resultado da inspeção'!$W$4,0%,Ranking!D$5)</f>
        <v>0.03</v>
      </c>
      <c r="E15" s="48">
        <f>IF('Resultado da inspeção'!I15='Resultado da inspeção'!$W$4,0%,Ranking!E$5)</f>
        <v>0.1</v>
      </c>
      <c r="F15" s="48">
        <f>IF('Resultado da inspeção'!J15='Resultado da inspeção'!$W$4,0%,Ranking!F$5)</f>
        <v>0.21</v>
      </c>
      <c r="G15" s="48">
        <f>IF('Resultado da inspeção'!K15='Resultado da inspeção'!$W$4,0%,Ranking!G$5)</f>
        <v>0.05</v>
      </c>
      <c r="H15" s="48">
        <f>IF('Resultado da inspeção'!L15='Resultado da inspeção'!$W$4,0%,Ranking!H$5)</f>
        <v>0.24</v>
      </c>
      <c r="I15" s="48">
        <f>IF('Resultado da inspeção'!M15='Resultado da inspeção'!$W$4,0%,Ranking!I$5)</f>
        <v>0.05</v>
      </c>
      <c r="J15" s="48">
        <f>IF('Resultado da inspeção'!N15='Resultado da inspeção'!$W$4,0%,Ranking!J$5)</f>
        <v>0.04</v>
      </c>
      <c r="K15" s="48">
        <f>IF('Resultado da inspeção'!O15='Resultado da inspeção'!$W$4,0%,Ranking!K$5)</f>
        <v>0.06</v>
      </c>
      <c r="L15" s="48">
        <f>IF('Resultado da inspeção'!P15='Resultado da inspeção'!$W$4,0%,Ranking!L$5)</f>
        <v>0.08</v>
      </c>
      <c r="M15" s="48">
        <f>IF('Resultado da inspeção'!Q15='Resultado da inspeção'!$W$4,0%,Ranking!M$5)</f>
        <v>0.05</v>
      </c>
      <c r="N15" s="48">
        <f>IF('Resultado da inspeção'!R15='Resultado da inspeção'!$W$4,0%,Ranking!N$5)</f>
        <v>0.02</v>
      </c>
      <c r="O15" s="48">
        <f>IF('Resultado da inspeção'!S15='Resultado da inspeção'!$W$4,0%,Ranking!O$5)</f>
        <v>0.02</v>
      </c>
      <c r="P15" s="47">
        <f t="shared" si="0"/>
        <v>1</v>
      </c>
      <c r="Q15" s="49">
        <f t="shared" si="16"/>
        <v>0</v>
      </c>
      <c r="R15" s="50">
        <f t="shared" si="1"/>
        <v>0.02</v>
      </c>
      <c r="S15" s="50">
        <f t="shared" si="2"/>
        <v>0.03</v>
      </c>
      <c r="T15" s="50">
        <f t="shared" si="3"/>
        <v>0.03</v>
      </c>
      <c r="U15" s="50">
        <f t="shared" si="4"/>
        <v>0.1</v>
      </c>
      <c r="V15" s="50">
        <f t="shared" si="5"/>
        <v>0.21</v>
      </c>
      <c r="W15" s="50">
        <f t="shared" si="6"/>
        <v>0.05</v>
      </c>
      <c r="X15" s="50">
        <f t="shared" si="7"/>
        <v>0.24</v>
      </c>
      <c r="Y15" s="50">
        <f t="shared" si="8"/>
        <v>0.05</v>
      </c>
      <c r="Z15" s="50">
        <f t="shared" si="9"/>
        <v>0.04</v>
      </c>
      <c r="AA15" s="50">
        <f t="shared" si="10"/>
        <v>0.06</v>
      </c>
      <c r="AB15" s="50">
        <f t="shared" si="11"/>
        <v>0.08</v>
      </c>
      <c r="AC15" s="50">
        <f t="shared" si="12"/>
        <v>0.05</v>
      </c>
      <c r="AD15" s="50">
        <f t="shared" si="13"/>
        <v>0.02</v>
      </c>
      <c r="AE15" s="50">
        <f t="shared" si="14"/>
        <v>0.02</v>
      </c>
      <c r="AF15" s="47">
        <f t="shared" si="17"/>
        <v>1</v>
      </c>
      <c r="AG15" s="50">
        <f>IF('Resultado da inspeção'!F15='Resultado da inspeção'!$W$3,0%,Ranking!R15)</f>
        <v>0.02</v>
      </c>
      <c r="AH15" s="50">
        <f>IF('Resultado da inspeção'!G15='Resultado da inspeção'!$W$3,0%,Ranking!S15)</f>
        <v>0.03</v>
      </c>
      <c r="AI15" s="50">
        <f>IF('Resultado da inspeção'!H15='Resultado da inspeção'!$W$3,0%,Ranking!T15)</f>
        <v>0.03</v>
      </c>
      <c r="AJ15" s="50">
        <f>IF('Resultado da inspeção'!I15='Resultado da inspeção'!$W$3,0%,Ranking!U15)</f>
        <v>0.1</v>
      </c>
      <c r="AK15" s="50">
        <f>IF('Resultado da inspeção'!J15='Resultado da inspeção'!$W$3,0%,Ranking!V15)</f>
        <v>0.21</v>
      </c>
      <c r="AL15" s="50">
        <f>IF('Resultado da inspeção'!K15='Resultado da inspeção'!$W$3,0%,Ranking!W15)</f>
        <v>0.05</v>
      </c>
      <c r="AM15" s="50">
        <f>IF('Resultado da inspeção'!L15='Resultado da inspeção'!$W$3,0%,Ranking!X15)</f>
        <v>0.24</v>
      </c>
      <c r="AN15" s="50">
        <f>IF('Resultado da inspeção'!M15='Resultado da inspeção'!$W$3,0%,Ranking!Y15)</f>
        <v>0.05</v>
      </c>
      <c r="AO15" s="50">
        <f>IF('Resultado da inspeção'!N15='Resultado da inspeção'!$W$3,0%,Ranking!Z15)</f>
        <v>0.04</v>
      </c>
      <c r="AP15" s="50">
        <f>IF('Resultado da inspeção'!O15='Resultado da inspeção'!$W$3,0%,Ranking!AA15)</f>
        <v>0.06</v>
      </c>
      <c r="AQ15" s="50">
        <f>IF('Resultado da inspeção'!P15='Resultado da inspeção'!$W$3,0%,Ranking!AB15)</f>
        <v>0.08</v>
      </c>
      <c r="AR15" s="50">
        <f>IF('Resultado da inspeção'!Q15='Resultado da inspeção'!$W$3,0%,Ranking!AC15)</f>
        <v>0.05</v>
      </c>
      <c r="AS15" s="50">
        <f>IF('Resultado da inspeção'!R15='Resultado da inspeção'!$W$3,0%,Ranking!AD15)</f>
        <v>0.02</v>
      </c>
      <c r="AT15" s="50">
        <f>IF('Resultado da inspeção'!S15='Resultado da inspeção'!$W$3,0%,Ranking!AE15)</f>
        <v>0.02</v>
      </c>
      <c r="AU15" s="49">
        <f t="shared" si="18"/>
        <v>1</v>
      </c>
    </row>
    <row r="16" spans="1:47" x14ac:dyDescent="0.25">
      <c r="B16" s="48">
        <f>IF('Resultado da inspeção'!F16='Resultado da inspeção'!$W$4,0%,Ranking!B$5)</f>
        <v>0.02</v>
      </c>
      <c r="C16" s="48">
        <f>IF('Resultado da inspeção'!G16='Resultado da inspeção'!$W$4,0%,Ranking!C$5)</f>
        <v>0.03</v>
      </c>
      <c r="D16" s="48">
        <f>IF('Resultado da inspeção'!H16='Resultado da inspeção'!$W$4,0%,Ranking!D$5)</f>
        <v>0.03</v>
      </c>
      <c r="E16" s="48">
        <f>IF('Resultado da inspeção'!I16='Resultado da inspeção'!$W$4,0%,Ranking!E$5)</f>
        <v>0.1</v>
      </c>
      <c r="F16" s="48">
        <f>IF('Resultado da inspeção'!J16='Resultado da inspeção'!$W$4,0%,Ranking!F$5)</f>
        <v>0.21</v>
      </c>
      <c r="G16" s="48">
        <f>IF('Resultado da inspeção'!K16='Resultado da inspeção'!$W$4,0%,Ranking!G$5)</f>
        <v>0.05</v>
      </c>
      <c r="H16" s="48">
        <f>IF('Resultado da inspeção'!L16='Resultado da inspeção'!$W$4,0%,Ranking!H$5)</f>
        <v>0.24</v>
      </c>
      <c r="I16" s="48">
        <f>IF('Resultado da inspeção'!M16='Resultado da inspeção'!$W$4,0%,Ranking!I$5)</f>
        <v>0.05</v>
      </c>
      <c r="J16" s="48">
        <f>IF('Resultado da inspeção'!N16='Resultado da inspeção'!$W$4,0%,Ranking!J$5)</f>
        <v>0.04</v>
      </c>
      <c r="K16" s="48">
        <f>IF('Resultado da inspeção'!O16='Resultado da inspeção'!$W$4,0%,Ranking!K$5)</f>
        <v>0.06</v>
      </c>
      <c r="L16" s="48">
        <f>IF('Resultado da inspeção'!P16='Resultado da inspeção'!$W$4,0%,Ranking!L$5)</f>
        <v>0.08</v>
      </c>
      <c r="M16" s="48">
        <f>IF('Resultado da inspeção'!Q16='Resultado da inspeção'!$W$4,0%,Ranking!M$5)</f>
        <v>0.05</v>
      </c>
      <c r="N16" s="48">
        <f>IF('Resultado da inspeção'!R16='Resultado da inspeção'!$W$4,0%,Ranking!N$5)</f>
        <v>0.02</v>
      </c>
      <c r="O16" s="48">
        <f>IF('Resultado da inspeção'!S16='Resultado da inspeção'!$W$4,0%,Ranking!O$5)</f>
        <v>0.02</v>
      </c>
      <c r="P16" s="47">
        <f t="shared" si="0"/>
        <v>1</v>
      </c>
      <c r="Q16" s="49">
        <f t="shared" si="16"/>
        <v>0</v>
      </c>
      <c r="R16" s="50">
        <f t="shared" si="1"/>
        <v>0.02</v>
      </c>
      <c r="S16" s="50">
        <f t="shared" si="2"/>
        <v>0.03</v>
      </c>
      <c r="T16" s="50">
        <f t="shared" si="3"/>
        <v>0.03</v>
      </c>
      <c r="U16" s="50">
        <f t="shared" si="4"/>
        <v>0.1</v>
      </c>
      <c r="V16" s="50">
        <f t="shared" si="5"/>
        <v>0.21</v>
      </c>
      <c r="W16" s="50">
        <f t="shared" si="6"/>
        <v>0.05</v>
      </c>
      <c r="X16" s="50">
        <f t="shared" si="7"/>
        <v>0.24</v>
      </c>
      <c r="Y16" s="50">
        <f t="shared" si="8"/>
        <v>0.05</v>
      </c>
      <c r="Z16" s="50">
        <f t="shared" si="9"/>
        <v>0.04</v>
      </c>
      <c r="AA16" s="50">
        <f t="shared" si="10"/>
        <v>0.06</v>
      </c>
      <c r="AB16" s="50">
        <f t="shared" si="11"/>
        <v>0.08</v>
      </c>
      <c r="AC16" s="50">
        <f t="shared" si="12"/>
        <v>0.05</v>
      </c>
      <c r="AD16" s="50">
        <f t="shared" si="13"/>
        <v>0.02</v>
      </c>
      <c r="AE16" s="50">
        <f t="shared" si="14"/>
        <v>0.02</v>
      </c>
      <c r="AF16" s="47">
        <f t="shared" si="17"/>
        <v>1</v>
      </c>
      <c r="AG16" s="50">
        <f>IF('Resultado da inspeção'!F16='Resultado da inspeção'!$W$3,0%,Ranking!R16)</f>
        <v>0.02</v>
      </c>
      <c r="AH16" s="50">
        <f>IF('Resultado da inspeção'!G16='Resultado da inspeção'!$W$3,0%,Ranking!S16)</f>
        <v>0.03</v>
      </c>
      <c r="AI16" s="50">
        <f>IF('Resultado da inspeção'!H16='Resultado da inspeção'!$W$3,0%,Ranking!T16)</f>
        <v>0.03</v>
      </c>
      <c r="AJ16" s="50">
        <f>IF('Resultado da inspeção'!I16='Resultado da inspeção'!$W$3,0%,Ranking!U16)</f>
        <v>0.1</v>
      </c>
      <c r="AK16" s="50">
        <f>IF('Resultado da inspeção'!J16='Resultado da inspeção'!$W$3,0%,Ranking!V16)</f>
        <v>0.21</v>
      </c>
      <c r="AL16" s="50">
        <f>IF('Resultado da inspeção'!K16='Resultado da inspeção'!$W$3,0%,Ranking!W16)</f>
        <v>0.05</v>
      </c>
      <c r="AM16" s="50">
        <f>IF('Resultado da inspeção'!L16='Resultado da inspeção'!$W$3,0%,Ranking!X16)</f>
        <v>0.24</v>
      </c>
      <c r="AN16" s="50">
        <f>IF('Resultado da inspeção'!M16='Resultado da inspeção'!$W$3,0%,Ranking!Y16)</f>
        <v>0.05</v>
      </c>
      <c r="AO16" s="50">
        <f>IF('Resultado da inspeção'!N16='Resultado da inspeção'!$W$3,0%,Ranking!Z16)</f>
        <v>0.04</v>
      </c>
      <c r="AP16" s="50">
        <f>IF('Resultado da inspeção'!O16='Resultado da inspeção'!$W$3,0%,Ranking!AA16)</f>
        <v>0.06</v>
      </c>
      <c r="AQ16" s="50">
        <f>IF('Resultado da inspeção'!P16='Resultado da inspeção'!$W$3,0%,Ranking!AB16)</f>
        <v>0.08</v>
      </c>
      <c r="AR16" s="50">
        <f>IF('Resultado da inspeção'!Q16='Resultado da inspeção'!$W$3,0%,Ranking!AC16)</f>
        <v>0.05</v>
      </c>
      <c r="AS16" s="50">
        <f>IF('Resultado da inspeção'!R16='Resultado da inspeção'!$W$3,0%,Ranking!AD16)</f>
        <v>0.02</v>
      </c>
      <c r="AT16" s="50">
        <f>IF('Resultado da inspeção'!S16='Resultado da inspeção'!$W$3,0%,Ranking!AE16)</f>
        <v>0.02</v>
      </c>
      <c r="AU16" s="49">
        <f t="shared" si="18"/>
        <v>1</v>
      </c>
    </row>
    <row r="17" spans="2:47" x14ac:dyDescent="0.25">
      <c r="B17" s="48">
        <f>IF('Resultado da inspeção'!F17='Resultado da inspeção'!$W$4,0%,Ranking!B$5)</f>
        <v>0.02</v>
      </c>
      <c r="C17" s="48">
        <f>IF('Resultado da inspeção'!G17='Resultado da inspeção'!$W$4,0%,Ranking!C$5)</f>
        <v>0.03</v>
      </c>
      <c r="D17" s="48">
        <f>IF('Resultado da inspeção'!H17='Resultado da inspeção'!$W$4,0%,Ranking!D$5)</f>
        <v>0.03</v>
      </c>
      <c r="E17" s="48">
        <f>IF('Resultado da inspeção'!I17='Resultado da inspeção'!$W$4,0%,Ranking!E$5)</f>
        <v>0.1</v>
      </c>
      <c r="F17" s="48">
        <f>IF('Resultado da inspeção'!J17='Resultado da inspeção'!$W$4,0%,Ranking!F$5)</f>
        <v>0.21</v>
      </c>
      <c r="G17" s="48">
        <f>IF('Resultado da inspeção'!K17='Resultado da inspeção'!$W$4,0%,Ranking!G$5)</f>
        <v>0.05</v>
      </c>
      <c r="H17" s="48">
        <f>IF('Resultado da inspeção'!L17='Resultado da inspeção'!$W$4,0%,Ranking!H$5)</f>
        <v>0.24</v>
      </c>
      <c r="I17" s="48">
        <f>IF('Resultado da inspeção'!M17='Resultado da inspeção'!$W$4,0%,Ranking!I$5)</f>
        <v>0.05</v>
      </c>
      <c r="J17" s="48">
        <f>IF('Resultado da inspeção'!N17='Resultado da inspeção'!$W$4,0%,Ranking!J$5)</f>
        <v>0.04</v>
      </c>
      <c r="K17" s="48">
        <f>IF('Resultado da inspeção'!O17='Resultado da inspeção'!$W$4,0%,Ranking!K$5)</f>
        <v>0.06</v>
      </c>
      <c r="L17" s="48">
        <f>IF('Resultado da inspeção'!P17='Resultado da inspeção'!$W$4,0%,Ranking!L$5)</f>
        <v>0.08</v>
      </c>
      <c r="M17" s="48">
        <f>IF('Resultado da inspeção'!Q17='Resultado da inspeção'!$W$4,0%,Ranking!M$5)</f>
        <v>0.05</v>
      </c>
      <c r="N17" s="48">
        <f>IF('Resultado da inspeção'!R17='Resultado da inspeção'!$W$4,0%,Ranking!N$5)</f>
        <v>0.02</v>
      </c>
      <c r="O17" s="48">
        <f>IF('Resultado da inspeção'!S17='Resultado da inspeção'!$W$4,0%,Ranking!O$5)</f>
        <v>0.02</v>
      </c>
      <c r="P17" s="47">
        <f t="shared" si="0"/>
        <v>1</v>
      </c>
      <c r="Q17" s="49">
        <f t="shared" si="16"/>
        <v>0</v>
      </c>
      <c r="R17" s="50">
        <f t="shared" si="1"/>
        <v>0.02</v>
      </c>
      <c r="S17" s="50">
        <f t="shared" si="2"/>
        <v>0.03</v>
      </c>
      <c r="T17" s="50">
        <f t="shared" si="3"/>
        <v>0.03</v>
      </c>
      <c r="U17" s="50">
        <f t="shared" si="4"/>
        <v>0.1</v>
      </c>
      <c r="V17" s="50">
        <f t="shared" si="5"/>
        <v>0.21</v>
      </c>
      <c r="W17" s="50">
        <f t="shared" si="6"/>
        <v>0.05</v>
      </c>
      <c r="X17" s="50">
        <f t="shared" si="7"/>
        <v>0.24</v>
      </c>
      <c r="Y17" s="50">
        <f t="shared" si="8"/>
        <v>0.05</v>
      </c>
      <c r="Z17" s="50">
        <f t="shared" si="9"/>
        <v>0.04</v>
      </c>
      <c r="AA17" s="50">
        <f t="shared" si="10"/>
        <v>0.06</v>
      </c>
      <c r="AB17" s="50">
        <f t="shared" si="11"/>
        <v>0.08</v>
      </c>
      <c r="AC17" s="50">
        <f t="shared" si="12"/>
        <v>0.05</v>
      </c>
      <c r="AD17" s="50">
        <f t="shared" si="13"/>
        <v>0.02</v>
      </c>
      <c r="AE17" s="50">
        <f t="shared" si="14"/>
        <v>0.02</v>
      </c>
      <c r="AF17" s="47">
        <f t="shared" si="17"/>
        <v>1</v>
      </c>
      <c r="AG17" s="50">
        <f>IF('Resultado da inspeção'!F17='Resultado da inspeção'!$W$3,0%,Ranking!R17)</f>
        <v>0.02</v>
      </c>
      <c r="AH17" s="50">
        <f>IF('Resultado da inspeção'!G17='Resultado da inspeção'!$W$3,0%,Ranking!S17)</f>
        <v>0.03</v>
      </c>
      <c r="AI17" s="50">
        <f>IF('Resultado da inspeção'!H17='Resultado da inspeção'!$W$3,0%,Ranking!T17)</f>
        <v>0.03</v>
      </c>
      <c r="AJ17" s="50">
        <f>IF('Resultado da inspeção'!I17='Resultado da inspeção'!$W$3,0%,Ranking!U17)</f>
        <v>0.1</v>
      </c>
      <c r="AK17" s="50">
        <f>IF('Resultado da inspeção'!J17='Resultado da inspeção'!$W$3,0%,Ranking!V17)</f>
        <v>0.21</v>
      </c>
      <c r="AL17" s="50">
        <f>IF('Resultado da inspeção'!K17='Resultado da inspeção'!$W$3,0%,Ranking!W17)</f>
        <v>0.05</v>
      </c>
      <c r="AM17" s="50">
        <f>IF('Resultado da inspeção'!L17='Resultado da inspeção'!$W$3,0%,Ranking!X17)</f>
        <v>0.24</v>
      </c>
      <c r="AN17" s="50">
        <f>IF('Resultado da inspeção'!M17='Resultado da inspeção'!$W$3,0%,Ranking!Y17)</f>
        <v>0.05</v>
      </c>
      <c r="AO17" s="50">
        <f>IF('Resultado da inspeção'!N17='Resultado da inspeção'!$W$3,0%,Ranking!Z17)</f>
        <v>0.04</v>
      </c>
      <c r="AP17" s="50">
        <f>IF('Resultado da inspeção'!O17='Resultado da inspeção'!$W$3,0%,Ranking!AA17)</f>
        <v>0.06</v>
      </c>
      <c r="AQ17" s="50">
        <f>IF('Resultado da inspeção'!P17='Resultado da inspeção'!$W$3,0%,Ranking!AB17)</f>
        <v>0.08</v>
      </c>
      <c r="AR17" s="50">
        <f>IF('Resultado da inspeção'!Q17='Resultado da inspeção'!$W$3,0%,Ranking!AC17)</f>
        <v>0.05</v>
      </c>
      <c r="AS17" s="50">
        <f>IF('Resultado da inspeção'!R17='Resultado da inspeção'!$W$3,0%,Ranking!AD17)</f>
        <v>0.02</v>
      </c>
      <c r="AT17" s="50">
        <f>IF('Resultado da inspeção'!S17='Resultado da inspeção'!$W$3,0%,Ranking!AE17)</f>
        <v>0.02</v>
      </c>
      <c r="AU17" s="49">
        <f t="shared" si="18"/>
        <v>1</v>
      </c>
    </row>
    <row r="18" spans="2:47" x14ac:dyDescent="0.25">
      <c r="B18" s="48">
        <f>IF('Resultado da inspeção'!F18='Resultado da inspeção'!$W$4,0%,Ranking!B$5)</f>
        <v>0.02</v>
      </c>
      <c r="C18" s="48">
        <f>IF('Resultado da inspeção'!G18='Resultado da inspeção'!$W$4,0%,Ranking!C$5)</f>
        <v>0.03</v>
      </c>
      <c r="D18" s="48">
        <f>IF('Resultado da inspeção'!H18='Resultado da inspeção'!$W$4,0%,Ranking!D$5)</f>
        <v>0.03</v>
      </c>
      <c r="E18" s="48">
        <f>IF('Resultado da inspeção'!I18='Resultado da inspeção'!$W$4,0%,Ranking!E$5)</f>
        <v>0.1</v>
      </c>
      <c r="F18" s="48">
        <f>IF('Resultado da inspeção'!J18='Resultado da inspeção'!$W$4,0%,Ranking!F$5)</f>
        <v>0.21</v>
      </c>
      <c r="G18" s="48">
        <f>IF('Resultado da inspeção'!K18='Resultado da inspeção'!$W$4,0%,Ranking!G$5)</f>
        <v>0.05</v>
      </c>
      <c r="H18" s="48">
        <f>IF('Resultado da inspeção'!L18='Resultado da inspeção'!$W$4,0%,Ranking!H$5)</f>
        <v>0.24</v>
      </c>
      <c r="I18" s="48">
        <f>IF('Resultado da inspeção'!M18='Resultado da inspeção'!$W$4,0%,Ranking!I$5)</f>
        <v>0.05</v>
      </c>
      <c r="J18" s="48">
        <f>IF('Resultado da inspeção'!N18='Resultado da inspeção'!$W$4,0%,Ranking!J$5)</f>
        <v>0.04</v>
      </c>
      <c r="K18" s="48">
        <f>IF('Resultado da inspeção'!O18='Resultado da inspeção'!$W$4,0%,Ranking!K$5)</f>
        <v>0.06</v>
      </c>
      <c r="L18" s="48">
        <f>IF('Resultado da inspeção'!P18='Resultado da inspeção'!$W$4,0%,Ranking!L$5)</f>
        <v>0.08</v>
      </c>
      <c r="M18" s="48">
        <f>IF('Resultado da inspeção'!Q18='Resultado da inspeção'!$W$4,0%,Ranking!M$5)</f>
        <v>0.05</v>
      </c>
      <c r="N18" s="48">
        <f>IF('Resultado da inspeção'!R18='Resultado da inspeção'!$W$4,0%,Ranking!N$5)</f>
        <v>0.02</v>
      </c>
      <c r="O18" s="48">
        <f>IF('Resultado da inspeção'!S18='Resultado da inspeção'!$W$4,0%,Ranking!O$5)</f>
        <v>0.02</v>
      </c>
      <c r="P18" s="47">
        <f t="shared" si="0"/>
        <v>1</v>
      </c>
      <c r="Q18" s="49">
        <f t="shared" si="16"/>
        <v>0</v>
      </c>
      <c r="R18" s="50">
        <f t="shared" si="1"/>
        <v>0.02</v>
      </c>
      <c r="S18" s="50">
        <f t="shared" si="2"/>
        <v>0.03</v>
      </c>
      <c r="T18" s="50">
        <f t="shared" si="3"/>
        <v>0.03</v>
      </c>
      <c r="U18" s="50">
        <f t="shared" si="4"/>
        <v>0.1</v>
      </c>
      <c r="V18" s="50">
        <f t="shared" si="5"/>
        <v>0.21</v>
      </c>
      <c r="W18" s="50">
        <f t="shared" si="6"/>
        <v>0.05</v>
      </c>
      <c r="X18" s="50">
        <f t="shared" si="7"/>
        <v>0.24</v>
      </c>
      <c r="Y18" s="50">
        <f t="shared" si="8"/>
        <v>0.05</v>
      </c>
      <c r="Z18" s="50">
        <f t="shared" si="9"/>
        <v>0.04</v>
      </c>
      <c r="AA18" s="50">
        <f t="shared" si="10"/>
        <v>0.06</v>
      </c>
      <c r="AB18" s="50">
        <f t="shared" si="11"/>
        <v>0.08</v>
      </c>
      <c r="AC18" s="50">
        <f t="shared" si="12"/>
        <v>0.05</v>
      </c>
      <c r="AD18" s="50">
        <f t="shared" si="13"/>
        <v>0.02</v>
      </c>
      <c r="AE18" s="50">
        <f t="shared" si="14"/>
        <v>0.02</v>
      </c>
      <c r="AF18" s="47">
        <f t="shared" si="17"/>
        <v>1</v>
      </c>
      <c r="AG18" s="50">
        <f>IF('Resultado da inspeção'!F18='Resultado da inspeção'!$W$3,0%,Ranking!R18)</f>
        <v>0.02</v>
      </c>
      <c r="AH18" s="50">
        <f>IF('Resultado da inspeção'!G18='Resultado da inspeção'!$W$3,0%,Ranking!S18)</f>
        <v>0.03</v>
      </c>
      <c r="AI18" s="50">
        <f>IF('Resultado da inspeção'!H18='Resultado da inspeção'!$W$3,0%,Ranking!T18)</f>
        <v>0.03</v>
      </c>
      <c r="AJ18" s="50">
        <f>IF('Resultado da inspeção'!I18='Resultado da inspeção'!$W$3,0%,Ranking!U18)</f>
        <v>0.1</v>
      </c>
      <c r="AK18" s="50">
        <f>IF('Resultado da inspeção'!J18='Resultado da inspeção'!$W$3,0%,Ranking!V18)</f>
        <v>0.21</v>
      </c>
      <c r="AL18" s="50">
        <f>IF('Resultado da inspeção'!K18='Resultado da inspeção'!$W$3,0%,Ranking!W18)</f>
        <v>0.05</v>
      </c>
      <c r="AM18" s="50">
        <f>IF('Resultado da inspeção'!L18='Resultado da inspeção'!$W$3,0%,Ranking!X18)</f>
        <v>0.24</v>
      </c>
      <c r="AN18" s="50">
        <f>IF('Resultado da inspeção'!M18='Resultado da inspeção'!$W$3,0%,Ranking!Y18)</f>
        <v>0.05</v>
      </c>
      <c r="AO18" s="50">
        <f>IF('Resultado da inspeção'!N18='Resultado da inspeção'!$W$3,0%,Ranking!Z18)</f>
        <v>0.04</v>
      </c>
      <c r="AP18" s="50">
        <f>IF('Resultado da inspeção'!O18='Resultado da inspeção'!$W$3,0%,Ranking!AA18)</f>
        <v>0.06</v>
      </c>
      <c r="AQ18" s="50">
        <f>IF('Resultado da inspeção'!P18='Resultado da inspeção'!$W$3,0%,Ranking!AB18)</f>
        <v>0.08</v>
      </c>
      <c r="AR18" s="50">
        <f>IF('Resultado da inspeção'!Q18='Resultado da inspeção'!$W$3,0%,Ranking!AC18)</f>
        <v>0.05</v>
      </c>
      <c r="AS18" s="50">
        <f>IF('Resultado da inspeção'!R18='Resultado da inspeção'!$W$3,0%,Ranking!AD18)</f>
        <v>0.02</v>
      </c>
      <c r="AT18" s="50">
        <f>IF('Resultado da inspeção'!S18='Resultado da inspeção'!$W$3,0%,Ranking!AE18)</f>
        <v>0.02</v>
      </c>
      <c r="AU18" s="49">
        <f t="shared" si="18"/>
        <v>1</v>
      </c>
    </row>
    <row r="19" spans="2:47" x14ac:dyDescent="0.25">
      <c r="B19" s="48">
        <f>IF('Resultado da inspeção'!F19='Resultado da inspeção'!$W$4,0%,Ranking!B$5)</f>
        <v>0.02</v>
      </c>
      <c r="C19" s="48">
        <f>IF('Resultado da inspeção'!G19='Resultado da inspeção'!$W$4,0%,Ranking!C$5)</f>
        <v>0.03</v>
      </c>
      <c r="D19" s="48">
        <f>IF('Resultado da inspeção'!H19='Resultado da inspeção'!$W$4,0%,Ranking!D$5)</f>
        <v>0.03</v>
      </c>
      <c r="E19" s="48">
        <f>IF('Resultado da inspeção'!I19='Resultado da inspeção'!$W$4,0%,Ranking!E$5)</f>
        <v>0.1</v>
      </c>
      <c r="F19" s="48">
        <f>IF('Resultado da inspeção'!J19='Resultado da inspeção'!$W$4,0%,Ranking!F$5)</f>
        <v>0.21</v>
      </c>
      <c r="G19" s="48">
        <f>IF('Resultado da inspeção'!K19='Resultado da inspeção'!$W$4,0%,Ranking!G$5)</f>
        <v>0.05</v>
      </c>
      <c r="H19" s="48">
        <f>IF('Resultado da inspeção'!L19='Resultado da inspeção'!$W$4,0%,Ranking!H$5)</f>
        <v>0.24</v>
      </c>
      <c r="I19" s="48">
        <f>IF('Resultado da inspeção'!M19='Resultado da inspeção'!$W$4,0%,Ranking!I$5)</f>
        <v>0.05</v>
      </c>
      <c r="J19" s="48">
        <f>IF('Resultado da inspeção'!N19='Resultado da inspeção'!$W$4,0%,Ranking!J$5)</f>
        <v>0.04</v>
      </c>
      <c r="K19" s="48">
        <f>IF('Resultado da inspeção'!O19='Resultado da inspeção'!$W$4,0%,Ranking!K$5)</f>
        <v>0.06</v>
      </c>
      <c r="L19" s="48">
        <f>IF('Resultado da inspeção'!P19='Resultado da inspeção'!$W$4,0%,Ranking!L$5)</f>
        <v>0.08</v>
      </c>
      <c r="M19" s="48">
        <f>IF('Resultado da inspeção'!Q19='Resultado da inspeção'!$W$4,0%,Ranking!M$5)</f>
        <v>0.05</v>
      </c>
      <c r="N19" s="48">
        <f>IF('Resultado da inspeção'!R19='Resultado da inspeção'!$W$4,0%,Ranking!N$5)</f>
        <v>0.02</v>
      </c>
      <c r="O19" s="48">
        <f>IF('Resultado da inspeção'!S19='Resultado da inspeção'!$W$4,0%,Ranking!O$5)</f>
        <v>0.02</v>
      </c>
      <c r="P19" s="47">
        <f t="shared" si="0"/>
        <v>1</v>
      </c>
      <c r="Q19" s="49">
        <f t="shared" si="16"/>
        <v>0</v>
      </c>
      <c r="R19" s="50">
        <f t="shared" si="1"/>
        <v>0.02</v>
      </c>
      <c r="S19" s="50">
        <f t="shared" si="2"/>
        <v>0.03</v>
      </c>
      <c r="T19" s="50">
        <f t="shared" si="3"/>
        <v>0.03</v>
      </c>
      <c r="U19" s="50">
        <f t="shared" si="4"/>
        <v>0.1</v>
      </c>
      <c r="V19" s="50">
        <f t="shared" si="5"/>
        <v>0.21</v>
      </c>
      <c r="W19" s="50">
        <f t="shared" si="6"/>
        <v>0.05</v>
      </c>
      <c r="X19" s="50">
        <f t="shared" si="7"/>
        <v>0.24</v>
      </c>
      <c r="Y19" s="50">
        <f t="shared" si="8"/>
        <v>0.05</v>
      </c>
      <c r="Z19" s="50">
        <f t="shared" si="9"/>
        <v>0.04</v>
      </c>
      <c r="AA19" s="50">
        <f t="shared" si="10"/>
        <v>0.06</v>
      </c>
      <c r="AB19" s="50">
        <f t="shared" si="11"/>
        <v>0.08</v>
      </c>
      <c r="AC19" s="50">
        <f t="shared" si="12"/>
        <v>0.05</v>
      </c>
      <c r="AD19" s="50">
        <f t="shared" si="13"/>
        <v>0.02</v>
      </c>
      <c r="AE19" s="50">
        <f t="shared" si="14"/>
        <v>0.02</v>
      </c>
      <c r="AF19" s="47">
        <f t="shared" si="17"/>
        <v>1</v>
      </c>
      <c r="AG19" s="50">
        <f>IF('Resultado da inspeção'!F19='Resultado da inspeção'!$W$3,0%,Ranking!R19)</f>
        <v>0.02</v>
      </c>
      <c r="AH19" s="50">
        <f>IF('Resultado da inspeção'!G19='Resultado da inspeção'!$W$3,0%,Ranking!S19)</f>
        <v>0.03</v>
      </c>
      <c r="AI19" s="50">
        <f>IF('Resultado da inspeção'!H19='Resultado da inspeção'!$W$3,0%,Ranking!T19)</f>
        <v>0.03</v>
      </c>
      <c r="AJ19" s="50">
        <f>IF('Resultado da inspeção'!I19='Resultado da inspeção'!$W$3,0%,Ranking!U19)</f>
        <v>0.1</v>
      </c>
      <c r="AK19" s="50">
        <f>IF('Resultado da inspeção'!J19='Resultado da inspeção'!$W$3,0%,Ranking!V19)</f>
        <v>0.21</v>
      </c>
      <c r="AL19" s="50">
        <f>IF('Resultado da inspeção'!K19='Resultado da inspeção'!$W$3,0%,Ranking!W19)</f>
        <v>0.05</v>
      </c>
      <c r="AM19" s="50">
        <f>IF('Resultado da inspeção'!L19='Resultado da inspeção'!$W$3,0%,Ranking!X19)</f>
        <v>0.24</v>
      </c>
      <c r="AN19" s="50">
        <f>IF('Resultado da inspeção'!M19='Resultado da inspeção'!$W$3,0%,Ranking!Y19)</f>
        <v>0.05</v>
      </c>
      <c r="AO19" s="50">
        <f>IF('Resultado da inspeção'!N19='Resultado da inspeção'!$W$3,0%,Ranking!Z19)</f>
        <v>0.04</v>
      </c>
      <c r="AP19" s="50">
        <f>IF('Resultado da inspeção'!O19='Resultado da inspeção'!$W$3,0%,Ranking!AA19)</f>
        <v>0.06</v>
      </c>
      <c r="AQ19" s="50">
        <f>IF('Resultado da inspeção'!P19='Resultado da inspeção'!$W$3,0%,Ranking!AB19)</f>
        <v>0.08</v>
      </c>
      <c r="AR19" s="50">
        <f>IF('Resultado da inspeção'!Q19='Resultado da inspeção'!$W$3,0%,Ranking!AC19)</f>
        <v>0.05</v>
      </c>
      <c r="AS19" s="50">
        <f>IF('Resultado da inspeção'!R19='Resultado da inspeção'!$W$3,0%,Ranking!AD19)</f>
        <v>0.02</v>
      </c>
      <c r="AT19" s="50">
        <f>IF('Resultado da inspeção'!S19='Resultado da inspeção'!$W$3,0%,Ranking!AE19)</f>
        <v>0.02</v>
      </c>
      <c r="AU19" s="49">
        <f t="shared" si="18"/>
        <v>1</v>
      </c>
    </row>
    <row r="20" spans="2:47" x14ac:dyDescent="0.25">
      <c r="B20" s="48">
        <f>IF('Resultado da inspeção'!F20='Resultado da inspeção'!$W$4,0%,Ranking!B$5)</f>
        <v>0.02</v>
      </c>
      <c r="C20" s="48">
        <f>IF('Resultado da inspeção'!G20='Resultado da inspeção'!$W$4,0%,Ranking!C$5)</f>
        <v>0.03</v>
      </c>
      <c r="D20" s="48">
        <f>IF('Resultado da inspeção'!H20='Resultado da inspeção'!$W$4,0%,Ranking!D$5)</f>
        <v>0.03</v>
      </c>
      <c r="E20" s="48">
        <f>IF('Resultado da inspeção'!I20='Resultado da inspeção'!$W$4,0%,Ranking!E$5)</f>
        <v>0.1</v>
      </c>
      <c r="F20" s="48">
        <f>IF('Resultado da inspeção'!J20='Resultado da inspeção'!$W$4,0%,Ranking!F$5)</f>
        <v>0.21</v>
      </c>
      <c r="G20" s="48">
        <f>IF('Resultado da inspeção'!K20='Resultado da inspeção'!$W$4,0%,Ranking!G$5)</f>
        <v>0.05</v>
      </c>
      <c r="H20" s="48">
        <f>IF('Resultado da inspeção'!L20='Resultado da inspeção'!$W$4,0%,Ranking!H$5)</f>
        <v>0.24</v>
      </c>
      <c r="I20" s="48">
        <f>IF('Resultado da inspeção'!M20='Resultado da inspeção'!$W$4,0%,Ranking!I$5)</f>
        <v>0.05</v>
      </c>
      <c r="J20" s="48">
        <f>IF('Resultado da inspeção'!N20='Resultado da inspeção'!$W$4,0%,Ranking!J$5)</f>
        <v>0.04</v>
      </c>
      <c r="K20" s="48">
        <f>IF('Resultado da inspeção'!O20='Resultado da inspeção'!$W$4,0%,Ranking!K$5)</f>
        <v>0.06</v>
      </c>
      <c r="L20" s="48">
        <f>IF('Resultado da inspeção'!P20='Resultado da inspeção'!$W$4,0%,Ranking!L$5)</f>
        <v>0.08</v>
      </c>
      <c r="M20" s="48">
        <f>IF('Resultado da inspeção'!Q20='Resultado da inspeção'!$W$4,0%,Ranking!M$5)</f>
        <v>0.05</v>
      </c>
      <c r="N20" s="48">
        <f>IF('Resultado da inspeção'!R20='Resultado da inspeção'!$W$4,0%,Ranking!N$5)</f>
        <v>0.02</v>
      </c>
      <c r="O20" s="48">
        <f>IF('Resultado da inspeção'!S20='Resultado da inspeção'!$W$4,0%,Ranking!O$5)</f>
        <v>0.02</v>
      </c>
      <c r="P20" s="47">
        <f t="shared" si="0"/>
        <v>1</v>
      </c>
      <c r="Q20" s="49">
        <f t="shared" si="16"/>
        <v>0</v>
      </c>
      <c r="R20" s="50">
        <f t="shared" si="1"/>
        <v>0.02</v>
      </c>
      <c r="S20" s="50">
        <f t="shared" si="2"/>
        <v>0.03</v>
      </c>
      <c r="T20" s="50">
        <f t="shared" si="3"/>
        <v>0.03</v>
      </c>
      <c r="U20" s="50">
        <f t="shared" si="4"/>
        <v>0.1</v>
      </c>
      <c r="V20" s="50">
        <f t="shared" si="5"/>
        <v>0.21</v>
      </c>
      <c r="W20" s="50">
        <f t="shared" si="6"/>
        <v>0.05</v>
      </c>
      <c r="X20" s="50">
        <f t="shared" si="7"/>
        <v>0.24</v>
      </c>
      <c r="Y20" s="50">
        <f t="shared" si="8"/>
        <v>0.05</v>
      </c>
      <c r="Z20" s="50">
        <f t="shared" si="9"/>
        <v>0.04</v>
      </c>
      <c r="AA20" s="50">
        <f t="shared" si="10"/>
        <v>0.06</v>
      </c>
      <c r="AB20" s="50">
        <f t="shared" si="11"/>
        <v>0.08</v>
      </c>
      <c r="AC20" s="50">
        <f t="shared" si="12"/>
        <v>0.05</v>
      </c>
      <c r="AD20" s="50">
        <f t="shared" si="13"/>
        <v>0.02</v>
      </c>
      <c r="AE20" s="50">
        <f t="shared" si="14"/>
        <v>0.02</v>
      </c>
      <c r="AF20" s="47">
        <f t="shared" si="17"/>
        <v>1</v>
      </c>
      <c r="AG20" s="50">
        <f>IF('Resultado da inspeção'!F20='Resultado da inspeção'!$W$3,0%,Ranking!R20)</f>
        <v>0.02</v>
      </c>
      <c r="AH20" s="50">
        <f>IF('Resultado da inspeção'!G20='Resultado da inspeção'!$W$3,0%,Ranking!S20)</f>
        <v>0.03</v>
      </c>
      <c r="AI20" s="50">
        <f>IF('Resultado da inspeção'!H20='Resultado da inspeção'!$W$3,0%,Ranking!T20)</f>
        <v>0.03</v>
      </c>
      <c r="AJ20" s="50">
        <f>IF('Resultado da inspeção'!I20='Resultado da inspeção'!$W$3,0%,Ranking!U20)</f>
        <v>0.1</v>
      </c>
      <c r="AK20" s="50">
        <f>IF('Resultado da inspeção'!J20='Resultado da inspeção'!$W$3,0%,Ranking!V20)</f>
        <v>0.21</v>
      </c>
      <c r="AL20" s="50">
        <f>IF('Resultado da inspeção'!K20='Resultado da inspeção'!$W$3,0%,Ranking!W20)</f>
        <v>0.05</v>
      </c>
      <c r="AM20" s="50">
        <f>IF('Resultado da inspeção'!L20='Resultado da inspeção'!$W$3,0%,Ranking!X20)</f>
        <v>0.24</v>
      </c>
      <c r="AN20" s="50">
        <f>IF('Resultado da inspeção'!M20='Resultado da inspeção'!$W$3,0%,Ranking!Y20)</f>
        <v>0.05</v>
      </c>
      <c r="AO20" s="50">
        <f>IF('Resultado da inspeção'!N20='Resultado da inspeção'!$W$3,0%,Ranking!Z20)</f>
        <v>0.04</v>
      </c>
      <c r="AP20" s="50">
        <f>IF('Resultado da inspeção'!O20='Resultado da inspeção'!$W$3,0%,Ranking!AA20)</f>
        <v>0.06</v>
      </c>
      <c r="AQ20" s="50">
        <f>IF('Resultado da inspeção'!P20='Resultado da inspeção'!$W$3,0%,Ranking!AB20)</f>
        <v>0.08</v>
      </c>
      <c r="AR20" s="50">
        <f>IF('Resultado da inspeção'!Q20='Resultado da inspeção'!$W$3,0%,Ranking!AC20)</f>
        <v>0.05</v>
      </c>
      <c r="AS20" s="50">
        <f>IF('Resultado da inspeção'!R20='Resultado da inspeção'!$W$3,0%,Ranking!AD20)</f>
        <v>0.02</v>
      </c>
      <c r="AT20" s="50">
        <f>IF('Resultado da inspeção'!S20='Resultado da inspeção'!$W$3,0%,Ranking!AE20)</f>
        <v>0.02</v>
      </c>
      <c r="AU20" s="49">
        <f t="shared" si="18"/>
        <v>1</v>
      </c>
    </row>
    <row r="21" spans="2:47" x14ac:dyDescent="0.25">
      <c r="B21" s="48">
        <f>IF('Resultado da inspeção'!F21='Resultado da inspeção'!$W$4,0%,Ranking!B$5)</f>
        <v>0.02</v>
      </c>
      <c r="C21" s="48">
        <f>IF('Resultado da inspeção'!G21='Resultado da inspeção'!$W$4,0%,Ranking!C$5)</f>
        <v>0.03</v>
      </c>
      <c r="D21" s="48">
        <f>IF('Resultado da inspeção'!H21='Resultado da inspeção'!$W$4,0%,Ranking!D$5)</f>
        <v>0.03</v>
      </c>
      <c r="E21" s="48">
        <f>IF('Resultado da inspeção'!I21='Resultado da inspeção'!$W$4,0%,Ranking!E$5)</f>
        <v>0.1</v>
      </c>
      <c r="F21" s="48">
        <f>IF('Resultado da inspeção'!J21='Resultado da inspeção'!$W$4,0%,Ranking!F$5)</f>
        <v>0.21</v>
      </c>
      <c r="G21" s="48">
        <f>IF('Resultado da inspeção'!K21='Resultado da inspeção'!$W$4,0%,Ranking!G$5)</f>
        <v>0.05</v>
      </c>
      <c r="H21" s="48">
        <f>IF('Resultado da inspeção'!L21='Resultado da inspeção'!$W$4,0%,Ranking!H$5)</f>
        <v>0.24</v>
      </c>
      <c r="I21" s="48">
        <f>IF('Resultado da inspeção'!M21='Resultado da inspeção'!$W$4,0%,Ranking!I$5)</f>
        <v>0.05</v>
      </c>
      <c r="J21" s="48">
        <f>IF('Resultado da inspeção'!N21='Resultado da inspeção'!$W$4,0%,Ranking!J$5)</f>
        <v>0.04</v>
      </c>
      <c r="K21" s="48">
        <f>IF('Resultado da inspeção'!O21='Resultado da inspeção'!$W$4,0%,Ranking!K$5)</f>
        <v>0.06</v>
      </c>
      <c r="L21" s="48">
        <f>IF('Resultado da inspeção'!P21='Resultado da inspeção'!$W$4,0%,Ranking!L$5)</f>
        <v>0.08</v>
      </c>
      <c r="M21" s="48">
        <f>IF('Resultado da inspeção'!Q21='Resultado da inspeção'!$W$4,0%,Ranking!M$5)</f>
        <v>0.05</v>
      </c>
      <c r="N21" s="48">
        <f>IF('Resultado da inspeção'!R21='Resultado da inspeção'!$W$4,0%,Ranking!N$5)</f>
        <v>0.02</v>
      </c>
      <c r="O21" s="48">
        <f>IF('Resultado da inspeção'!S21='Resultado da inspeção'!$W$4,0%,Ranking!O$5)</f>
        <v>0.02</v>
      </c>
      <c r="P21" s="47">
        <f t="shared" si="0"/>
        <v>1</v>
      </c>
      <c r="Q21" s="49">
        <f t="shared" si="16"/>
        <v>0</v>
      </c>
      <c r="R21" s="50">
        <f t="shared" si="1"/>
        <v>0.02</v>
      </c>
      <c r="S21" s="50">
        <f t="shared" si="2"/>
        <v>0.03</v>
      </c>
      <c r="T21" s="50">
        <f t="shared" si="3"/>
        <v>0.03</v>
      </c>
      <c r="U21" s="50">
        <f t="shared" si="4"/>
        <v>0.1</v>
      </c>
      <c r="V21" s="50">
        <f t="shared" si="5"/>
        <v>0.21</v>
      </c>
      <c r="W21" s="50">
        <f t="shared" si="6"/>
        <v>0.05</v>
      </c>
      <c r="X21" s="50">
        <f t="shared" si="7"/>
        <v>0.24</v>
      </c>
      <c r="Y21" s="50">
        <f t="shared" si="8"/>
        <v>0.05</v>
      </c>
      <c r="Z21" s="50">
        <f t="shared" si="9"/>
        <v>0.04</v>
      </c>
      <c r="AA21" s="50">
        <f t="shared" si="10"/>
        <v>0.06</v>
      </c>
      <c r="AB21" s="50">
        <f t="shared" si="11"/>
        <v>0.08</v>
      </c>
      <c r="AC21" s="50">
        <f t="shared" si="12"/>
        <v>0.05</v>
      </c>
      <c r="AD21" s="50">
        <f t="shared" si="13"/>
        <v>0.02</v>
      </c>
      <c r="AE21" s="50">
        <f t="shared" si="14"/>
        <v>0.02</v>
      </c>
      <c r="AF21" s="47">
        <f t="shared" si="17"/>
        <v>1</v>
      </c>
      <c r="AG21" s="50">
        <f>IF('Resultado da inspeção'!F21='Resultado da inspeção'!$W$3,0%,Ranking!R21)</f>
        <v>0.02</v>
      </c>
      <c r="AH21" s="50">
        <f>IF('Resultado da inspeção'!G21='Resultado da inspeção'!$W$3,0%,Ranking!S21)</f>
        <v>0.03</v>
      </c>
      <c r="AI21" s="50">
        <f>IF('Resultado da inspeção'!H21='Resultado da inspeção'!$W$3,0%,Ranking!T21)</f>
        <v>0.03</v>
      </c>
      <c r="AJ21" s="50">
        <f>IF('Resultado da inspeção'!I21='Resultado da inspeção'!$W$3,0%,Ranking!U21)</f>
        <v>0.1</v>
      </c>
      <c r="AK21" s="50">
        <f>IF('Resultado da inspeção'!J21='Resultado da inspeção'!$W$3,0%,Ranking!V21)</f>
        <v>0.21</v>
      </c>
      <c r="AL21" s="50">
        <f>IF('Resultado da inspeção'!K21='Resultado da inspeção'!$W$3,0%,Ranking!W21)</f>
        <v>0.05</v>
      </c>
      <c r="AM21" s="50">
        <f>IF('Resultado da inspeção'!L21='Resultado da inspeção'!$W$3,0%,Ranking!X21)</f>
        <v>0.24</v>
      </c>
      <c r="AN21" s="50">
        <f>IF('Resultado da inspeção'!M21='Resultado da inspeção'!$W$3,0%,Ranking!Y21)</f>
        <v>0.05</v>
      </c>
      <c r="AO21" s="50">
        <f>IF('Resultado da inspeção'!N21='Resultado da inspeção'!$W$3,0%,Ranking!Z21)</f>
        <v>0.04</v>
      </c>
      <c r="AP21" s="50">
        <f>IF('Resultado da inspeção'!O21='Resultado da inspeção'!$W$3,0%,Ranking!AA21)</f>
        <v>0.06</v>
      </c>
      <c r="AQ21" s="50">
        <f>IF('Resultado da inspeção'!P21='Resultado da inspeção'!$W$3,0%,Ranking!AB21)</f>
        <v>0.08</v>
      </c>
      <c r="AR21" s="50">
        <f>IF('Resultado da inspeção'!Q21='Resultado da inspeção'!$W$3,0%,Ranking!AC21)</f>
        <v>0.05</v>
      </c>
      <c r="AS21" s="50">
        <f>IF('Resultado da inspeção'!R21='Resultado da inspeção'!$W$3,0%,Ranking!AD21)</f>
        <v>0.02</v>
      </c>
      <c r="AT21" s="50">
        <f>IF('Resultado da inspeção'!S21='Resultado da inspeção'!$W$3,0%,Ranking!AE21)</f>
        <v>0.02</v>
      </c>
      <c r="AU21" s="49">
        <f t="shared" si="18"/>
        <v>1</v>
      </c>
    </row>
    <row r="22" spans="2:47" x14ac:dyDescent="0.25">
      <c r="B22" s="48">
        <f>IF('Resultado da inspeção'!F22='Resultado da inspeção'!$W$4,0%,Ranking!B$5)</f>
        <v>0.02</v>
      </c>
      <c r="C22" s="48">
        <f>IF('Resultado da inspeção'!G22='Resultado da inspeção'!$W$4,0%,Ranking!C$5)</f>
        <v>0.03</v>
      </c>
      <c r="D22" s="48">
        <f>IF('Resultado da inspeção'!H22='Resultado da inspeção'!$W$4,0%,Ranking!D$5)</f>
        <v>0.03</v>
      </c>
      <c r="E22" s="48">
        <f>IF('Resultado da inspeção'!I22='Resultado da inspeção'!$W$4,0%,Ranking!E$5)</f>
        <v>0.1</v>
      </c>
      <c r="F22" s="48">
        <f>IF('Resultado da inspeção'!J22='Resultado da inspeção'!$W$4,0%,Ranking!F$5)</f>
        <v>0.21</v>
      </c>
      <c r="G22" s="48">
        <f>IF('Resultado da inspeção'!K22='Resultado da inspeção'!$W$4,0%,Ranking!G$5)</f>
        <v>0.05</v>
      </c>
      <c r="H22" s="48">
        <f>IF('Resultado da inspeção'!L22='Resultado da inspeção'!$W$4,0%,Ranking!H$5)</f>
        <v>0.24</v>
      </c>
      <c r="I22" s="48">
        <f>IF('Resultado da inspeção'!M22='Resultado da inspeção'!$W$4,0%,Ranking!I$5)</f>
        <v>0.05</v>
      </c>
      <c r="J22" s="48">
        <f>IF('Resultado da inspeção'!N22='Resultado da inspeção'!$W$4,0%,Ranking!J$5)</f>
        <v>0.04</v>
      </c>
      <c r="K22" s="48">
        <f>IF('Resultado da inspeção'!O22='Resultado da inspeção'!$W$4,0%,Ranking!K$5)</f>
        <v>0.06</v>
      </c>
      <c r="L22" s="48">
        <f>IF('Resultado da inspeção'!P22='Resultado da inspeção'!$W$4,0%,Ranking!L$5)</f>
        <v>0.08</v>
      </c>
      <c r="M22" s="48">
        <f>IF('Resultado da inspeção'!Q22='Resultado da inspeção'!$W$4,0%,Ranking!M$5)</f>
        <v>0.05</v>
      </c>
      <c r="N22" s="48">
        <f>IF('Resultado da inspeção'!R22='Resultado da inspeção'!$W$4,0%,Ranking!N$5)</f>
        <v>0.02</v>
      </c>
      <c r="O22" s="48">
        <f>IF('Resultado da inspeção'!S22='Resultado da inspeção'!$W$4,0%,Ranking!O$5)</f>
        <v>0.02</v>
      </c>
      <c r="P22" s="47">
        <f t="shared" si="0"/>
        <v>1</v>
      </c>
      <c r="Q22" s="49">
        <f t="shared" si="16"/>
        <v>0</v>
      </c>
      <c r="R22" s="50">
        <f t="shared" si="1"/>
        <v>0.02</v>
      </c>
      <c r="S22" s="50">
        <f t="shared" si="2"/>
        <v>0.03</v>
      </c>
      <c r="T22" s="50">
        <f t="shared" si="3"/>
        <v>0.03</v>
      </c>
      <c r="U22" s="50">
        <f t="shared" si="4"/>
        <v>0.1</v>
      </c>
      <c r="V22" s="50">
        <f t="shared" si="5"/>
        <v>0.21</v>
      </c>
      <c r="W22" s="50">
        <f t="shared" si="6"/>
        <v>0.05</v>
      </c>
      <c r="X22" s="50">
        <f t="shared" si="7"/>
        <v>0.24</v>
      </c>
      <c r="Y22" s="50">
        <f t="shared" si="8"/>
        <v>0.05</v>
      </c>
      <c r="Z22" s="50">
        <f t="shared" si="9"/>
        <v>0.04</v>
      </c>
      <c r="AA22" s="50">
        <f t="shared" si="10"/>
        <v>0.06</v>
      </c>
      <c r="AB22" s="50">
        <f t="shared" si="11"/>
        <v>0.08</v>
      </c>
      <c r="AC22" s="50">
        <f t="shared" si="12"/>
        <v>0.05</v>
      </c>
      <c r="AD22" s="50">
        <f t="shared" si="13"/>
        <v>0.02</v>
      </c>
      <c r="AE22" s="50">
        <f t="shared" si="14"/>
        <v>0.02</v>
      </c>
      <c r="AF22" s="47">
        <f t="shared" si="17"/>
        <v>1</v>
      </c>
      <c r="AG22" s="50">
        <f>IF('Resultado da inspeção'!F22='Resultado da inspeção'!$W$3,0%,Ranking!R22)</f>
        <v>0.02</v>
      </c>
      <c r="AH22" s="50">
        <f>IF('Resultado da inspeção'!G22='Resultado da inspeção'!$W$3,0%,Ranking!S22)</f>
        <v>0.03</v>
      </c>
      <c r="AI22" s="50">
        <f>IF('Resultado da inspeção'!H22='Resultado da inspeção'!$W$3,0%,Ranking!T22)</f>
        <v>0.03</v>
      </c>
      <c r="AJ22" s="50">
        <f>IF('Resultado da inspeção'!I22='Resultado da inspeção'!$W$3,0%,Ranking!U22)</f>
        <v>0.1</v>
      </c>
      <c r="AK22" s="50">
        <f>IF('Resultado da inspeção'!J22='Resultado da inspeção'!$W$3,0%,Ranking!V22)</f>
        <v>0.21</v>
      </c>
      <c r="AL22" s="50">
        <f>IF('Resultado da inspeção'!K22='Resultado da inspeção'!$W$3,0%,Ranking!W22)</f>
        <v>0.05</v>
      </c>
      <c r="AM22" s="50">
        <f>IF('Resultado da inspeção'!L22='Resultado da inspeção'!$W$3,0%,Ranking!X22)</f>
        <v>0.24</v>
      </c>
      <c r="AN22" s="50">
        <f>IF('Resultado da inspeção'!M22='Resultado da inspeção'!$W$3,0%,Ranking!Y22)</f>
        <v>0.05</v>
      </c>
      <c r="AO22" s="50">
        <f>IF('Resultado da inspeção'!N22='Resultado da inspeção'!$W$3,0%,Ranking!Z22)</f>
        <v>0.04</v>
      </c>
      <c r="AP22" s="50">
        <f>IF('Resultado da inspeção'!O22='Resultado da inspeção'!$W$3,0%,Ranking!AA22)</f>
        <v>0.06</v>
      </c>
      <c r="AQ22" s="50">
        <f>IF('Resultado da inspeção'!P22='Resultado da inspeção'!$W$3,0%,Ranking!AB22)</f>
        <v>0.08</v>
      </c>
      <c r="AR22" s="50">
        <f>IF('Resultado da inspeção'!Q22='Resultado da inspeção'!$W$3,0%,Ranking!AC22)</f>
        <v>0.05</v>
      </c>
      <c r="AS22" s="50">
        <f>IF('Resultado da inspeção'!R22='Resultado da inspeção'!$W$3,0%,Ranking!AD22)</f>
        <v>0.02</v>
      </c>
      <c r="AT22" s="50">
        <f>IF('Resultado da inspeção'!S22='Resultado da inspeção'!$W$3,0%,Ranking!AE22)</f>
        <v>0.02</v>
      </c>
      <c r="AU22" s="49">
        <f t="shared" si="18"/>
        <v>1</v>
      </c>
    </row>
    <row r="23" spans="2:47" x14ac:dyDescent="0.25">
      <c r="B23" s="48">
        <f>IF('Resultado da inspeção'!F23='Resultado da inspeção'!$W$4,0%,Ranking!B$5)</f>
        <v>0.02</v>
      </c>
      <c r="C23" s="48">
        <f>IF('Resultado da inspeção'!G23='Resultado da inspeção'!$W$4,0%,Ranking!C$5)</f>
        <v>0.03</v>
      </c>
      <c r="D23" s="48">
        <f>IF('Resultado da inspeção'!H23='Resultado da inspeção'!$W$4,0%,Ranking!D$5)</f>
        <v>0.03</v>
      </c>
      <c r="E23" s="48">
        <f>IF('Resultado da inspeção'!I23='Resultado da inspeção'!$W$4,0%,Ranking!E$5)</f>
        <v>0.1</v>
      </c>
      <c r="F23" s="48">
        <f>IF('Resultado da inspeção'!J23='Resultado da inspeção'!$W$4,0%,Ranking!F$5)</f>
        <v>0.21</v>
      </c>
      <c r="G23" s="48">
        <f>IF('Resultado da inspeção'!K23='Resultado da inspeção'!$W$4,0%,Ranking!G$5)</f>
        <v>0.05</v>
      </c>
      <c r="H23" s="48">
        <f>IF('Resultado da inspeção'!L23='Resultado da inspeção'!$W$4,0%,Ranking!H$5)</f>
        <v>0.24</v>
      </c>
      <c r="I23" s="48">
        <f>IF('Resultado da inspeção'!M23='Resultado da inspeção'!$W$4,0%,Ranking!I$5)</f>
        <v>0.05</v>
      </c>
      <c r="J23" s="48">
        <f>IF('Resultado da inspeção'!N23='Resultado da inspeção'!$W$4,0%,Ranking!J$5)</f>
        <v>0.04</v>
      </c>
      <c r="K23" s="48">
        <f>IF('Resultado da inspeção'!O23='Resultado da inspeção'!$W$4,0%,Ranking!K$5)</f>
        <v>0.06</v>
      </c>
      <c r="L23" s="48">
        <f>IF('Resultado da inspeção'!P23='Resultado da inspeção'!$W$4,0%,Ranking!L$5)</f>
        <v>0.08</v>
      </c>
      <c r="M23" s="48">
        <f>IF('Resultado da inspeção'!Q23='Resultado da inspeção'!$W$4,0%,Ranking!M$5)</f>
        <v>0.05</v>
      </c>
      <c r="N23" s="48">
        <f>IF('Resultado da inspeção'!R23='Resultado da inspeção'!$W$4,0%,Ranking!N$5)</f>
        <v>0.02</v>
      </c>
      <c r="O23" s="48">
        <f>IF('Resultado da inspeção'!S23='Resultado da inspeção'!$W$4,0%,Ranking!O$5)</f>
        <v>0.02</v>
      </c>
      <c r="P23" s="47">
        <f t="shared" si="0"/>
        <v>1</v>
      </c>
      <c r="Q23" s="49">
        <f t="shared" si="16"/>
        <v>0</v>
      </c>
      <c r="R23" s="50">
        <f t="shared" si="1"/>
        <v>0.02</v>
      </c>
      <c r="S23" s="50">
        <f t="shared" si="2"/>
        <v>0.03</v>
      </c>
      <c r="T23" s="50">
        <f t="shared" si="3"/>
        <v>0.03</v>
      </c>
      <c r="U23" s="50">
        <f t="shared" si="4"/>
        <v>0.1</v>
      </c>
      <c r="V23" s="50">
        <f t="shared" si="5"/>
        <v>0.21</v>
      </c>
      <c r="W23" s="50">
        <f t="shared" si="6"/>
        <v>0.05</v>
      </c>
      <c r="X23" s="50">
        <f t="shared" si="7"/>
        <v>0.24</v>
      </c>
      <c r="Y23" s="50">
        <f t="shared" si="8"/>
        <v>0.05</v>
      </c>
      <c r="Z23" s="50">
        <f t="shared" si="9"/>
        <v>0.04</v>
      </c>
      <c r="AA23" s="50">
        <f t="shared" si="10"/>
        <v>0.06</v>
      </c>
      <c r="AB23" s="50">
        <f t="shared" si="11"/>
        <v>0.08</v>
      </c>
      <c r="AC23" s="50">
        <f t="shared" si="12"/>
        <v>0.05</v>
      </c>
      <c r="AD23" s="50">
        <f t="shared" si="13"/>
        <v>0.02</v>
      </c>
      <c r="AE23" s="50">
        <f t="shared" si="14"/>
        <v>0.02</v>
      </c>
      <c r="AF23" s="47">
        <f t="shared" si="17"/>
        <v>1</v>
      </c>
      <c r="AG23" s="50">
        <f>IF('Resultado da inspeção'!F23='Resultado da inspeção'!$W$3,0%,Ranking!R23)</f>
        <v>0.02</v>
      </c>
      <c r="AH23" s="50">
        <f>IF('Resultado da inspeção'!G23='Resultado da inspeção'!$W$3,0%,Ranking!S23)</f>
        <v>0.03</v>
      </c>
      <c r="AI23" s="50">
        <f>IF('Resultado da inspeção'!H23='Resultado da inspeção'!$W$3,0%,Ranking!T23)</f>
        <v>0.03</v>
      </c>
      <c r="AJ23" s="50">
        <f>IF('Resultado da inspeção'!I23='Resultado da inspeção'!$W$3,0%,Ranking!U23)</f>
        <v>0.1</v>
      </c>
      <c r="AK23" s="50">
        <f>IF('Resultado da inspeção'!J23='Resultado da inspeção'!$W$3,0%,Ranking!V23)</f>
        <v>0.21</v>
      </c>
      <c r="AL23" s="50">
        <f>IF('Resultado da inspeção'!K23='Resultado da inspeção'!$W$3,0%,Ranking!W23)</f>
        <v>0.05</v>
      </c>
      <c r="AM23" s="50">
        <f>IF('Resultado da inspeção'!L23='Resultado da inspeção'!$W$3,0%,Ranking!X23)</f>
        <v>0.24</v>
      </c>
      <c r="AN23" s="50">
        <f>IF('Resultado da inspeção'!M23='Resultado da inspeção'!$W$3,0%,Ranking!Y23)</f>
        <v>0.05</v>
      </c>
      <c r="AO23" s="50">
        <f>IF('Resultado da inspeção'!N23='Resultado da inspeção'!$W$3,0%,Ranking!Z23)</f>
        <v>0.04</v>
      </c>
      <c r="AP23" s="50">
        <f>IF('Resultado da inspeção'!O23='Resultado da inspeção'!$W$3,0%,Ranking!AA23)</f>
        <v>0.06</v>
      </c>
      <c r="AQ23" s="50">
        <f>IF('Resultado da inspeção'!P23='Resultado da inspeção'!$W$3,0%,Ranking!AB23)</f>
        <v>0.08</v>
      </c>
      <c r="AR23" s="50">
        <f>IF('Resultado da inspeção'!Q23='Resultado da inspeção'!$W$3,0%,Ranking!AC23)</f>
        <v>0.05</v>
      </c>
      <c r="AS23" s="50">
        <f>IF('Resultado da inspeção'!R23='Resultado da inspeção'!$W$3,0%,Ranking!AD23)</f>
        <v>0.02</v>
      </c>
      <c r="AT23" s="50">
        <f>IF('Resultado da inspeção'!S23='Resultado da inspeção'!$W$3,0%,Ranking!AE23)</f>
        <v>0.02</v>
      </c>
      <c r="AU23" s="49">
        <f t="shared" si="18"/>
        <v>1</v>
      </c>
    </row>
    <row r="24" spans="2:47" x14ac:dyDescent="0.25">
      <c r="B24" s="48">
        <f>IF('Resultado da inspeção'!F24='Resultado da inspeção'!$W$4,0%,Ranking!B$5)</f>
        <v>0.02</v>
      </c>
      <c r="C24" s="48">
        <f>IF('Resultado da inspeção'!G24='Resultado da inspeção'!$W$4,0%,Ranking!C$5)</f>
        <v>0.03</v>
      </c>
      <c r="D24" s="48">
        <f>IF('Resultado da inspeção'!H24='Resultado da inspeção'!$W$4,0%,Ranking!D$5)</f>
        <v>0.03</v>
      </c>
      <c r="E24" s="48">
        <f>IF('Resultado da inspeção'!I24='Resultado da inspeção'!$W$4,0%,Ranking!E$5)</f>
        <v>0.1</v>
      </c>
      <c r="F24" s="48">
        <f>IF('Resultado da inspeção'!J24='Resultado da inspeção'!$W$4,0%,Ranking!F$5)</f>
        <v>0.21</v>
      </c>
      <c r="G24" s="48">
        <f>IF('Resultado da inspeção'!K24='Resultado da inspeção'!$W$4,0%,Ranking!G$5)</f>
        <v>0.05</v>
      </c>
      <c r="H24" s="48">
        <f>IF('Resultado da inspeção'!L24='Resultado da inspeção'!$W$4,0%,Ranking!H$5)</f>
        <v>0.24</v>
      </c>
      <c r="I24" s="48">
        <f>IF('Resultado da inspeção'!M24='Resultado da inspeção'!$W$4,0%,Ranking!I$5)</f>
        <v>0.05</v>
      </c>
      <c r="J24" s="48">
        <f>IF('Resultado da inspeção'!N24='Resultado da inspeção'!$W$4,0%,Ranking!J$5)</f>
        <v>0.04</v>
      </c>
      <c r="K24" s="48">
        <f>IF('Resultado da inspeção'!O24='Resultado da inspeção'!$W$4,0%,Ranking!K$5)</f>
        <v>0.06</v>
      </c>
      <c r="L24" s="48">
        <f>IF('Resultado da inspeção'!P24='Resultado da inspeção'!$W$4,0%,Ranking!L$5)</f>
        <v>0.08</v>
      </c>
      <c r="M24" s="48">
        <f>IF('Resultado da inspeção'!Q24='Resultado da inspeção'!$W$4,0%,Ranking!M$5)</f>
        <v>0.05</v>
      </c>
      <c r="N24" s="48">
        <f>IF('Resultado da inspeção'!R24='Resultado da inspeção'!$W$4,0%,Ranking!N$5)</f>
        <v>0.02</v>
      </c>
      <c r="O24" s="48">
        <f>IF('Resultado da inspeção'!S24='Resultado da inspeção'!$W$4,0%,Ranking!O$5)</f>
        <v>0.02</v>
      </c>
      <c r="P24" s="47">
        <f t="shared" si="0"/>
        <v>1</v>
      </c>
      <c r="Q24" s="49">
        <f t="shared" si="16"/>
        <v>0</v>
      </c>
      <c r="R24" s="50">
        <f t="shared" si="1"/>
        <v>0.02</v>
      </c>
      <c r="S24" s="50">
        <f t="shared" si="2"/>
        <v>0.03</v>
      </c>
      <c r="T24" s="50">
        <f t="shared" si="3"/>
        <v>0.03</v>
      </c>
      <c r="U24" s="50">
        <f t="shared" si="4"/>
        <v>0.1</v>
      </c>
      <c r="V24" s="50">
        <f t="shared" si="5"/>
        <v>0.21</v>
      </c>
      <c r="W24" s="50">
        <f t="shared" si="6"/>
        <v>0.05</v>
      </c>
      <c r="X24" s="50">
        <f t="shared" si="7"/>
        <v>0.24</v>
      </c>
      <c r="Y24" s="50">
        <f t="shared" si="8"/>
        <v>0.05</v>
      </c>
      <c r="Z24" s="50">
        <f t="shared" si="9"/>
        <v>0.04</v>
      </c>
      <c r="AA24" s="50">
        <f t="shared" si="10"/>
        <v>0.06</v>
      </c>
      <c r="AB24" s="50">
        <f t="shared" si="11"/>
        <v>0.08</v>
      </c>
      <c r="AC24" s="50">
        <f t="shared" si="12"/>
        <v>0.05</v>
      </c>
      <c r="AD24" s="50">
        <f t="shared" si="13"/>
        <v>0.02</v>
      </c>
      <c r="AE24" s="50">
        <f t="shared" si="14"/>
        <v>0.02</v>
      </c>
      <c r="AF24" s="47">
        <f t="shared" si="17"/>
        <v>1</v>
      </c>
      <c r="AG24" s="50">
        <f>IF('Resultado da inspeção'!F24='Resultado da inspeção'!$W$3,0%,Ranking!R24)</f>
        <v>0.02</v>
      </c>
      <c r="AH24" s="50">
        <f>IF('Resultado da inspeção'!G24='Resultado da inspeção'!$W$3,0%,Ranking!S24)</f>
        <v>0.03</v>
      </c>
      <c r="AI24" s="50">
        <f>IF('Resultado da inspeção'!H24='Resultado da inspeção'!$W$3,0%,Ranking!T24)</f>
        <v>0.03</v>
      </c>
      <c r="AJ24" s="50">
        <f>IF('Resultado da inspeção'!I24='Resultado da inspeção'!$W$3,0%,Ranking!U24)</f>
        <v>0.1</v>
      </c>
      <c r="AK24" s="50">
        <f>IF('Resultado da inspeção'!J24='Resultado da inspeção'!$W$3,0%,Ranking!V24)</f>
        <v>0.21</v>
      </c>
      <c r="AL24" s="50">
        <f>IF('Resultado da inspeção'!K24='Resultado da inspeção'!$W$3,0%,Ranking!W24)</f>
        <v>0.05</v>
      </c>
      <c r="AM24" s="50">
        <f>IF('Resultado da inspeção'!L24='Resultado da inspeção'!$W$3,0%,Ranking!X24)</f>
        <v>0.24</v>
      </c>
      <c r="AN24" s="50">
        <f>IF('Resultado da inspeção'!M24='Resultado da inspeção'!$W$3,0%,Ranking!Y24)</f>
        <v>0.05</v>
      </c>
      <c r="AO24" s="50">
        <f>IF('Resultado da inspeção'!N24='Resultado da inspeção'!$W$3,0%,Ranking!Z24)</f>
        <v>0.04</v>
      </c>
      <c r="AP24" s="50">
        <f>IF('Resultado da inspeção'!O24='Resultado da inspeção'!$W$3,0%,Ranking!AA24)</f>
        <v>0.06</v>
      </c>
      <c r="AQ24" s="50">
        <f>IF('Resultado da inspeção'!P24='Resultado da inspeção'!$W$3,0%,Ranking!AB24)</f>
        <v>0.08</v>
      </c>
      <c r="AR24" s="50">
        <f>IF('Resultado da inspeção'!Q24='Resultado da inspeção'!$W$3,0%,Ranking!AC24)</f>
        <v>0.05</v>
      </c>
      <c r="AS24" s="50">
        <f>IF('Resultado da inspeção'!R24='Resultado da inspeção'!$W$3,0%,Ranking!AD24)</f>
        <v>0.02</v>
      </c>
      <c r="AT24" s="50">
        <f>IF('Resultado da inspeção'!S24='Resultado da inspeção'!$W$3,0%,Ranking!AE24)</f>
        <v>0.02</v>
      </c>
      <c r="AU24" s="49">
        <f t="shared" si="18"/>
        <v>1</v>
      </c>
    </row>
    <row r="25" spans="2:47" x14ac:dyDescent="0.25">
      <c r="B25" s="48">
        <f>IF('Resultado da inspeção'!F25='Resultado da inspeção'!$W$4,0%,Ranking!B$5)</f>
        <v>0.02</v>
      </c>
      <c r="C25" s="48">
        <f>IF('Resultado da inspeção'!G25='Resultado da inspeção'!$W$4,0%,Ranking!C$5)</f>
        <v>0.03</v>
      </c>
      <c r="D25" s="48">
        <f>IF('Resultado da inspeção'!H25='Resultado da inspeção'!$W$4,0%,Ranking!D$5)</f>
        <v>0.03</v>
      </c>
      <c r="E25" s="48">
        <f>IF('Resultado da inspeção'!I25='Resultado da inspeção'!$W$4,0%,Ranking!E$5)</f>
        <v>0.1</v>
      </c>
      <c r="F25" s="48">
        <f>IF('Resultado da inspeção'!J25='Resultado da inspeção'!$W$4,0%,Ranking!F$5)</f>
        <v>0.21</v>
      </c>
      <c r="G25" s="48">
        <f>IF('Resultado da inspeção'!K25='Resultado da inspeção'!$W$4,0%,Ranking!G$5)</f>
        <v>0.05</v>
      </c>
      <c r="H25" s="48">
        <f>IF('Resultado da inspeção'!L25='Resultado da inspeção'!$W$4,0%,Ranking!H$5)</f>
        <v>0.24</v>
      </c>
      <c r="I25" s="48">
        <f>IF('Resultado da inspeção'!M25='Resultado da inspeção'!$W$4,0%,Ranking!I$5)</f>
        <v>0.05</v>
      </c>
      <c r="J25" s="48">
        <f>IF('Resultado da inspeção'!N25='Resultado da inspeção'!$W$4,0%,Ranking!J$5)</f>
        <v>0.04</v>
      </c>
      <c r="K25" s="48">
        <f>IF('Resultado da inspeção'!O25='Resultado da inspeção'!$W$4,0%,Ranking!K$5)</f>
        <v>0.06</v>
      </c>
      <c r="L25" s="48">
        <f>IF('Resultado da inspeção'!P25='Resultado da inspeção'!$W$4,0%,Ranking!L$5)</f>
        <v>0.08</v>
      </c>
      <c r="M25" s="48">
        <f>IF('Resultado da inspeção'!Q25='Resultado da inspeção'!$W$4,0%,Ranking!M$5)</f>
        <v>0.05</v>
      </c>
      <c r="N25" s="48">
        <f>IF('Resultado da inspeção'!R25='Resultado da inspeção'!$W$4,0%,Ranking!N$5)</f>
        <v>0.02</v>
      </c>
      <c r="O25" s="48">
        <f>IF('Resultado da inspeção'!S25='Resultado da inspeção'!$W$4,0%,Ranking!O$5)</f>
        <v>0.02</v>
      </c>
      <c r="P25" s="47">
        <f t="shared" si="0"/>
        <v>1</v>
      </c>
      <c r="Q25" s="49">
        <f t="shared" si="16"/>
        <v>0</v>
      </c>
      <c r="R25" s="50">
        <f t="shared" si="1"/>
        <v>0.02</v>
      </c>
      <c r="S25" s="50">
        <f t="shared" si="2"/>
        <v>0.03</v>
      </c>
      <c r="T25" s="50">
        <f t="shared" si="3"/>
        <v>0.03</v>
      </c>
      <c r="U25" s="50">
        <f t="shared" si="4"/>
        <v>0.1</v>
      </c>
      <c r="V25" s="50">
        <f t="shared" si="5"/>
        <v>0.21</v>
      </c>
      <c r="W25" s="50">
        <f t="shared" si="6"/>
        <v>0.05</v>
      </c>
      <c r="X25" s="50">
        <f t="shared" si="7"/>
        <v>0.24</v>
      </c>
      <c r="Y25" s="50">
        <f t="shared" si="8"/>
        <v>0.05</v>
      </c>
      <c r="Z25" s="50">
        <f t="shared" si="9"/>
        <v>0.04</v>
      </c>
      <c r="AA25" s="50">
        <f t="shared" si="10"/>
        <v>0.06</v>
      </c>
      <c r="AB25" s="50">
        <f t="shared" si="11"/>
        <v>0.08</v>
      </c>
      <c r="AC25" s="50">
        <f t="shared" si="12"/>
        <v>0.05</v>
      </c>
      <c r="AD25" s="50">
        <f t="shared" si="13"/>
        <v>0.02</v>
      </c>
      <c r="AE25" s="50">
        <f t="shared" si="14"/>
        <v>0.02</v>
      </c>
      <c r="AF25" s="47">
        <f t="shared" si="17"/>
        <v>1</v>
      </c>
      <c r="AG25" s="50">
        <f>IF('Resultado da inspeção'!F25='Resultado da inspeção'!$W$3,0%,Ranking!R25)</f>
        <v>0.02</v>
      </c>
      <c r="AH25" s="50">
        <f>IF('Resultado da inspeção'!G25='Resultado da inspeção'!$W$3,0%,Ranking!S25)</f>
        <v>0.03</v>
      </c>
      <c r="AI25" s="50">
        <f>IF('Resultado da inspeção'!H25='Resultado da inspeção'!$W$3,0%,Ranking!T25)</f>
        <v>0.03</v>
      </c>
      <c r="AJ25" s="50">
        <f>IF('Resultado da inspeção'!I25='Resultado da inspeção'!$W$3,0%,Ranking!U25)</f>
        <v>0.1</v>
      </c>
      <c r="AK25" s="50">
        <f>IF('Resultado da inspeção'!J25='Resultado da inspeção'!$W$3,0%,Ranking!V25)</f>
        <v>0.21</v>
      </c>
      <c r="AL25" s="50">
        <f>IF('Resultado da inspeção'!K25='Resultado da inspeção'!$W$3,0%,Ranking!W25)</f>
        <v>0.05</v>
      </c>
      <c r="AM25" s="50">
        <f>IF('Resultado da inspeção'!L25='Resultado da inspeção'!$W$3,0%,Ranking!X25)</f>
        <v>0.24</v>
      </c>
      <c r="AN25" s="50">
        <f>IF('Resultado da inspeção'!M25='Resultado da inspeção'!$W$3,0%,Ranking!Y25)</f>
        <v>0.05</v>
      </c>
      <c r="AO25" s="50">
        <f>IF('Resultado da inspeção'!N25='Resultado da inspeção'!$W$3,0%,Ranking!Z25)</f>
        <v>0.04</v>
      </c>
      <c r="AP25" s="50">
        <f>IF('Resultado da inspeção'!O25='Resultado da inspeção'!$W$3,0%,Ranking!AA25)</f>
        <v>0.06</v>
      </c>
      <c r="AQ25" s="50">
        <f>IF('Resultado da inspeção'!P25='Resultado da inspeção'!$W$3,0%,Ranking!AB25)</f>
        <v>0.08</v>
      </c>
      <c r="AR25" s="50">
        <f>IF('Resultado da inspeção'!Q25='Resultado da inspeção'!$W$3,0%,Ranking!AC25)</f>
        <v>0.05</v>
      </c>
      <c r="AS25" s="50">
        <f>IF('Resultado da inspeção'!R25='Resultado da inspeção'!$W$3,0%,Ranking!AD25)</f>
        <v>0.02</v>
      </c>
      <c r="AT25" s="50">
        <f>IF('Resultado da inspeção'!S25='Resultado da inspeção'!$W$3,0%,Ranking!AE25)</f>
        <v>0.02</v>
      </c>
      <c r="AU25" s="49">
        <f t="shared" si="18"/>
        <v>1</v>
      </c>
    </row>
    <row r="26" spans="2:47" x14ac:dyDescent="0.25">
      <c r="B26" s="48">
        <f>IF('Resultado da inspeção'!F26='Resultado da inspeção'!$W$4,0%,Ranking!B$5)</f>
        <v>0.02</v>
      </c>
      <c r="C26" s="48">
        <f>IF('Resultado da inspeção'!G26='Resultado da inspeção'!$W$4,0%,Ranking!C$5)</f>
        <v>0.03</v>
      </c>
      <c r="D26" s="48">
        <f>IF('Resultado da inspeção'!H26='Resultado da inspeção'!$W$4,0%,Ranking!D$5)</f>
        <v>0.03</v>
      </c>
      <c r="E26" s="48">
        <f>IF('Resultado da inspeção'!I26='Resultado da inspeção'!$W$4,0%,Ranking!E$5)</f>
        <v>0.1</v>
      </c>
      <c r="F26" s="48">
        <f>IF('Resultado da inspeção'!J26='Resultado da inspeção'!$W$4,0%,Ranking!F$5)</f>
        <v>0.21</v>
      </c>
      <c r="G26" s="48">
        <f>IF('Resultado da inspeção'!K26='Resultado da inspeção'!$W$4,0%,Ranking!G$5)</f>
        <v>0.05</v>
      </c>
      <c r="H26" s="48">
        <f>IF('Resultado da inspeção'!L26='Resultado da inspeção'!$W$4,0%,Ranking!H$5)</f>
        <v>0.24</v>
      </c>
      <c r="I26" s="48">
        <f>IF('Resultado da inspeção'!M26='Resultado da inspeção'!$W$4,0%,Ranking!I$5)</f>
        <v>0.05</v>
      </c>
      <c r="J26" s="48">
        <f>IF('Resultado da inspeção'!N26='Resultado da inspeção'!$W$4,0%,Ranking!J$5)</f>
        <v>0.04</v>
      </c>
      <c r="K26" s="48">
        <f>IF('Resultado da inspeção'!O26='Resultado da inspeção'!$W$4,0%,Ranking!K$5)</f>
        <v>0.06</v>
      </c>
      <c r="L26" s="48">
        <f>IF('Resultado da inspeção'!P26='Resultado da inspeção'!$W$4,0%,Ranking!L$5)</f>
        <v>0.08</v>
      </c>
      <c r="M26" s="48">
        <f>IF('Resultado da inspeção'!Q26='Resultado da inspeção'!$W$4,0%,Ranking!M$5)</f>
        <v>0.05</v>
      </c>
      <c r="N26" s="48">
        <f>IF('Resultado da inspeção'!R26='Resultado da inspeção'!$W$4,0%,Ranking!N$5)</f>
        <v>0.02</v>
      </c>
      <c r="O26" s="48">
        <f>IF('Resultado da inspeção'!S26='Resultado da inspeção'!$W$4,0%,Ranking!O$5)</f>
        <v>0.02</v>
      </c>
      <c r="P26" s="47">
        <f t="shared" si="0"/>
        <v>1</v>
      </c>
      <c r="Q26" s="49">
        <f t="shared" si="16"/>
        <v>0</v>
      </c>
      <c r="R26" s="50">
        <f t="shared" si="1"/>
        <v>0.02</v>
      </c>
      <c r="S26" s="50">
        <f t="shared" si="2"/>
        <v>0.03</v>
      </c>
      <c r="T26" s="50">
        <f t="shared" si="3"/>
        <v>0.03</v>
      </c>
      <c r="U26" s="50">
        <f t="shared" si="4"/>
        <v>0.1</v>
      </c>
      <c r="V26" s="50">
        <f t="shared" si="5"/>
        <v>0.21</v>
      </c>
      <c r="W26" s="50">
        <f t="shared" si="6"/>
        <v>0.05</v>
      </c>
      <c r="X26" s="50">
        <f t="shared" si="7"/>
        <v>0.24</v>
      </c>
      <c r="Y26" s="50">
        <f t="shared" si="8"/>
        <v>0.05</v>
      </c>
      <c r="Z26" s="50">
        <f t="shared" si="9"/>
        <v>0.04</v>
      </c>
      <c r="AA26" s="50">
        <f t="shared" si="10"/>
        <v>0.06</v>
      </c>
      <c r="AB26" s="50">
        <f t="shared" si="11"/>
        <v>0.08</v>
      </c>
      <c r="AC26" s="50">
        <f t="shared" si="12"/>
        <v>0.05</v>
      </c>
      <c r="AD26" s="50">
        <f t="shared" si="13"/>
        <v>0.02</v>
      </c>
      <c r="AE26" s="50">
        <f t="shared" si="14"/>
        <v>0.02</v>
      </c>
      <c r="AF26" s="47">
        <f t="shared" si="17"/>
        <v>1</v>
      </c>
      <c r="AG26" s="50">
        <f>IF('Resultado da inspeção'!F26='Resultado da inspeção'!$W$3,0%,Ranking!R26)</f>
        <v>0.02</v>
      </c>
      <c r="AH26" s="50">
        <f>IF('Resultado da inspeção'!G26='Resultado da inspeção'!$W$3,0%,Ranking!S26)</f>
        <v>0.03</v>
      </c>
      <c r="AI26" s="50">
        <f>IF('Resultado da inspeção'!H26='Resultado da inspeção'!$W$3,0%,Ranking!T26)</f>
        <v>0.03</v>
      </c>
      <c r="AJ26" s="50">
        <f>IF('Resultado da inspeção'!I26='Resultado da inspeção'!$W$3,0%,Ranking!U26)</f>
        <v>0.1</v>
      </c>
      <c r="AK26" s="50">
        <f>IF('Resultado da inspeção'!J26='Resultado da inspeção'!$W$3,0%,Ranking!V26)</f>
        <v>0.21</v>
      </c>
      <c r="AL26" s="50">
        <f>IF('Resultado da inspeção'!K26='Resultado da inspeção'!$W$3,0%,Ranking!W26)</f>
        <v>0.05</v>
      </c>
      <c r="AM26" s="50">
        <f>IF('Resultado da inspeção'!L26='Resultado da inspeção'!$W$3,0%,Ranking!X26)</f>
        <v>0.24</v>
      </c>
      <c r="AN26" s="50">
        <f>IF('Resultado da inspeção'!M26='Resultado da inspeção'!$W$3,0%,Ranking!Y26)</f>
        <v>0.05</v>
      </c>
      <c r="AO26" s="50">
        <f>IF('Resultado da inspeção'!N26='Resultado da inspeção'!$W$3,0%,Ranking!Z26)</f>
        <v>0.04</v>
      </c>
      <c r="AP26" s="50">
        <f>IF('Resultado da inspeção'!O26='Resultado da inspeção'!$W$3,0%,Ranking!AA26)</f>
        <v>0.06</v>
      </c>
      <c r="AQ26" s="50">
        <f>IF('Resultado da inspeção'!P26='Resultado da inspeção'!$W$3,0%,Ranking!AB26)</f>
        <v>0.08</v>
      </c>
      <c r="AR26" s="50">
        <f>IF('Resultado da inspeção'!Q26='Resultado da inspeção'!$W$3,0%,Ranking!AC26)</f>
        <v>0.05</v>
      </c>
      <c r="AS26" s="50">
        <f>IF('Resultado da inspeção'!R26='Resultado da inspeção'!$W$3,0%,Ranking!AD26)</f>
        <v>0.02</v>
      </c>
      <c r="AT26" s="50">
        <f>IF('Resultado da inspeção'!S26='Resultado da inspeção'!$W$3,0%,Ranking!AE26)</f>
        <v>0.02</v>
      </c>
      <c r="AU26" s="49">
        <f t="shared" si="18"/>
        <v>1</v>
      </c>
    </row>
    <row r="27" spans="2:47" x14ac:dyDescent="0.25">
      <c r="B27" s="48">
        <f>IF('Resultado da inspeção'!F27='Resultado da inspeção'!$W$4,0%,Ranking!B$5)</f>
        <v>0.02</v>
      </c>
      <c r="C27" s="48">
        <f>IF('Resultado da inspeção'!G27='Resultado da inspeção'!$W$4,0%,Ranking!C$5)</f>
        <v>0.03</v>
      </c>
      <c r="D27" s="48">
        <f>IF('Resultado da inspeção'!H27='Resultado da inspeção'!$W$4,0%,Ranking!D$5)</f>
        <v>0.03</v>
      </c>
      <c r="E27" s="48">
        <f>IF('Resultado da inspeção'!I27='Resultado da inspeção'!$W$4,0%,Ranking!E$5)</f>
        <v>0.1</v>
      </c>
      <c r="F27" s="48">
        <f>IF('Resultado da inspeção'!J27='Resultado da inspeção'!$W$4,0%,Ranking!F$5)</f>
        <v>0.21</v>
      </c>
      <c r="G27" s="48">
        <f>IF('Resultado da inspeção'!K27='Resultado da inspeção'!$W$4,0%,Ranking!G$5)</f>
        <v>0.05</v>
      </c>
      <c r="H27" s="48">
        <f>IF('Resultado da inspeção'!L27='Resultado da inspeção'!$W$4,0%,Ranking!H$5)</f>
        <v>0.24</v>
      </c>
      <c r="I27" s="48">
        <f>IF('Resultado da inspeção'!M27='Resultado da inspeção'!$W$4,0%,Ranking!I$5)</f>
        <v>0.05</v>
      </c>
      <c r="J27" s="48">
        <f>IF('Resultado da inspeção'!N27='Resultado da inspeção'!$W$4,0%,Ranking!J$5)</f>
        <v>0.04</v>
      </c>
      <c r="K27" s="48">
        <f>IF('Resultado da inspeção'!O27='Resultado da inspeção'!$W$4,0%,Ranking!K$5)</f>
        <v>0.06</v>
      </c>
      <c r="L27" s="48">
        <f>IF('Resultado da inspeção'!P27='Resultado da inspeção'!$W$4,0%,Ranking!L$5)</f>
        <v>0.08</v>
      </c>
      <c r="M27" s="48">
        <f>IF('Resultado da inspeção'!Q27='Resultado da inspeção'!$W$4,0%,Ranking!M$5)</f>
        <v>0.05</v>
      </c>
      <c r="N27" s="48">
        <f>IF('Resultado da inspeção'!R27='Resultado da inspeção'!$W$4,0%,Ranking!N$5)</f>
        <v>0.02</v>
      </c>
      <c r="O27" s="48">
        <f>IF('Resultado da inspeção'!S27='Resultado da inspeção'!$W$4,0%,Ranking!O$5)</f>
        <v>0.02</v>
      </c>
      <c r="P27" s="47">
        <f t="shared" si="0"/>
        <v>1</v>
      </c>
      <c r="Q27" s="49">
        <f t="shared" si="16"/>
        <v>0</v>
      </c>
      <c r="R27" s="50">
        <f t="shared" si="1"/>
        <v>0.02</v>
      </c>
      <c r="S27" s="50">
        <f t="shared" si="2"/>
        <v>0.03</v>
      </c>
      <c r="T27" s="50">
        <f t="shared" si="3"/>
        <v>0.03</v>
      </c>
      <c r="U27" s="50">
        <f t="shared" si="4"/>
        <v>0.1</v>
      </c>
      <c r="V27" s="50">
        <f t="shared" si="5"/>
        <v>0.21</v>
      </c>
      <c r="W27" s="50">
        <f t="shared" si="6"/>
        <v>0.05</v>
      </c>
      <c r="X27" s="50">
        <f t="shared" si="7"/>
        <v>0.24</v>
      </c>
      <c r="Y27" s="50">
        <f t="shared" si="8"/>
        <v>0.05</v>
      </c>
      <c r="Z27" s="50">
        <f t="shared" si="9"/>
        <v>0.04</v>
      </c>
      <c r="AA27" s="50">
        <f t="shared" si="10"/>
        <v>0.06</v>
      </c>
      <c r="AB27" s="50">
        <f t="shared" si="11"/>
        <v>0.08</v>
      </c>
      <c r="AC27" s="50">
        <f t="shared" si="12"/>
        <v>0.05</v>
      </c>
      <c r="AD27" s="50">
        <f t="shared" si="13"/>
        <v>0.02</v>
      </c>
      <c r="AE27" s="50">
        <f t="shared" si="14"/>
        <v>0.02</v>
      </c>
      <c r="AF27" s="47">
        <f t="shared" si="17"/>
        <v>1</v>
      </c>
      <c r="AG27" s="50">
        <f>IF('Resultado da inspeção'!F27='Resultado da inspeção'!$W$3,0%,Ranking!R27)</f>
        <v>0.02</v>
      </c>
      <c r="AH27" s="50">
        <f>IF('Resultado da inspeção'!G27='Resultado da inspeção'!$W$3,0%,Ranking!S27)</f>
        <v>0.03</v>
      </c>
      <c r="AI27" s="50">
        <f>IF('Resultado da inspeção'!H27='Resultado da inspeção'!$W$3,0%,Ranking!T27)</f>
        <v>0.03</v>
      </c>
      <c r="AJ27" s="50">
        <f>IF('Resultado da inspeção'!I27='Resultado da inspeção'!$W$3,0%,Ranking!U27)</f>
        <v>0.1</v>
      </c>
      <c r="AK27" s="50">
        <f>IF('Resultado da inspeção'!J27='Resultado da inspeção'!$W$3,0%,Ranking!V27)</f>
        <v>0.21</v>
      </c>
      <c r="AL27" s="50">
        <f>IF('Resultado da inspeção'!K27='Resultado da inspeção'!$W$3,0%,Ranking!W27)</f>
        <v>0.05</v>
      </c>
      <c r="AM27" s="50">
        <f>IF('Resultado da inspeção'!L27='Resultado da inspeção'!$W$3,0%,Ranking!X27)</f>
        <v>0.24</v>
      </c>
      <c r="AN27" s="50">
        <f>IF('Resultado da inspeção'!M27='Resultado da inspeção'!$W$3,0%,Ranking!Y27)</f>
        <v>0.05</v>
      </c>
      <c r="AO27" s="50">
        <f>IF('Resultado da inspeção'!N27='Resultado da inspeção'!$W$3,0%,Ranking!Z27)</f>
        <v>0.04</v>
      </c>
      <c r="AP27" s="50">
        <f>IF('Resultado da inspeção'!O27='Resultado da inspeção'!$W$3,0%,Ranking!AA27)</f>
        <v>0.06</v>
      </c>
      <c r="AQ27" s="50">
        <f>IF('Resultado da inspeção'!P27='Resultado da inspeção'!$W$3,0%,Ranking!AB27)</f>
        <v>0.08</v>
      </c>
      <c r="AR27" s="50">
        <f>IF('Resultado da inspeção'!Q27='Resultado da inspeção'!$W$3,0%,Ranking!AC27)</f>
        <v>0.05</v>
      </c>
      <c r="AS27" s="50">
        <f>IF('Resultado da inspeção'!R27='Resultado da inspeção'!$W$3,0%,Ranking!AD27)</f>
        <v>0.02</v>
      </c>
      <c r="AT27" s="50">
        <f>IF('Resultado da inspeção'!S27='Resultado da inspeção'!$W$3,0%,Ranking!AE27)</f>
        <v>0.02</v>
      </c>
      <c r="AU27" s="49">
        <f t="shared" si="18"/>
        <v>1</v>
      </c>
    </row>
    <row r="28" spans="2:47" x14ac:dyDescent="0.25">
      <c r="B28" s="48">
        <f>IF('Resultado da inspeção'!F28='Resultado da inspeção'!$W$4,0%,Ranking!B$5)</f>
        <v>0.02</v>
      </c>
      <c r="C28" s="48">
        <f>IF('Resultado da inspeção'!G28='Resultado da inspeção'!$W$4,0%,Ranking!C$5)</f>
        <v>0.03</v>
      </c>
      <c r="D28" s="48">
        <f>IF('Resultado da inspeção'!H28='Resultado da inspeção'!$W$4,0%,Ranking!D$5)</f>
        <v>0.03</v>
      </c>
      <c r="E28" s="48">
        <f>IF('Resultado da inspeção'!I28='Resultado da inspeção'!$W$4,0%,Ranking!E$5)</f>
        <v>0.1</v>
      </c>
      <c r="F28" s="48">
        <f>IF('Resultado da inspeção'!J28='Resultado da inspeção'!$W$4,0%,Ranking!F$5)</f>
        <v>0.21</v>
      </c>
      <c r="G28" s="48">
        <f>IF('Resultado da inspeção'!K28='Resultado da inspeção'!$W$4,0%,Ranking!G$5)</f>
        <v>0.05</v>
      </c>
      <c r="H28" s="48">
        <f>IF('Resultado da inspeção'!L28='Resultado da inspeção'!$W$4,0%,Ranking!H$5)</f>
        <v>0.24</v>
      </c>
      <c r="I28" s="48">
        <f>IF('Resultado da inspeção'!M28='Resultado da inspeção'!$W$4,0%,Ranking!I$5)</f>
        <v>0.05</v>
      </c>
      <c r="J28" s="48">
        <f>IF('Resultado da inspeção'!N28='Resultado da inspeção'!$W$4,0%,Ranking!J$5)</f>
        <v>0.04</v>
      </c>
      <c r="K28" s="48">
        <f>IF('Resultado da inspeção'!O28='Resultado da inspeção'!$W$4,0%,Ranking!K$5)</f>
        <v>0.06</v>
      </c>
      <c r="L28" s="48">
        <f>IF('Resultado da inspeção'!P28='Resultado da inspeção'!$W$4,0%,Ranking!L$5)</f>
        <v>0.08</v>
      </c>
      <c r="M28" s="48">
        <f>IF('Resultado da inspeção'!Q28='Resultado da inspeção'!$W$4,0%,Ranking!M$5)</f>
        <v>0.05</v>
      </c>
      <c r="N28" s="48">
        <f>IF('Resultado da inspeção'!R28='Resultado da inspeção'!$W$4,0%,Ranking!N$5)</f>
        <v>0.02</v>
      </c>
      <c r="O28" s="48">
        <f>IF('Resultado da inspeção'!S28='Resultado da inspeção'!$W$4,0%,Ranking!O$5)</f>
        <v>0.02</v>
      </c>
      <c r="P28" s="47">
        <f t="shared" si="0"/>
        <v>1</v>
      </c>
      <c r="Q28" s="49">
        <f t="shared" si="16"/>
        <v>0</v>
      </c>
      <c r="R28" s="50">
        <f t="shared" si="1"/>
        <v>0.02</v>
      </c>
      <c r="S28" s="50">
        <f t="shared" si="2"/>
        <v>0.03</v>
      </c>
      <c r="T28" s="50">
        <f t="shared" si="3"/>
        <v>0.03</v>
      </c>
      <c r="U28" s="50">
        <f t="shared" si="4"/>
        <v>0.1</v>
      </c>
      <c r="V28" s="50">
        <f t="shared" si="5"/>
        <v>0.21</v>
      </c>
      <c r="W28" s="50">
        <f t="shared" si="6"/>
        <v>0.05</v>
      </c>
      <c r="X28" s="50">
        <f t="shared" si="7"/>
        <v>0.24</v>
      </c>
      <c r="Y28" s="50">
        <f t="shared" si="8"/>
        <v>0.05</v>
      </c>
      <c r="Z28" s="50">
        <f t="shared" si="9"/>
        <v>0.04</v>
      </c>
      <c r="AA28" s="50">
        <f t="shared" si="10"/>
        <v>0.06</v>
      </c>
      <c r="AB28" s="50">
        <f t="shared" si="11"/>
        <v>0.08</v>
      </c>
      <c r="AC28" s="50">
        <f t="shared" si="12"/>
        <v>0.05</v>
      </c>
      <c r="AD28" s="50">
        <f t="shared" si="13"/>
        <v>0.02</v>
      </c>
      <c r="AE28" s="50">
        <f t="shared" si="14"/>
        <v>0.02</v>
      </c>
      <c r="AF28" s="47">
        <f t="shared" si="17"/>
        <v>1</v>
      </c>
      <c r="AG28" s="50">
        <f>IF('Resultado da inspeção'!F28='Resultado da inspeção'!$W$3,0%,Ranking!R28)</f>
        <v>0.02</v>
      </c>
      <c r="AH28" s="50">
        <f>IF('Resultado da inspeção'!G28='Resultado da inspeção'!$W$3,0%,Ranking!S28)</f>
        <v>0.03</v>
      </c>
      <c r="AI28" s="50">
        <f>IF('Resultado da inspeção'!H28='Resultado da inspeção'!$W$3,0%,Ranking!T28)</f>
        <v>0.03</v>
      </c>
      <c r="AJ28" s="50">
        <f>IF('Resultado da inspeção'!I28='Resultado da inspeção'!$W$3,0%,Ranking!U28)</f>
        <v>0.1</v>
      </c>
      <c r="AK28" s="50">
        <f>IF('Resultado da inspeção'!J28='Resultado da inspeção'!$W$3,0%,Ranking!V28)</f>
        <v>0.21</v>
      </c>
      <c r="AL28" s="50">
        <f>IF('Resultado da inspeção'!K28='Resultado da inspeção'!$W$3,0%,Ranking!W28)</f>
        <v>0.05</v>
      </c>
      <c r="AM28" s="50">
        <f>IF('Resultado da inspeção'!L28='Resultado da inspeção'!$W$3,0%,Ranking!X28)</f>
        <v>0.24</v>
      </c>
      <c r="AN28" s="50">
        <f>IF('Resultado da inspeção'!M28='Resultado da inspeção'!$W$3,0%,Ranking!Y28)</f>
        <v>0.05</v>
      </c>
      <c r="AO28" s="50">
        <f>IF('Resultado da inspeção'!N28='Resultado da inspeção'!$W$3,0%,Ranking!Z28)</f>
        <v>0.04</v>
      </c>
      <c r="AP28" s="50">
        <f>IF('Resultado da inspeção'!O28='Resultado da inspeção'!$W$3,0%,Ranking!AA28)</f>
        <v>0.06</v>
      </c>
      <c r="AQ28" s="50">
        <f>IF('Resultado da inspeção'!P28='Resultado da inspeção'!$W$3,0%,Ranking!AB28)</f>
        <v>0.08</v>
      </c>
      <c r="AR28" s="50">
        <f>IF('Resultado da inspeção'!Q28='Resultado da inspeção'!$W$3,0%,Ranking!AC28)</f>
        <v>0.05</v>
      </c>
      <c r="AS28" s="50">
        <f>IF('Resultado da inspeção'!R28='Resultado da inspeção'!$W$3,0%,Ranking!AD28)</f>
        <v>0.02</v>
      </c>
      <c r="AT28" s="50">
        <f>IF('Resultado da inspeção'!S28='Resultado da inspeção'!$W$3,0%,Ranking!AE28)</f>
        <v>0.02</v>
      </c>
      <c r="AU28" s="49">
        <f t="shared" si="18"/>
        <v>1</v>
      </c>
    </row>
    <row r="29" spans="2:47" x14ac:dyDescent="0.25">
      <c r="B29" s="48">
        <f>IF('Resultado da inspeção'!F29='Resultado da inspeção'!$W$4,0%,Ranking!B$5)</f>
        <v>0.02</v>
      </c>
      <c r="C29" s="48">
        <f>IF('Resultado da inspeção'!G29='Resultado da inspeção'!$W$4,0%,Ranking!C$5)</f>
        <v>0.03</v>
      </c>
      <c r="D29" s="48">
        <f>IF('Resultado da inspeção'!H29='Resultado da inspeção'!$W$4,0%,Ranking!D$5)</f>
        <v>0.03</v>
      </c>
      <c r="E29" s="48">
        <f>IF('Resultado da inspeção'!I29='Resultado da inspeção'!$W$4,0%,Ranking!E$5)</f>
        <v>0.1</v>
      </c>
      <c r="F29" s="48">
        <f>IF('Resultado da inspeção'!J29='Resultado da inspeção'!$W$4,0%,Ranking!F$5)</f>
        <v>0.21</v>
      </c>
      <c r="G29" s="48">
        <f>IF('Resultado da inspeção'!K29='Resultado da inspeção'!$W$4,0%,Ranking!G$5)</f>
        <v>0.05</v>
      </c>
      <c r="H29" s="48">
        <f>IF('Resultado da inspeção'!L29='Resultado da inspeção'!$W$4,0%,Ranking!H$5)</f>
        <v>0.24</v>
      </c>
      <c r="I29" s="48">
        <f>IF('Resultado da inspeção'!M29='Resultado da inspeção'!$W$4,0%,Ranking!I$5)</f>
        <v>0.05</v>
      </c>
      <c r="J29" s="48">
        <f>IF('Resultado da inspeção'!N29='Resultado da inspeção'!$W$4,0%,Ranking!J$5)</f>
        <v>0.04</v>
      </c>
      <c r="K29" s="48">
        <f>IF('Resultado da inspeção'!O29='Resultado da inspeção'!$W$4,0%,Ranking!K$5)</f>
        <v>0.06</v>
      </c>
      <c r="L29" s="48">
        <f>IF('Resultado da inspeção'!P29='Resultado da inspeção'!$W$4,0%,Ranking!L$5)</f>
        <v>0.08</v>
      </c>
      <c r="M29" s="48">
        <f>IF('Resultado da inspeção'!Q29='Resultado da inspeção'!$W$4,0%,Ranking!M$5)</f>
        <v>0.05</v>
      </c>
      <c r="N29" s="48">
        <f>IF('Resultado da inspeção'!R29='Resultado da inspeção'!$W$4,0%,Ranking!N$5)</f>
        <v>0.02</v>
      </c>
      <c r="O29" s="48">
        <f>IF('Resultado da inspeção'!S29='Resultado da inspeção'!$W$4,0%,Ranking!O$5)</f>
        <v>0.02</v>
      </c>
      <c r="P29" s="47">
        <f t="shared" si="0"/>
        <v>1</v>
      </c>
      <c r="Q29" s="49">
        <f t="shared" si="16"/>
        <v>0</v>
      </c>
      <c r="R29" s="50">
        <f t="shared" si="1"/>
        <v>0.02</v>
      </c>
      <c r="S29" s="50">
        <f t="shared" si="2"/>
        <v>0.03</v>
      </c>
      <c r="T29" s="50">
        <f t="shared" si="3"/>
        <v>0.03</v>
      </c>
      <c r="U29" s="50">
        <f t="shared" si="4"/>
        <v>0.1</v>
      </c>
      <c r="V29" s="50">
        <f t="shared" si="5"/>
        <v>0.21</v>
      </c>
      <c r="W29" s="50">
        <f t="shared" si="6"/>
        <v>0.05</v>
      </c>
      <c r="X29" s="50">
        <f t="shared" si="7"/>
        <v>0.24</v>
      </c>
      <c r="Y29" s="50">
        <f t="shared" si="8"/>
        <v>0.05</v>
      </c>
      <c r="Z29" s="50">
        <f t="shared" si="9"/>
        <v>0.04</v>
      </c>
      <c r="AA29" s="50">
        <f t="shared" si="10"/>
        <v>0.06</v>
      </c>
      <c r="AB29" s="50">
        <f t="shared" si="11"/>
        <v>0.08</v>
      </c>
      <c r="AC29" s="50">
        <f t="shared" si="12"/>
        <v>0.05</v>
      </c>
      <c r="AD29" s="50">
        <f t="shared" si="13"/>
        <v>0.02</v>
      </c>
      <c r="AE29" s="50">
        <f t="shared" si="14"/>
        <v>0.02</v>
      </c>
      <c r="AF29" s="47">
        <f t="shared" si="17"/>
        <v>1</v>
      </c>
      <c r="AG29" s="50">
        <f>IF('Resultado da inspeção'!F29='Resultado da inspeção'!$W$3,0%,Ranking!R29)</f>
        <v>0.02</v>
      </c>
      <c r="AH29" s="50">
        <f>IF('Resultado da inspeção'!G29='Resultado da inspeção'!$W$3,0%,Ranking!S29)</f>
        <v>0.03</v>
      </c>
      <c r="AI29" s="50">
        <f>IF('Resultado da inspeção'!H29='Resultado da inspeção'!$W$3,0%,Ranking!T29)</f>
        <v>0.03</v>
      </c>
      <c r="AJ29" s="50">
        <f>IF('Resultado da inspeção'!I29='Resultado da inspeção'!$W$3,0%,Ranking!U29)</f>
        <v>0.1</v>
      </c>
      <c r="AK29" s="50">
        <f>IF('Resultado da inspeção'!J29='Resultado da inspeção'!$W$3,0%,Ranking!V29)</f>
        <v>0.21</v>
      </c>
      <c r="AL29" s="50">
        <f>IF('Resultado da inspeção'!K29='Resultado da inspeção'!$W$3,0%,Ranking!W29)</f>
        <v>0.05</v>
      </c>
      <c r="AM29" s="50">
        <f>IF('Resultado da inspeção'!L29='Resultado da inspeção'!$W$3,0%,Ranking!X29)</f>
        <v>0.24</v>
      </c>
      <c r="AN29" s="50">
        <f>IF('Resultado da inspeção'!M29='Resultado da inspeção'!$W$3,0%,Ranking!Y29)</f>
        <v>0.05</v>
      </c>
      <c r="AO29" s="50">
        <f>IF('Resultado da inspeção'!N29='Resultado da inspeção'!$W$3,0%,Ranking!Z29)</f>
        <v>0.04</v>
      </c>
      <c r="AP29" s="50">
        <f>IF('Resultado da inspeção'!O29='Resultado da inspeção'!$W$3,0%,Ranking!AA29)</f>
        <v>0.06</v>
      </c>
      <c r="AQ29" s="50">
        <f>IF('Resultado da inspeção'!P29='Resultado da inspeção'!$W$3,0%,Ranking!AB29)</f>
        <v>0.08</v>
      </c>
      <c r="AR29" s="50">
        <f>IF('Resultado da inspeção'!Q29='Resultado da inspeção'!$W$3,0%,Ranking!AC29)</f>
        <v>0.05</v>
      </c>
      <c r="AS29" s="50">
        <f>IF('Resultado da inspeção'!R29='Resultado da inspeção'!$W$3,0%,Ranking!AD29)</f>
        <v>0.02</v>
      </c>
      <c r="AT29" s="50">
        <f>IF('Resultado da inspeção'!S29='Resultado da inspeção'!$W$3,0%,Ranking!AE29)</f>
        <v>0.02</v>
      </c>
      <c r="AU29" s="49">
        <f t="shared" si="18"/>
        <v>1</v>
      </c>
    </row>
    <row r="30" spans="2:47" x14ac:dyDescent="0.25">
      <c r="B30" s="48">
        <f>IF('Resultado da inspeção'!F30='Resultado da inspeção'!$W$4,0%,Ranking!B$5)</f>
        <v>0.02</v>
      </c>
      <c r="C30" s="48">
        <f>IF('Resultado da inspeção'!G30='Resultado da inspeção'!$W$4,0%,Ranking!C$5)</f>
        <v>0.03</v>
      </c>
      <c r="D30" s="48">
        <f>IF('Resultado da inspeção'!H30='Resultado da inspeção'!$W$4,0%,Ranking!D$5)</f>
        <v>0.03</v>
      </c>
      <c r="E30" s="48">
        <f>IF('Resultado da inspeção'!I30='Resultado da inspeção'!$W$4,0%,Ranking!E$5)</f>
        <v>0.1</v>
      </c>
      <c r="F30" s="48">
        <f>IF('Resultado da inspeção'!J30='Resultado da inspeção'!$W$4,0%,Ranking!F$5)</f>
        <v>0.21</v>
      </c>
      <c r="G30" s="48">
        <f>IF('Resultado da inspeção'!K30='Resultado da inspeção'!$W$4,0%,Ranking!G$5)</f>
        <v>0.05</v>
      </c>
      <c r="H30" s="48">
        <f>IF('Resultado da inspeção'!L30='Resultado da inspeção'!$W$4,0%,Ranking!H$5)</f>
        <v>0.24</v>
      </c>
      <c r="I30" s="48">
        <f>IF('Resultado da inspeção'!M30='Resultado da inspeção'!$W$4,0%,Ranking!I$5)</f>
        <v>0.05</v>
      </c>
      <c r="J30" s="48">
        <f>IF('Resultado da inspeção'!N30='Resultado da inspeção'!$W$4,0%,Ranking!J$5)</f>
        <v>0.04</v>
      </c>
      <c r="K30" s="48">
        <f>IF('Resultado da inspeção'!O30='Resultado da inspeção'!$W$4,0%,Ranking!K$5)</f>
        <v>0.06</v>
      </c>
      <c r="L30" s="48">
        <f>IF('Resultado da inspeção'!P30='Resultado da inspeção'!$W$4,0%,Ranking!L$5)</f>
        <v>0.08</v>
      </c>
      <c r="M30" s="48">
        <f>IF('Resultado da inspeção'!Q30='Resultado da inspeção'!$W$4,0%,Ranking!M$5)</f>
        <v>0.05</v>
      </c>
      <c r="N30" s="48">
        <f>IF('Resultado da inspeção'!R30='Resultado da inspeção'!$W$4,0%,Ranking!N$5)</f>
        <v>0.02</v>
      </c>
      <c r="O30" s="48">
        <f>IF('Resultado da inspeção'!S30='Resultado da inspeção'!$W$4,0%,Ranking!O$5)</f>
        <v>0.02</v>
      </c>
      <c r="P30" s="47">
        <f t="shared" si="0"/>
        <v>1</v>
      </c>
      <c r="Q30" s="49">
        <f t="shared" si="16"/>
        <v>0</v>
      </c>
      <c r="R30" s="50">
        <f t="shared" si="1"/>
        <v>0.02</v>
      </c>
      <c r="S30" s="50">
        <f t="shared" si="2"/>
        <v>0.03</v>
      </c>
      <c r="T30" s="50">
        <f t="shared" si="3"/>
        <v>0.03</v>
      </c>
      <c r="U30" s="50">
        <f t="shared" si="4"/>
        <v>0.1</v>
      </c>
      <c r="V30" s="50">
        <f t="shared" si="5"/>
        <v>0.21</v>
      </c>
      <c r="W30" s="50">
        <f t="shared" si="6"/>
        <v>0.05</v>
      </c>
      <c r="X30" s="50">
        <f t="shared" si="7"/>
        <v>0.24</v>
      </c>
      <c r="Y30" s="50">
        <f t="shared" si="8"/>
        <v>0.05</v>
      </c>
      <c r="Z30" s="50">
        <f t="shared" si="9"/>
        <v>0.04</v>
      </c>
      <c r="AA30" s="50">
        <f t="shared" si="10"/>
        <v>0.06</v>
      </c>
      <c r="AB30" s="50">
        <f t="shared" si="11"/>
        <v>0.08</v>
      </c>
      <c r="AC30" s="50">
        <f t="shared" si="12"/>
        <v>0.05</v>
      </c>
      <c r="AD30" s="50">
        <f t="shared" si="13"/>
        <v>0.02</v>
      </c>
      <c r="AE30" s="50">
        <f t="shared" si="14"/>
        <v>0.02</v>
      </c>
      <c r="AF30" s="47">
        <f t="shared" si="17"/>
        <v>1</v>
      </c>
      <c r="AG30" s="50">
        <f>IF('Resultado da inspeção'!F30='Resultado da inspeção'!$W$3,0%,Ranking!R30)</f>
        <v>0.02</v>
      </c>
      <c r="AH30" s="50">
        <f>IF('Resultado da inspeção'!G30='Resultado da inspeção'!$W$3,0%,Ranking!S30)</f>
        <v>0.03</v>
      </c>
      <c r="AI30" s="50">
        <f>IF('Resultado da inspeção'!H30='Resultado da inspeção'!$W$3,0%,Ranking!T30)</f>
        <v>0.03</v>
      </c>
      <c r="AJ30" s="50">
        <f>IF('Resultado da inspeção'!I30='Resultado da inspeção'!$W$3,0%,Ranking!U30)</f>
        <v>0.1</v>
      </c>
      <c r="AK30" s="50">
        <f>IF('Resultado da inspeção'!J30='Resultado da inspeção'!$W$3,0%,Ranking!V30)</f>
        <v>0.21</v>
      </c>
      <c r="AL30" s="50">
        <f>IF('Resultado da inspeção'!K30='Resultado da inspeção'!$W$3,0%,Ranking!W30)</f>
        <v>0.05</v>
      </c>
      <c r="AM30" s="50">
        <f>IF('Resultado da inspeção'!L30='Resultado da inspeção'!$W$3,0%,Ranking!X30)</f>
        <v>0.24</v>
      </c>
      <c r="AN30" s="50">
        <f>IF('Resultado da inspeção'!M30='Resultado da inspeção'!$W$3,0%,Ranking!Y30)</f>
        <v>0.05</v>
      </c>
      <c r="AO30" s="50">
        <f>IF('Resultado da inspeção'!N30='Resultado da inspeção'!$W$3,0%,Ranking!Z30)</f>
        <v>0.04</v>
      </c>
      <c r="AP30" s="50">
        <f>IF('Resultado da inspeção'!O30='Resultado da inspeção'!$W$3,0%,Ranking!AA30)</f>
        <v>0.06</v>
      </c>
      <c r="AQ30" s="50">
        <f>IF('Resultado da inspeção'!P30='Resultado da inspeção'!$W$3,0%,Ranking!AB30)</f>
        <v>0.08</v>
      </c>
      <c r="AR30" s="50">
        <f>IF('Resultado da inspeção'!Q30='Resultado da inspeção'!$W$3,0%,Ranking!AC30)</f>
        <v>0.05</v>
      </c>
      <c r="AS30" s="50">
        <f>IF('Resultado da inspeção'!R30='Resultado da inspeção'!$W$3,0%,Ranking!AD30)</f>
        <v>0.02</v>
      </c>
      <c r="AT30" s="50">
        <f>IF('Resultado da inspeção'!S30='Resultado da inspeção'!$W$3,0%,Ranking!AE30)</f>
        <v>0.02</v>
      </c>
      <c r="AU30" s="49">
        <f t="shared" si="18"/>
        <v>1</v>
      </c>
    </row>
    <row r="31" spans="2:47" x14ac:dyDescent="0.25">
      <c r="B31" s="48">
        <f>IF('Resultado da inspeção'!F31='Resultado da inspeção'!$W$4,0%,Ranking!B$5)</f>
        <v>0.02</v>
      </c>
      <c r="C31" s="48">
        <f>IF('Resultado da inspeção'!G31='Resultado da inspeção'!$W$4,0%,Ranking!C$5)</f>
        <v>0.03</v>
      </c>
      <c r="D31" s="48">
        <f>IF('Resultado da inspeção'!H31='Resultado da inspeção'!$W$4,0%,Ranking!D$5)</f>
        <v>0.03</v>
      </c>
      <c r="E31" s="48">
        <f>IF('Resultado da inspeção'!I31='Resultado da inspeção'!$W$4,0%,Ranking!E$5)</f>
        <v>0.1</v>
      </c>
      <c r="F31" s="48">
        <f>IF('Resultado da inspeção'!J31='Resultado da inspeção'!$W$4,0%,Ranking!F$5)</f>
        <v>0.21</v>
      </c>
      <c r="G31" s="48">
        <f>IF('Resultado da inspeção'!K31='Resultado da inspeção'!$W$4,0%,Ranking!G$5)</f>
        <v>0.05</v>
      </c>
      <c r="H31" s="48">
        <f>IF('Resultado da inspeção'!L31='Resultado da inspeção'!$W$4,0%,Ranking!H$5)</f>
        <v>0.24</v>
      </c>
      <c r="I31" s="48">
        <f>IF('Resultado da inspeção'!M31='Resultado da inspeção'!$W$4,0%,Ranking!I$5)</f>
        <v>0.05</v>
      </c>
      <c r="J31" s="48">
        <f>IF('Resultado da inspeção'!N31='Resultado da inspeção'!$W$4,0%,Ranking!J$5)</f>
        <v>0.04</v>
      </c>
      <c r="K31" s="48">
        <f>IF('Resultado da inspeção'!O31='Resultado da inspeção'!$W$4,0%,Ranking!K$5)</f>
        <v>0.06</v>
      </c>
      <c r="L31" s="48">
        <f>IF('Resultado da inspeção'!P31='Resultado da inspeção'!$W$4,0%,Ranking!L$5)</f>
        <v>0.08</v>
      </c>
      <c r="M31" s="48">
        <f>IF('Resultado da inspeção'!Q31='Resultado da inspeção'!$W$4,0%,Ranking!M$5)</f>
        <v>0.05</v>
      </c>
      <c r="N31" s="48">
        <f>IF('Resultado da inspeção'!R31='Resultado da inspeção'!$W$4,0%,Ranking!N$5)</f>
        <v>0.02</v>
      </c>
      <c r="O31" s="48">
        <f>IF('Resultado da inspeção'!S31='Resultado da inspeção'!$W$4,0%,Ranking!O$5)</f>
        <v>0.02</v>
      </c>
      <c r="P31" s="47">
        <f t="shared" si="0"/>
        <v>1</v>
      </c>
      <c r="Q31" s="49">
        <f t="shared" si="16"/>
        <v>0</v>
      </c>
      <c r="R31" s="50">
        <f t="shared" si="1"/>
        <v>0.02</v>
      </c>
      <c r="S31" s="50">
        <f t="shared" si="2"/>
        <v>0.03</v>
      </c>
      <c r="T31" s="50">
        <f t="shared" si="3"/>
        <v>0.03</v>
      </c>
      <c r="U31" s="50">
        <f t="shared" si="4"/>
        <v>0.1</v>
      </c>
      <c r="V31" s="50">
        <f t="shared" si="5"/>
        <v>0.21</v>
      </c>
      <c r="W31" s="50">
        <f t="shared" si="6"/>
        <v>0.05</v>
      </c>
      <c r="X31" s="50">
        <f t="shared" si="7"/>
        <v>0.24</v>
      </c>
      <c r="Y31" s="50">
        <f t="shared" si="8"/>
        <v>0.05</v>
      </c>
      <c r="Z31" s="50">
        <f t="shared" si="9"/>
        <v>0.04</v>
      </c>
      <c r="AA31" s="50">
        <f t="shared" si="10"/>
        <v>0.06</v>
      </c>
      <c r="AB31" s="50">
        <f t="shared" si="11"/>
        <v>0.08</v>
      </c>
      <c r="AC31" s="50">
        <f t="shared" si="12"/>
        <v>0.05</v>
      </c>
      <c r="AD31" s="50">
        <f t="shared" si="13"/>
        <v>0.02</v>
      </c>
      <c r="AE31" s="50">
        <f t="shared" si="14"/>
        <v>0.02</v>
      </c>
      <c r="AF31" s="47">
        <f t="shared" si="17"/>
        <v>1</v>
      </c>
      <c r="AG31" s="50">
        <f>IF('Resultado da inspeção'!F31='Resultado da inspeção'!$W$3,0%,Ranking!R31)</f>
        <v>0.02</v>
      </c>
      <c r="AH31" s="50">
        <f>IF('Resultado da inspeção'!G31='Resultado da inspeção'!$W$3,0%,Ranking!S31)</f>
        <v>0.03</v>
      </c>
      <c r="AI31" s="50">
        <f>IF('Resultado da inspeção'!H31='Resultado da inspeção'!$W$3,0%,Ranking!T31)</f>
        <v>0.03</v>
      </c>
      <c r="AJ31" s="50">
        <f>IF('Resultado da inspeção'!I31='Resultado da inspeção'!$W$3,0%,Ranking!U31)</f>
        <v>0.1</v>
      </c>
      <c r="AK31" s="50">
        <f>IF('Resultado da inspeção'!J31='Resultado da inspeção'!$W$3,0%,Ranking!V31)</f>
        <v>0.21</v>
      </c>
      <c r="AL31" s="50">
        <f>IF('Resultado da inspeção'!K31='Resultado da inspeção'!$W$3,0%,Ranking!W31)</f>
        <v>0.05</v>
      </c>
      <c r="AM31" s="50">
        <f>IF('Resultado da inspeção'!L31='Resultado da inspeção'!$W$3,0%,Ranking!X31)</f>
        <v>0.24</v>
      </c>
      <c r="AN31" s="50">
        <f>IF('Resultado da inspeção'!M31='Resultado da inspeção'!$W$3,0%,Ranking!Y31)</f>
        <v>0.05</v>
      </c>
      <c r="AO31" s="50">
        <f>IF('Resultado da inspeção'!N31='Resultado da inspeção'!$W$3,0%,Ranking!Z31)</f>
        <v>0.04</v>
      </c>
      <c r="AP31" s="50">
        <f>IF('Resultado da inspeção'!O31='Resultado da inspeção'!$W$3,0%,Ranking!AA31)</f>
        <v>0.06</v>
      </c>
      <c r="AQ31" s="50">
        <f>IF('Resultado da inspeção'!P31='Resultado da inspeção'!$W$3,0%,Ranking!AB31)</f>
        <v>0.08</v>
      </c>
      <c r="AR31" s="50">
        <f>IF('Resultado da inspeção'!Q31='Resultado da inspeção'!$W$3,0%,Ranking!AC31)</f>
        <v>0.05</v>
      </c>
      <c r="AS31" s="50">
        <f>IF('Resultado da inspeção'!R31='Resultado da inspeção'!$W$3,0%,Ranking!AD31)</f>
        <v>0.02</v>
      </c>
      <c r="AT31" s="50">
        <f>IF('Resultado da inspeção'!S31='Resultado da inspeção'!$W$3,0%,Ranking!AE31)</f>
        <v>0.02</v>
      </c>
      <c r="AU31" s="49">
        <f t="shared" si="18"/>
        <v>1</v>
      </c>
    </row>
    <row r="32" spans="2:47" x14ac:dyDescent="0.25">
      <c r="B32" s="48">
        <f>IF('Resultado da inspeção'!F32='Resultado da inspeção'!$W$4,0%,Ranking!B$5)</f>
        <v>0.02</v>
      </c>
      <c r="C32" s="48">
        <f>IF('Resultado da inspeção'!G32='Resultado da inspeção'!$W$4,0%,Ranking!C$5)</f>
        <v>0.03</v>
      </c>
      <c r="D32" s="48">
        <f>IF('Resultado da inspeção'!H32='Resultado da inspeção'!$W$4,0%,Ranking!D$5)</f>
        <v>0.03</v>
      </c>
      <c r="E32" s="48">
        <f>IF('Resultado da inspeção'!I32='Resultado da inspeção'!$W$4,0%,Ranking!E$5)</f>
        <v>0.1</v>
      </c>
      <c r="F32" s="48">
        <f>IF('Resultado da inspeção'!J32='Resultado da inspeção'!$W$4,0%,Ranking!F$5)</f>
        <v>0.21</v>
      </c>
      <c r="G32" s="48">
        <f>IF('Resultado da inspeção'!K32='Resultado da inspeção'!$W$4,0%,Ranking!G$5)</f>
        <v>0.05</v>
      </c>
      <c r="H32" s="48">
        <f>IF('Resultado da inspeção'!L32='Resultado da inspeção'!$W$4,0%,Ranking!H$5)</f>
        <v>0.24</v>
      </c>
      <c r="I32" s="48">
        <f>IF('Resultado da inspeção'!M32='Resultado da inspeção'!$W$4,0%,Ranking!I$5)</f>
        <v>0.05</v>
      </c>
      <c r="J32" s="48">
        <f>IF('Resultado da inspeção'!N32='Resultado da inspeção'!$W$4,0%,Ranking!J$5)</f>
        <v>0.04</v>
      </c>
      <c r="K32" s="48">
        <f>IF('Resultado da inspeção'!O32='Resultado da inspeção'!$W$4,0%,Ranking!K$5)</f>
        <v>0.06</v>
      </c>
      <c r="L32" s="48">
        <f>IF('Resultado da inspeção'!P32='Resultado da inspeção'!$W$4,0%,Ranking!L$5)</f>
        <v>0.08</v>
      </c>
      <c r="M32" s="48">
        <f>IF('Resultado da inspeção'!Q32='Resultado da inspeção'!$W$4,0%,Ranking!M$5)</f>
        <v>0.05</v>
      </c>
      <c r="N32" s="48">
        <f>IF('Resultado da inspeção'!R32='Resultado da inspeção'!$W$4,0%,Ranking!N$5)</f>
        <v>0.02</v>
      </c>
      <c r="O32" s="48">
        <f>IF('Resultado da inspeção'!S32='Resultado da inspeção'!$W$4,0%,Ranking!O$5)</f>
        <v>0.02</v>
      </c>
      <c r="P32" s="47">
        <f t="shared" si="0"/>
        <v>1</v>
      </c>
      <c r="Q32" s="49">
        <f t="shared" si="16"/>
        <v>0</v>
      </c>
      <c r="R32" s="50">
        <f t="shared" si="1"/>
        <v>0.02</v>
      </c>
      <c r="S32" s="50">
        <f t="shared" si="2"/>
        <v>0.03</v>
      </c>
      <c r="T32" s="50">
        <f t="shared" si="3"/>
        <v>0.03</v>
      </c>
      <c r="U32" s="50">
        <f t="shared" si="4"/>
        <v>0.1</v>
      </c>
      <c r="V32" s="50">
        <f t="shared" si="5"/>
        <v>0.21</v>
      </c>
      <c r="W32" s="50">
        <f t="shared" si="6"/>
        <v>0.05</v>
      </c>
      <c r="X32" s="50">
        <f t="shared" si="7"/>
        <v>0.24</v>
      </c>
      <c r="Y32" s="50">
        <f t="shared" si="8"/>
        <v>0.05</v>
      </c>
      <c r="Z32" s="50">
        <f t="shared" si="9"/>
        <v>0.04</v>
      </c>
      <c r="AA32" s="50">
        <f t="shared" si="10"/>
        <v>0.06</v>
      </c>
      <c r="AB32" s="50">
        <f t="shared" si="11"/>
        <v>0.08</v>
      </c>
      <c r="AC32" s="50">
        <f t="shared" si="12"/>
        <v>0.05</v>
      </c>
      <c r="AD32" s="50">
        <f t="shared" si="13"/>
        <v>0.02</v>
      </c>
      <c r="AE32" s="50">
        <f t="shared" si="14"/>
        <v>0.02</v>
      </c>
      <c r="AF32" s="47">
        <f t="shared" si="17"/>
        <v>1</v>
      </c>
      <c r="AG32" s="50">
        <f>IF('Resultado da inspeção'!F32='Resultado da inspeção'!$W$3,0%,Ranking!R32)</f>
        <v>0.02</v>
      </c>
      <c r="AH32" s="50">
        <f>IF('Resultado da inspeção'!G32='Resultado da inspeção'!$W$3,0%,Ranking!S32)</f>
        <v>0.03</v>
      </c>
      <c r="AI32" s="50">
        <f>IF('Resultado da inspeção'!H32='Resultado da inspeção'!$W$3,0%,Ranking!T32)</f>
        <v>0.03</v>
      </c>
      <c r="AJ32" s="50">
        <f>IF('Resultado da inspeção'!I32='Resultado da inspeção'!$W$3,0%,Ranking!U32)</f>
        <v>0.1</v>
      </c>
      <c r="AK32" s="50">
        <f>IF('Resultado da inspeção'!J32='Resultado da inspeção'!$W$3,0%,Ranking!V32)</f>
        <v>0.21</v>
      </c>
      <c r="AL32" s="50">
        <f>IF('Resultado da inspeção'!K32='Resultado da inspeção'!$W$3,0%,Ranking!W32)</f>
        <v>0.05</v>
      </c>
      <c r="AM32" s="50">
        <f>IF('Resultado da inspeção'!L32='Resultado da inspeção'!$W$3,0%,Ranking!X32)</f>
        <v>0.24</v>
      </c>
      <c r="AN32" s="50">
        <f>IF('Resultado da inspeção'!M32='Resultado da inspeção'!$W$3,0%,Ranking!Y32)</f>
        <v>0.05</v>
      </c>
      <c r="AO32" s="50">
        <f>IF('Resultado da inspeção'!N32='Resultado da inspeção'!$W$3,0%,Ranking!Z32)</f>
        <v>0.04</v>
      </c>
      <c r="AP32" s="50">
        <f>IF('Resultado da inspeção'!O32='Resultado da inspeção'!$W$3,0%,Ranking!AA32)</f>
        <v>0.06</v>
      </c>
      <c r="AQ32" s="50">
        <f>IF('Resultado da inspeção'!P32='Resultado da inspeção'!$W$3,0%,Ranking!AB32)</f>
        <v>0.08</v>
      </c>
      <c r="AR32" s="50">
        <f>IF('Resultado da inspeção'!Q32='Resultado da inspeção'!$W$3,0%,Ranking!AC32)</f>
        <v>0.05</v>
      </c>
      <c r="AS32" s="50">
        <f>IF('Resultado da inspeção'!R32='Resultado da inspeção'!$W$3,0%,Ranking!AD32)</f>
        <v>0.02</v>
      </c>
      <c r="AT32" s="50">
        <f>IF('Resultado da inspeção'!S32='Resultado da inspeção'!$W$3,0%,Ranking!AE32)</f>
        <v>0.02</v>
      </c>
      <c r="AU32" s="49">
        <f t="shared" si="18"/>
        <v>1</v>
      </c>
    </row>
    <row r="33" spans="2:47" x14ac:dyDescent="0.25">
      <c r="B33" s="48">
        <f>IF('Resultado da inspeção'!F33='Resultado da inspeção'!$W$4,0%,Ranking!B$5)</f>
        <v>0.02</v>
      </c>
      <c r="C33" s="48">
        <f>IF('Resultado da inspeção'!G33='Resultado da inspeção'!$W$4,0%,Ranking!C$5)</f>
        <v>0.03</v>
      </c>
      <c r="D33" s="48">
        <f>IF('Resultado da inspeção'!H33='Resultado da inspeção'!$W$4,0%,Ranking!D$5)</f>
        <v>0.03</v>
      </c>
      <c r="E33" s="48">
        <f>IF('Resultado da inspeção'!I33='Resultado da inspeção'!$W$4,0%,Ranking!E$5)</f>
        <v>0.1</v>
      </c>
      <c r="F33" s="48">
        <f>IF('Resultado da inspeção'!J33='Resultado da inspeção'!$W$4,0%,Ranking!F$5)</f>
        <v>0.21</v>
      </c>
      <c r="G33" s="48">
        <f>IF('Resultado da inspeção'!K33='Resultado da inspeção'!$W$4,0%,Ranking!G$5)</f>
        <v>0.05</v>
      </c>
      <c r="H33" s="48">
        <f>IF('Resultado da inspeção'!L33='Resultado da inspeção'!$W$4,0%,Ranking!H$5)</f>
        <v>0.24</v>
      </c>
      <c r="I33" s="48">
        <f>IF('Resultado da inspeção'!M33='Resultado da inspeção'!$W$4,0%,Ranking!I$5)</f>
        <v>0.05</v>
      </c>
      <c r="J33" s="48">
        <f>IF('Resultado da inspeção'!N33='Resultado da inspeção'!$W$4,0%,Ranking!J$5)</f>
        <v>0.04</v>
      </c>
      <c r="K33" s="48">
        <f>IF('Resultado da inspeção'!O33='Resultado da inspeção'!$W$4,0%,Ranking!K$5)</f>
        <v>0.06</v>
      </c>
      <c r="L33" s="48">
        <f>IF('Resultado da inspeção'!P33='Resultado da inspeção'!$W$4,0%,Ranking!L$5)</f>
        <v>0.08</v>
      </c>
      <c r="M33" s="48">
        <f>IF('Resultado da inspeção'!Q33='Resultado da inspeção'!$W$4,0%,Ranking!M$5)</f>
        <v>0.05</v>
      </c>
      <c r="N33" s="48">
        <f>IF('Resultado da inspeção'!R33='Resultado da inspeção'!$W$4,0%,Ranking!N$5)</f>
        <v>0.02</v>
      </c>
      <c r="O33" s="48">
        <f>IF('Resultado da inspeção'!S33='Resultado da inspeção'!$W$4,0%,Ranking!O$5)</f>
        <v>0.02</v>
      </c>
      <c r="P33" s="47">
        <f t="shared" si="0"/>
        <v>1</v>
      </c>
      <c r="Q33" s="49">
        <f t="shared" si="16"/>
        <v>0</v>
      </c>
      <c r="R33" s="50">
        <f t="shared" si="1"/>
        <v>0.02</v>
      </c>
      <c r="S33" s="50">
        <f t="shared" si="2"/>
        <v>0.03</v>
      </c>
      <c r="T33" s="50">
        <f t="shared" si="3"/>
        <v>0.03</v>
      </c>
      <c r="U33" s="50">
        <f t="shared" si="4"/>
        <v>0.1</v>
      </c>
      <c r="V33" s="50">
        <f t="shared" si="5"/>
        <v>0.21</v>
      </c>
      <c r="W33" s="50">
        <f t="shared" si="6"/>
        <v>0.05</v>
      </c>
      <c r="X33" s="50">
        <f t="shared" si="7"/>
        <v>0.24</v>
      </c>
      <c r="Y33" s="50">
        <f t="shared" si="8"/>
        <v>0.05</v>
      </c>
      <c r="Z33" s="50">
        <f t="shared" si="9"/>
        <v>0.04</v>
      </c>
      <c r="AA33" s="50">
        <f t="shared" si="10"/>
        <v>0.06</v>
      </c>
      <c r="AB33" s="50">
        <f t="shared" si="11"/>
        <v>0.08</v>
      </c>
      <c r="AC33" s="50">
        <f t="shared" si="12"/>
        <v>0.05</v>
      </c>
      <c r="AD33" s="50">
        <f t="shared" si="13"/>
        <v>0.02</v>
      </c>
      <c r="AE33" s="50">
        <f t="shared" si="14"/>
        <v>0.02</v>
      </c>
      <c r="AF33" s="47">
        <f t="shared" si="17"/>
        <v>1</v>
      </c>
      <c r="AG33" s="50">
        <f>IF('Resultado da inspeção'!F33='Resultado da inspeção'!$W$3,0%,Ranking!R33)</f>
        <v>0.02</v>
      </c>
      <c r="AH33" s="50">
        <f>IF('Resultado da inspeção'!G33='Resultado da inspeção'!$W$3,0%,Ranking!S33)</f>
        <v>0.03</v>
      </c>
      <c r="AI33" s="50">
        <f>IF('Resultado da inspeção'!H33='Resultado da inspeção'!$W$3,0%,Ranking!T33)</f>
        <v>0.03</v>
      </c>
      <c r="AJ33" s="50">
        <f>IF('Resultado da inspeção'!I33='Resultado da inspeção'!$W$3,0%,Ranking!U33)</f>
        <v>0.1</v>
      </c>
      <c r="AK33" s="50">
        <f>IF('Resultado da inspeção'!J33='Resultado da inspeção'!$W$3,0%,Ranking!V33)</f>
        <v>0.21</v>
      </c>
      <c r="AL33" s="50">
        <f>IF('Resultado da inspeção'!K33='Resultado da inspeção'!$W$3,0%,Ranking!W33)</f>
        <v>0.05</v>
      </c>
      <c r="AM33" s="50">
        <f>IF('Resultado da inspeção'!L33='Resultado da inspeção'!$W$3,0%,Ranking!X33)</f>
        <v>0.24</v>
      </c>
      <c r="AN33" s="50">
        <f>IF('Resultado da inspeção'!M33='Resultado da inspeção'!$W$3,0%,Ranking!Y33)</f>
        <v>0.05</v>
      </c>
      <c r="AO33" s="50">
        <f>IF('Resultado da inspeção'!N33='Resultado da inspeção'!$W$3,0%,Ranking!Z33)</f>
        <v>0.04</v>
      </c>
      <c r="AP33" s="50">
        <f>IF('Resultado da inspeção'!O33='Resultado da inspeção'!$W$3,0%,Ranking!AA33)</f>
        <v>0.06</v>
      </c>
      <c r="AQ33" s="50">
        <f>IF('Resultado da inspeção'!P33='Resultado da inspeção'!$W$3,0%,Ranking!AB33)</f>
        <v>0.08</v>
      </c>
      <c r="AR33" s="50">
        <f>IF('Resultado da inspeção'!Q33='Resultado da inspeção'!$W$3,0%,Ranking!AC33)</f>
        <v>0.05</v>
      </c>
      <c r="AS33" s="50">
        <f>IF('Resultado da inspeção'!R33='Resultado da inspeção'!$W$3,0%,Ranking!AD33)</f>
        <v>0.02</v>
      </c>
      <c r="AT33" s="50">
        <f>IF('Resultado da inspeção'!S33='Resultado da inspeção'!$W$3,0%,Ranking!AE33)</f>
        <v>0.02</v>
      </c>
      <c r="AU33" s="49">
        <f t="shared" si="18"/>
        <v>1</v>
      </c>
    </row>
    <row r="34" spans="2:47" x14ac:dyDescent="0.25">
      <c r="B34" s="48">
        <f>IF('Resultado da inspeção'!F34='Resultado da inspeção'!$W$4,0%,Ranking!B$5)</f>
        <v>0.02</v>
      </c>
      <c r="C34" s="48">
        <f>IF('Resultado da inspeção'!G34='Resultado da inspeção'!$W$4,0%,Ranking!C$5)</f>
        <v>0.03</v>
      </c>
      <c r="D34" s="48">
        <f>IF('Resultado da inspeção'!H34='Resultado da inspeção'!$W$4,0%,Ranking!D$5)</f>
        <v>0.03</v>
      </c>
      <c r="E34" s="48">
        <f>IF('Resultado da inspeção'!I34='Resultado da inspeção'!$W$4,0%,Ranking!E$5)</f>
        <v>0.1</v>
      </c>
      <c r="F34" s="48">
        <f>IF('Resultado da inspeção'!J34='Resultado da inspeção'!$W$4,0%,Ranking!F$5)</f>
        <v>0.21</v>
      </c>
      <c r="G34" s="48">
        <f>IF('Resultado da inspeção'!K34='Resultado da inspeção'!$W$4,0%,Ranking!G$5)</f>
        <v>0.05</v>
      </c>
      <c r="H34" s="48">
        <f>IF('Resultado da inspeção'!L34='Resultado da inspeção'!$W$4,0%,Ranking!H$5)</f>
        <v>0.24</v>
      </c>
      <c r="I34" s="48">
        <f>IF('Resultado da inspeção'!M34='Resultado da inspeção'!$W$4,0%,Ranking!I$5)</f>
        <v>0.05</v>
      </c>
      <c r="J34" s="48">
        <f>IF('Resultado da inspeção'!N34='Resultado da inspeção'!$W$4,0%,Ranking!J$5)</f>
        <v>0.04</v>
      </c>
      <c r="K34" s="48">
        <f>IF('Resultado da inspeção'!O34='Resultado da inspeção'!$W$4,0%,Ranking!K$5)</f>
        <v>0.06</v>
      </c>
      <c r="L34" s="48">
        <f>IF('Resultado da inspeção'!P34='Resultado da inspeção'!$W$4,0%,Ranking!L$5)</f>
        <v>0.08</v>
      </c>
      <c r="M34" s="48">
        <f>IF('Resultado da inspeção'!Q34='Resultado da inspeção'!$W$4,0%,Ranking!M$5)</f>
        <v>0.05</v>
      </c>
      <c r="N34" s="48">
        <f>IF('Resultado da inspeção'!R34='Resultado da inspeção'!$W$4,0%,Ranking!N$5)</f>
        <v>0.02</v>
      </c>
      <c r="O34" s="48">
        <f>IF('Resultado da inspeção'!S34='Resultado da inspeção'!$W$4,0%,Ranking!O$5)</f>
        <v>0.02</v>
      </c>
      <c r="P34" s="47">
        <f t="shared" si="0"/>
        <v>1</v>
      </c>
      <c r="Q34" s="49">
        <f t="shared" si="16"/>
        <v>0</v>
      </c>
      <c r="R34" s="50">
        <f t="shared" si="1"/>
        <v>0.02</v>
      </c>
      <c r="S34" s="50">
        <f t="shared" si="2"/>
        <v>0.03</v>
      </c>
      <c r="T34" s="50">
        <f t="shared" si="3"/>
        <v>0.03</v>
      </c>
      <c r="U34" s="50">
        <f t="shared" si="4"/>
        <v>0.1</v>
      </c>
      <c r="V34" s="50">
        <f t="shared" si="5"/>
        <v>0.21</v>
      </c>
      <c r="W34" s="50">
        <f t="shared" si="6"/>
        <v>0.05</v>
      </c>
      <c r="X34" s="50">
        <f t="shared" si="7"/>
        <v>0.24</v>
      </c>
      <c r="Y34" s="50">
        <f t="shared" si="8"/>
        <v>0.05</v>
      </c>
      <c r="Z34" s="50">
        <f t="shared" si="9"/>
        <v>0.04</v>
      </c>
      <c r="AA34" s="50">
        <f t="shared" si="10"/>
        <v>0.06</v>
      </c>
      <c r="AB34" s="50">
        <f t="shared" si="11"/>
        <v>0.08</v>
      </c>
      <c r="AC34" s="50">
        <f t="shared" si="12"/>
        <v>0.05</v>
      </c>
      <c r="AD34" s="50">
        <f t="shared" si="13"/>
        <v>0.02</v>
      </c>
      <c r="AE34" s="50">
        <f t="shared" si="14"/>
        <v>0.02</v>
      </c>
      <c r="AF34" s="47">
        <f t="shared" si="17"/>
        <v>1</v>
      </c>
      <c r="AG34" s="50">
        <f>IF('Resultado da inspeção'!F34='Resultado da inspeção'!$W$3,0%,Ranking!R34)</f>
        <v>0.02</v>
      </c>
      <c r="AH34" s="50">
        <f>IF('Resultado da inspeção'!G34='Resultado da inspeção'!$W$3,0%,Ranking!S34)</f>
        <v>0.03</v>
      </c>
      <c r="AI34" s="50">
        <f>IF('Resultado da inspeção'!H34='Resultado da inspeção'!$W$3,0%,Ranking!T34)</f>
        <v>0.03</v>
      </c>
      <c r="AJ34" s="50">
        <f>IF('Resultado da inspeção'!I34='Resultado da inspeção'!$W$3,0%,Ranking!U34)</f>
        <v>0.1</v>
      </c>
      <c r="AK34" s="50">
        <f>IF('Resultado da inspeção'!J34='Resultado da inspeção'!$W$3,0%,Ranking!V34)</f>
        <v>0.21</v>
      </c>
      <c r="AL34" s="50">
        <f>IF('Resultado da inspeção'!K34='Resultado da inspeção'!$W$3,0%,Ranking!W34)</f>
        <v>0.05</v>
      </c>
      <c r="AM34" s="50">
        <f>IF('Resultado da inspeção'!L34='Resultado da inspeção'!$W$3,0%,Ranking!X34)</f>
        <v>0.24</v>
      </c>
      <c r="AN34" s="50">
        <f>IF('Resultado da inspeção'!M34='Resultado da inspeção'!$W$3,0%,Ranking!Y34)</f>
        <v>0.05</v>
      </c>
      <c r="AO34" s="50">
        <f>IF('Resultado da inspeção'!N34='Resultado da inspeção'!$W$3,0%,Ranking!Z34)</f>
        <v>0.04</v>
      </c>
      <c r="AP34" s="50">
        <f>IF('Resultado da inspeção'!O34='Resultado da inspeção'!$W$3,0%,Ranking!AA34)</f>
        <v>0.06</v>
      </c>
      <c r="AQ34" s="50">
        <f>IF('Resultado da inspeção'!P34='Resultado da inspeção'!$W$3,0%,Ranking!AB34)</f>
        <v>0.08</v>
      </c>
      <c r="AR34" s="50">
        <f>IF('Resultado da inspeção'!Q34='Resultado da inspeção'!$W$3,0%,Ranking!AC34)</f>
        <v>0.05</v>
      </c>
      <c r="AS34" s="50">
        <f>IF('Resultado da inspeção'!R34='Resultado da inspeção'!$W$3,0%,Ranking!AD34)</f>
        <v>0.02</v>
      </c>
      <c r="AT34" s="50">
        <f>IF('Resultado da inspeção'!S34='Resultado da inspeção'!$W$3,0%,Ranking!AE34)</f>
        <v>0.02</v>
      </c>
      <c r="AU34" s="49">
        <f t="shared" si="18"/>
        <v>1</v>
      </c>
    </row>
    <row r="35" spans="2:47" x14ac:dyDescent="0.25">
      <c r="B35" s="48">
        <f>IF('Resultado da inspeção'!F35='Resultado da inspeção'!$W$4,0%,Ranking!B$5)</f>
        <v>0.02</v>
      </c>
      <c r="C35" s="48">
        <f>IF('Resultado da inspeção'!G35='Resultado da inspeção'!$W$4,0%,Ranking!C$5)</f>
        <v>0.03</v>
      </c>
      <c r="D35" s="48">
        <f>IF('Resultado da inspeção'!H35='Resultado da inspeção'!$W$4,0%,Ranking!D$5)</f>
        <v>0.03</v>
      </c>
      <c r="E35" s="48">
        <f>IF('Resultado da inspeção'!I35='Resultado da inspeção'!$W$4,0%,Ranking!E$5)</f>
        <v>0.1</v>
      </c>
      <c r="F35" s="48">
        <f>IF('Resultado da inspeção'!J35='Resultado da inspeção'!$W$4,0%,Ranking!F$5)</f>
        <v>0.21</v>
      </c>
      <c r="G35" s="48">
        <f>IF('Resultado da inspeção'!K35='Resultado da inspeção'!$W$4,0%,Ranking!G$5)</f>
        <v>0.05</v>
      </c>
      <c r="H35" s="48">
        <f>IF('Resultado da inspeção'!L35='Resultado da inspeção'!$W$4,0%,Ranking!H$5)</f>
        <v>0.24</v>
      </c>
      <c r="I35" s="48">
        <f>IF('Resultado da inspeção'!M35='Resultado da inspeção'!$W$4,0%,Ranking!I$5)</f>
        <v>0.05</v>
      </c>
      <c r="J35" s="48">
        <f>IF('Resultado da inspeção'!N35='Resultado da inspeção'!$W$4,0%,Ranking!J$5)</f>
        <v>0.04</v>
      </c>
      <c r="K35" s="48">
        <f>IF('Resultado da inspeção'!O35='Resultado da inspeção'!$W$4,0%,Ranking!K$5)</f>
        <v>0.06</v>
      </c>
      <c r="L35" s="48">
        <f>IF('Resultado da inspeção'!P35='Resultado da inspeção'!$W$4,0%,Ranking!L$5)</f>
        <v>0.08</v>
      </c>
      <c r="M35" s="48">
        <f>IF('Resultado da inspeção'!Q35='Resultado da inspeção'!$W$4,0%,Ranking!M$5)</f>
        <v>0.05</v>
      </c>
      <c r="N35" s="48">
        <f>IF('Resultado da inspeção'!R35='Resultado da inspeção'!$W$4,0%,Ranking!N$5)</f>
        <v>0.02</v>
      </c>
      <c r="O35" s="48">
        <f>IF('Resultado da inspeção'!S35='Resultado da inspeção'!$W$4,0%,Ranking!O$5)</f>
        <v>0.02</v>
      </c>
      <c r="P35" s="47">
        <f t="shared" si="0"/>
        <v>1</v>
      </c>
      <c r="Q35" s="49">
        <f t="shared" si="16"/>
        <v>0</v>
      </c>
      <c r="R35" s="50">
        <f t="shared" si="1"/>
        <v>0.02</v>
      </c>
      <c r="S35" s="50">
        <f t="shared" si="2"/>
        <v>0.03</v>
      </c>
      <c r="T35" s="50">
        <f t="shared" si="3"/>
        <v>0.03</v>
      </c>
      <c r="U35" s="50">
        <f t="shared" si="4"/>
        <v>0.1</v>
      </c>
      <c r="V35" s="50">
        <f t="shared" si="5"/>
        <v>0.21</v>
      </c>
      <c r="W35" s="50">
        <f t="shared" si="6"/>
        <v>0.05</v>
      </c>
      <c r="X35" s="50">
        <f t="shared" si="7"/>
        <v>0.24</v>
      </c>
      <c r="Y35" s="50">
        <f t="shared" si="8"/>
        <v>0.05</v>
      </c>
      <c r="Z35" s="50">
        <f t="shared" si="9"/>
        <v>0.04</v>
      </c>
      <c r="AA35" s="50">
        <f t="shared" si="10"/>
        <v>0.06</v>
      </c>
      <c r="AB35" s="50">
        <f t="shared" si="11"/>
        <v>0.08</v>
      </c>
      <c r="AC35" s="50">
        <f t="shared" si="12"/>
        <v>0.05</v>
      </c>
      <c r="AD35" s="50">
        <f t="shared" si="13"/>
        <v>0.02</v>
      </c>
      <c r="AE35" s="50">
        <f t="shared" si="14"/>
        <v>0.02</v>
      </c>
      <c r="AF35" s="47">
        <f t="shared" si="17"/>
        <v>1</v>
      </c>
      <c r="AG35" s="50">
        <f>IF('Resultado da inspeção'!F35='Resultado da inspeção'!$W$3,0%,Ranking!R35)</f>
        <v>0.02</v>
      </c>
      <c r="AH35" s="50">
        <f>IF('Resultado da inspeção'!G35='Resultado da inspeção'!$W$3,0%,Ranking!S35)</f>
        <v>0.03</v>
      </c>
      <c r="AI35" s="50">
        <f>IF('Resultado da inspeção'!H35='Resultado da inspeção'!$W$3,0%,Ranking!T35)</f>
        <v>0.03</v>
      </c>
      <c r="AJ35" s="50">
        <f>IF('Resultado da inspeção'!I35='Resultado da inspeção'!$W$3,0%,Ranking!U35)</f>
        <v>0.1</v>
      </c>
      <c r="AK35" s="50">
        <f>IF('Resultado da inspeção'!J35='Resultado da inspeção'!$W$3,0%,Ranking!V35)</f>
        <v>0.21</v>
      </c>
      <c r="AL35" s="50">
        <f>IF('Resultado da inspeção'!K35='Resultado da inspeção'!$W$3,0%,Ranking!W35)</f>
        <v>0.05</v>
      </c>
      <c r="AM35" s="50">
        <f>IF('Resultado da inspeção'!L35='Resultado da inspeção'!$W$3,0%,Ranking!X35)</f>
        <v>0.24</v>
      </c>
      <c r="AN35" s="50">
        <f>IF('Resultado da inspeção'!M35='Resultado da inspeção'!$W$3,0%,Ranking!Y35)</f>
        <v>0.05</v>
      </c>
      <c r="AO35" s="50">
        <f>IF('Resultado da inspeção'!N35='Resultado da inspeção'!$W$3,0%,Ranking!Z35)</f>
        <v>0.04</v>
      </c>
      <c r="AP35" s="50">
        <f>IF('Resultado da inspeção'!O35='Resultado da inspeção'!$W$3,0%,Ranking!AA35)</f>
        <v>0.06</v>
      </c>
      <c r="AQ35" s="50">
        <f>IF('Resultado da inspeção'!P35='Resultado da inspeção'!$W$3,0%,Ranking!AB35)</f>
        <v>0.08</v>
      </c>
      <c r="AR35" s="50">
        <f>IF('Resultado da inspeção'!Q35='Resultado da inspeção'!$W$3,0%,Ranking!AC35)</f>
        <v>0.05</v>
      </c>
      <c r="AS35" s="50">
        <f>IF('Resultado da inspeção'!R35='Resultado da inspeção'!$W$3,0%,Ranking!AD35)</f>
        <v>0.02</v>
      </c>
      <c r="AT35" s="50">
        <f>IF('Resultado da inspeção'!S35='Resultado da inspeção'!$W$3,0%,Ranking!AE35)</f>
        <v>0.02</v>
      </c>
      <c r="AU35" s="49">
        <f t="shared" si="18"/>
        <v>1</v>
      </c>
    </row>
    <row r="36" spans="2:47" x14ac:dyDescent="0.25">
      <c r="B36" s="48">
        <f>IF('Resultado da inspeção'!F36='Resultado da inspeção'!$W$4,0%,Ranking!B$5)</f>
        <v>0.02</v>
      </c>
      <c r="C36" s="48">
        <f>IF('Resultado da inspeção'!G36='Resultado da inspeção'!$W$4,0%,Ranking!C$5)</f>
        <v>0.03</v>
      </c>
      <c r="D36" s="48">
        <f>IF('Resultado da inspeção'!H36='Resultado da inspeção'!$W$4,0%,Ranking!D$5)</f>
        <v>0.03</v>
      </c>
      <c r="E36" s="48">
        <f>IF('Resultado da inspeção'!I36='Resultado da inspeção'!$W$4,0%,Ranking!E$5)</f>
        <v>0.1</v>
      </c>
      <c r="F36" s="48">
        <f>IF('Resultado da inspeção'!J36='Resultado da inspeção'!$W$4,0%,Ranking!F$5)</f>
        <v>0.21</v>
      </c>
      <c r="G36" s="48">
        <f>IF('Resultado da inspeção'!K36='Resultado da inspeção'!$W$4,0%,Ranking!G$5)</f>
        <v>0.05</v>
      </c>
      <c r="H36" s="48">
        <f>IF('Resultado da inspeção'!L36='Resultado da inspeção'!$W$4,0%,Ranking!H$5)</f>
        <v>0.24</v>
      </c>
      <c r="I36" s="48">
        <f>IF('Resultado da inspeção'!M36='Resultado da inspeção'!$W$4,0%,Ranking!I$5)</f>
        <v>0.05</v>
      </c>
      <c r="J36" s="48">
        <f>IF('Resultado da inspeção'!N36='Resultado da inspeção'!$W$4,0%,Ranking!J$5)</f>
        <v>0.04</v>
      </c>
      <c r="K36" s="48">
        <f>IF('Resultado da inspeção'!O36='Resultado da inspeção'!$W$4,0%,Ranking!K$5)</f>
        <v>0.06</v>
      </c>
      <c r="L36" s="48">
        <f>IF('Resultado da inspeção'!P36='Resultado da inspeção'!$W$4,0%,Ranking!L$5)</f>
        <v>0.08</v>
      </c>
      <c r="M36" s="48">
        <f>IF('Resultado da inspeção'!Q36='Resultado da inspeção'!$W$4,0%,Ranking!M$5)</f>
        <v>0.05</v>
      </c>
      <c r="N36" s="48">
        <f>IF('Resultado da inspeção'!R36='Resultado da inspeção'!$W$4,0%,Ranking!N$5)</f>
        <v>0.02</v>
      </c>
      <c r="O36" s="48">
        <f>IF('Resultado da inspeção'!S36='Resultado da inspeção'!$W$4,0%,Ranking!O$5)</f>
        <v>0.02</v>
      </c>
      <c r="P36" s="47">
        <f t="shared" si="0"/>
        <v>1</v>
      </c>
      <c r="Q36" s="49">
        <f t="shared" si="16"/>
        <v>0</v>
      </c>
      <c r="R36" s="50">
        <f t="shared" si="1"/>
        <v>0.02</v>
      </c>
      <c r="S36" s="50">
        <f t="shared" si="2"/>
        <v>0.03</v>
      </c>
      <c r="T36" s="50">
        <f t="shared" si="3"/>
        <v>0.03</v>
      </c>
      <c r="U36" s="50">
        <f t="shared" si="4"/>
        <v>0.1</v>
      </c>
      <c r="V36" s="50">
        <f t="shared" si="5"/>
        <v>0.21</v>
      </c>
      <c r="W36" s="50">
        <f t="shared" si="6"/>
        <v>0.05</v>
      </c>
      <c r="X36" s="50">
        <f t="shared" si="7"/>
        <v>0.24</v>
      </c>
      <c r="Y36" s="50">
        <f t="shared" si="8"/>
        <v>0.05</v>
      </c>
      <c r="Z36" s="50">
        <f t="shared" si="9"/>
        <v>0.04</v>
      </c>
      <c r="AA36" s="50">
        <f t="shared" si="10"/>
        <v>0.06</v>
      </c>
      <c r="AB36" s="50">
        <f t="shared" si="11"/>
        <v>0.08</v>
      </c>
      <c r="AC36" s="50">
        <f t="shared" si="12"/>
        <v>0.05</v>
      </c>
      <c r="AD36" s="50">
        <f t="shared" si="13"/>
        <v>0.02</v>
      </c>
      <c r="AE36" s="50">
        <f t="shared" si="14"/>
        <v>0.02</v>
      </c>
      <c r="AF36" s="47">
        <f t="shared" si="17"/>
        <v>1</v>
      </c>
      <c r="AG36" s="50">
        <f>IF('Resultado da inspeção'!F36='Resultado da inspeção'!$W$3,0%,Ranking!R36)</f>
        <v>0.02</v>
      </c>
      <c r="AH36" s="50">
        <f>IF('Resultado da inspeção'!G36='Resultado da inspeção'!$W$3,0%,Ranking!S36)</f>
        <v>0.03</v>
      </c>
      <c r="AI36" s="50">
        <f>IF('Resultado da inspeção'!H36='Resultado da inspeção'!$W$3,0%,Ranking!T36)</f>
        <v>0.03</v>
      </c>
      <c r="AJ36" s="50">
        <f>IF('Resultado da inspeção'!I36='Resultado da inspeção'!$W$3,0%,Ranking!U36)</f>
        <v>0.1</v>
      </c>
      <c r="AK36" s="50">
        <f>IF('Resultado da inspeção'!J36='Resultado da inspeção'!$W$3,0%,Ranking!V36)</f>
        <v>0.21</v>
      </c>
      <c r="AL36" s="50">
        <f>IF('Resultado da inspeção'!K36='Resultado da inspeção'!$W$3,0%,Ranking!W36)</f>
        <v>0.05</v>
      </c>
      <c r="AM36" s="50">
        <f>IF('Resultado da inspeção'!L36='Resultado da inspeção'!$W$3,0%,Ranking!X36)</f>
        <v>0.24</v>
      </c>
      <c r="AN36" s="50">
        <f>IF('Resultado da inspeção'!M36='Resultado da inspeção'!$W$3,0%,Ranking!Y36)</f>
        <v>0.05</v>
      </c>
      <c r="AO36" s="50">
        <f>IF('Resultado da inspeção'!N36='Resultado da inspeção'!$W$3,0%,Ranking!Z36)</f>
        <v>0.04</v>
      </c>
      <c r="AP36" s="50">
        <f>IF('Resultado da inspeção'!O36='Resultado da inspeção'!$W$3,0%,Ranking!AA36)</f>
        <v>0.06</v>
      </c>
      <c r="AQ36" s="50">
        <f>IF('Resultado da inspeção'!P36='Resultado da inspeção'!$W$3,0%,Ranking!AB36)</f>
        <v>0.08</v>
      </c>
      <c r="AR36" s="50">
        <f>IF('Resultado da inspeção'!Q36='Resultado da inspeção'!$W$3,0%,Ranking!AC36)</f>
        <v>0.05</v>
      </c>
      <c r="AS36" s="50">
        <f>IF('Resultado da inspeção'!R36='Resultado da inspeção'!$W$3,0%,Ranking!AD36)</f>
        <v>0.02</v>
      </c>
      <c r="AT36" s="50">
        <f>IF('Resultado da inspeção'!S36='Resultado da inspeção'!$W$3,0%,Ranking!AE36)</f>
        <v>0.02</v>
      </c>
      <c r="AU36" s="49">
        <f t="shared" si="18"/>
        <v>1</v>
      </c>
    </row>
    <row r="37" spans="2:47" x14ac:dyDescent="0.25">
      <c r="B37" s="48">
        <f>IF('Resultado da inspeção'!F37='Resultado da inspeção'!$W$4,0%,Ranking!B$5)</f>
        <v>0.02</v>
      </c>
      <c r="C37" s="48">
        <f>IF('Resultado da inspeção'!G37='Resultado da inspeção'!$W$4,0%,Ranking!C$5)</f>
        <v>0.03</v>
      </c>
      <c r="D37" s="48">
        <f>IF('Resultado da inspeção'!H37='Resultado da inspeção'!$W$4,0%,Ranking!D$5)</f>
        <v>0.03</v>
      </c>
      <c r="E37" s="48">
        <f>IF('Resultado da inspeção'!I37='Resultado da inspeção'!$W$4,0%,Ranking!E$5)</f>
        <v>0.1</v>
      </c>
      <c r="F37" s="48">
        <f>IF('Resultado da inspeção'!J37='Resultado da inspeção'!$W$4,0%,Ranking!F$5)</f>
        <v>0.21</v>
      </c>
      <c r="G37" s="48">
        <f>IF('Resultado da inspeção'!K37='Resultado da inspeção'!$W$4,0%,Ranking!G$5)</f>
        <v>0.05</v>
      </c>
      <c r="H37" s="48">
        <f>IF('Resultado da inspeção'!L37='Resultado da inspeção'!$W$4,0%,Ranking!H$5)</f>
        <v>0.24</v>
      </c>
      <c r="I37" s="48">
        <f>IF('Resultado da inspeção'!M37='Resultado da inspeção'!$W$4,0%,Ranking!I$5)</f>
        <v>0.05</v>
      </c>
      <c r="J37" s="48">
        <f>IF('Resultado da inspeção'!N37='Resultado da inspeção'!$W$4,0%,Ranking!J$5)</f>
        <v>0.04</v>
      </c>
      <c r="K37" s="48">
        <f>IF('Resultado da inspeção'!O37='Resultado da inspeção'!$W$4,0%,Ranking!K$5)</f>
        <v>0.06</v>
      </c>
      <c r="L37" s="48">
        <f>IF('Resultado da inspeção'!P37='Resultado da inspeção'!$W$4,0%,Ranking!L$5)</f>
        <v>0.08</v>
      </c>
      <c r="M37" s="48">
        <f>IF('Resultado da inspeção'!Q37='Resultado da inspeção'!$W$4,0%,Ranking!M$5)</f>
        <v>0.05</v>
      </c>
      <c r="N37" s="48">
        <f>IF('Resultado da inspeção'!R37='Resultado da inspeção'!$W$4,0%,Ranking!N$5)</f>
        <v>0.02</v>
      </c>
      <c r="O37" s="48">
        <f>IF('Resultado da inspeção'!S37='Resultado da inspeção'!$W$4,0%,Ranking!O$5)</f>
        <v>0.02</v>
      </c>
      <c r="P37" s="47">
        <f t="shared" si="0"/>
        <v>1</v>
      </c>
      <c r="Q37" s="49">
        <f t="shared" si="16"/>
        <v>0</v>
      </c>
      <c r="R37" s="50">
        <f t="shared" si="1"/>
        <v>0.02</v>
      </c>
      <c r="S37" s="50">
        <f t="shared" si="2"/>
        <v>0.03</v>
      </c>
      <c r="T37" s="50">
        <f t="shared" si="3"/>
        <v>0.03</v>
      </c>
      <c r="U37" s="50">
        <f t="shared" si="4"/>
        <v>0.1</v>
      </c>
      <c r="V37" s="50">
        <f t="shared" si="5"/>
        <v>0.21</v>
      </c>
      <c r="W37" s="50">
        <f t="shared" si="6"/>
        <v>0.05</v>
      </c>
      <c r="X37" s="50">
        <f t="shared" si="7"/>
        <v>0.24</v>
      </c>
      <c r="Y37" s="50">
        <f t="shared" si="8"/>
        <v>0.05</v>
      </c>
      <c r="Z37" s="50">
        <f t="shared" si="9"/>
        <v>0.04</v>
      </c>
      <c r="AA37" s="50">
        <f t="shared" si="10"/>
        <v>0.06</v>
      </c>
      <c r="AB37" s="50">
        <f t="shared" si="11"/>
        <v>0.08</v>
      </c>
      <c r="AC37" s="50">
        <f t="shared" si="12"/>
        <v>0.05</v>
      </c>
      <c r="AD37" s="50">
        <f t="shared" si="13"/>
        <v>0.02</v>
      </c>
      <c r="AE37" s="50">
        <f t="shared" si="14"/>
        <v>0.02</v>
      </c>
      <c r="AF37" s="47">
        <f t="shared" si="17"/>
        <v>1</v>
      </c>
      <c r="AG37" s="50">
        <f>IF('Resultado da inspeção'!F37='Resultado da inspeção'!$W$3,0%,Ranking!R37)</f>
        <v>0.02</v>
      </c>
      <c r="AH37" s="50">
        <f>IF('Resultado da inspeção'!G37='Resultado da inspeção'!$W$3,0%,Ranking!S37)</f>
        <v>0.03</v>
      </c>
      <c r="AI37" s="50">
        <f>IF('Resultado da inspeção'!H37='Resultado da inspeção'!$W$3,0%,Ranking!T37)</f>
        <v>0.03</v>
      </c>
      <c r="AJ37" s="50">
        <f>IF('Resultado da inspeção'!I37='Resultado da inspeção'!$W$3,0%,Ranking!U37)</f>
        <v>0.1</v>
      </c>
      <c r="AK37" s="50">
        <f>IF('Resultado da inspeção'!J37='Resultado da inspeção'!$W$3,0%,Ranking!V37)</f>
        <v>0.21</v>
      </c>
      <c r="AL37" s="50">
        <f>IF('Resultado da inspeção'!K37='Resultado da inspeção'!$W$3,0%,Ranking!W37)</f>
        <v>0.05</v>
      </c>
      <c r="AM37" s="50">
        <f>IF('Resultado da inspeção'!L37='Resultado da inspeção'!$W$3,0%,Ranking!X37)</f>
        <v>0.24</v>
      </c>
      <c r="AN37" s="50">
        <f>IF('Resultado da inspeção'!M37='Resultado da inspeção'!$W$3,0%,Ranking!Y37)</f>
        <v>0.05</v>
      </c>
      <c r="AO37" s="50">
        <f>IF('Resultado da inspeção'!N37='Resultado da inspeção'!$W$3,0%,Ranking!Z37)</f>
        <v>0.04</v>
      </c>
      <c r="AP37" s="50">
        <f>IF('Resultado da inspeção'!O37='Resultado da inspeção'!$W$3,0%,Ranking!AA37)</f>
        <v>0.06</v>
      </c>
      <c r="AQ37" s="50">
        <f>IF('Resultado da inspeção'!P37='Resultado da inspeção'!$W$3,0%,Ranking!AB37)</f>
        <v>0.08</v>
      </c>
      <c r="AR37" s="50">
        <f>IF('Resultado da inspeção'!Q37='Resultado da inspeção'!$W$3,0%,Ranking!AC37)</f>
        <v>0.05</v>
      </c>
      <c r="AS37" s="50">
        <f>IF('Resultado da inspeção'!R37='Resultado da inspeção'!$W$3,0%,Ranking!AD37)</f>
        <v>0.02</v>
      </c>
      <c r="AT37" s="50">
        <f>IF('Resultado da inspeção'!S37='Resultado da inspeção'!$W$3,0%,Ranking!AE37)</f>
        <v>0.02</v>
      </c>
      <c r="AU37" s="49">
        <f t="shared" si="18"/>
        <v>1</v>
      </c>
    </row>
    <row r="38" spans="2:47" x14ac:dyDescent="0.25">
      <c r="B38" s="48">
        <f>IF('Resultado da inspeção'!F38='Resultado da inspeção'!$W$4,0%,Ranking!B$5)</f>
        <v>0.02</v>
      </c>
      <c r="C38" s="48">
        <f>IF('Resultado da inspeção'!G38='Resultado da inspeção'!$W$4,0%,Ranking!C$5)</f>
        <v>0.03</v>
      </c>
      <c r="D38" s="48">
        <f>IF('Resultado da inspeção'!H38='Resultado da inspeção'!$W$4,0%,Ranking!D$5)</f>
        <v>0.03</v>
      </c>
      <c r="E38" s="48">
        <f>IF('Resultado da inspeção'!I38='Resultado da inspeção'!$W$4,0%,Ranking!E$5)</f>
        <v>0.1</v>
      </c>
      <c r="F38" s="48">
        <f>IF('Resultado da inspeção'!J38='Resultado da inspeção'!$W$4,0%,Ranking!F$5)</f>
        <v>0.21</v>
      </c>
      <c r="G38" s="48">
        <f>IF('Resultado da inspeção'!K38='Resultado da inspeção'!$W$4,0%,Ranking!G$5)</f>
        <v>0.05</v>
      </c>
      <c r="H38" s="48">
        <f>IF('Resultado da inspeção'!L38='Resultado da inspeção'!$W$4,0%,Ranking!H$5)</f>
        <v>0.24</v>
      </c>
      <c r="I38" s="48">
        <f>IF('Resultado da inspeção'!M38='Resultado da inspeção'!$W$4,0%,Ranking!I$5)</f>
        <v>0.05</v>
      </c>
      <c r="J38" s="48">
        <f>IF('Resultado da inspeção'!N38='Resultado da inspeção'!$W$4,0%,Ranking!J$5)</f>
        <v>0.04</v>
      </c>
      <c r="K38" s="48">
        <f>IF('Resultado da inspeção'!O38='Resultado da inspeção'!$W$4,0%,Ranking!K$5)</f>
        <v>0.06</v>
      </c>
      <c r="L38" s="48">
        <f>IF('Resultado da inspeção'!P38='Resultado da inspeção'!$W$4,0%,Ranking!L$5)</f>
        <v>0.08</v>
      </c>
      <c r="M38" s="48">
        <f>IF('Resultado da inspeção'!Q38='Resultado da inspeção'!$W$4,0%,Ranking!M$5)</f>
        <v>0.05</v>
      </c>
      <c r="N38" s="48">
        <f>IF('Resultado da inspeção'!R38='Resultado da inspeção'!$W$4,0%,Ranking!N$5)</f>
        <v>0.02</v>
      </c>
      <c r="O38" s="48">
        <f>IF('Resultado da inspeção'!S38='Resultado da inspeção'!$W$4,0%,Ranking!O$5)</f>
        <v>0.02</v>
      </c>
      <c r="P38" s="47">
        <f t="shared" si="0"/>
        <v>1</v>
      </c>
      <c r="Q38" s="49">
        <f t="shared" si="16"/>
        <v>0</v>
      </c>
      <c r="R38" s="50">
        <f t="shared" si="1"/>
        <v>0.02</v>
      </c>
      <c r="S38" s="50">
        <f t="shared" si="2"/>
        <v>0.03</v>
      </c>
      <c r="T38" s="50">
        <f t="shared" si="3"/>
        <v>0.03</v>
      </c>
      <c r="U38" s="50">
        <f t="shared" si="4"/>
        <v>0.1</v>
      </c>
      <c r="V38" s="50">
        <f t="shared" si="5"/>
        <v>0.21</v>
      </c>
      <c r="W38" s="50">
        <f t="shared" si="6"/>
        <v>0.05</v>
      </c>
      <c r="X38" s="50">
        <f t="shared" si="7"/>
        <v>0.24</v>
      </c>
      <c r="Y38" s="50">
        <f t="shared" si="8"/>
        <v>0.05</v>
      </c>
      <c r="Z38" s="50">
        <f t="shared" si="9"/>
        <v>0.04</v>
      </c>
      <c r="AA38" s="50">
        <f t="shared" si="10"/>
        <v>0.06</v>
      </c>
      <c r="AB38" s="50">
        <f t="shared" si="11"/>
        <v>0.08</v>
      </c>
      <c r="AC38" s="50">
        <f t="shared" si="12"/>
        <v>0.05</v>
      </c>
      <c r="AD38" s="50">
        <f t="shared" si="13"/>
        <v>0.02</v>
      </c>
      <c r="AE38" s="50">
        <f t="shared" si="14"/>
        <v>0.02</v>
      </c>
      <c r="AF38" s="47">
        <f t="shared" si="17"/>
        <v>1</v>
      </c>
      <c r="AG38" s="50">
        <f>IF('Resultado da inspeção'!F38='Resultado da inspeção'!$W$3,0%,Ranking!R38)</f>
        <v>0.02</v>
      </c>
      <c r="AH38" s="50">
        <f>IF('Resultado da inspeção'!G38='Resultado da inspeção'!$W$3,0%,Ranking!S38)</f>
        <v>0.03</v>
      </c>
      <c r="AI38" s="50">
        <f>IF('Resultado da inspeção'!H38='Resultado da inspeção'!$W$3,0%,Ranking!T38)</f>
        <v>0.03</v>
      </c>
      <c r="AJ38" s="50">
        <f>IF('Resultado da inspeção'!I38='Resultado da inspeção'!$W$3,0%,Ranking!U38)</f>
        <v>0.1</v>
      </c>
      <c r="AK38" s="50">
        <f>IF('Resultado da inspeção'!J38='Resultado da inspeção'!$W$3,0%,Ranking!V38)</f>
        <v>0.21</v>
      </c>
      <c r="AL38" s="50">
        <f>IF('Resultado da inspeção'!K38='Resultado da inspeção'!$W$3,0%,Ranking!W38)</f>
        <v>0.05</v>
      </c>
      <c r="AM38" s="50">
        <f>IF('Resultado da inspeção'!L38='Resultado da inspeção'!$W$3,0%,Ranking!X38)</f>
        <v>0.24</v>
      </c>
      <c r="AN38" s="50">
        <f>IF('Resultado da inspeção'!M38='Resultado da inspeção'!$W$3,0%,Ranking!Y38)</f>
        <v>0.05</v>
      </c>
      <c r="AO38" s="50">
        <f>IF('Resultado da inspeção'!N38='Resultado da inspeção'!$W$3,0%,Ranking!Z38)</f>
        <v>0.04</v>
      </c>
      <c r="AP38" s="50">
        <f>IF('Resultado da inspeção'!O38='Resultado da inspeção'!$W$3,0%,Ranking!AA38)</f>
        <v>0.06</v>
      </c>
      <c r="AQ38" s="50">
        <f>IF('Resultado da inspeção'!P38='Resultado da inspeção'!$W$3,0%,Ranking!AB38)</f>
        <v>0.08</v>
      </c>
      <c r="AR38" s="50">
        <f>IF('Resultado da inspeção'!Q38='Resultado da inspeção'!$W$3,0%,Ranking!AC38)</f>
        <v>0.05</v>
      </c>
      <c r="AS38" s="50">
        <f>IF('Resultado da inspeção'!R38='Resultado da inspeção'!$W$3,0%,Ranking!AD38)</f>
        <v>0.02</v>
      </c>
      <c r="AT38" s="50">
        <f>IF('Resultado da inspeção'!S38='Resultado da inspeção'!$W$3,0%,Ranking!AE38)</f>
        <v>0.02</v>
      </c>
      <c r="AU38" s="49">
        <f t="shared" si="18"/>
        <v>1</v>
      </c>
    </row>
    <row r="39" spans="2:47" x14ac:dyDescent="0.25">
      <c r="B39" s="48">
        <f>IF('Resultado da inspeção'!F39='Resultado da inspeção'!$W$4,0%,Ranking!B$5)</f>
        <v>0.02</v>
      </c>
      <c r="C39" s="48">
        <f>IF('Resultado da inspeção'!G39='Resultado da inspeção'!$W$4,0%,Ranking!C$5)</f>
        <v>0.03</v>
      </c>
      <c r="D39" s="48">
        <f>IF('Resultado da inspeção'!H39='Resultado da inspeção'!$W$4,0%,Ranking!D$5)</f>
        <v>0.03</v>
      </c>
      <c r="E39" s="48">
        <f>IF('Resultado da inspeção'!I39='Resultado da inspeção'!$W$4,0%,Ranking!E$5)</f>
        <v>0.1</v>
      </c>
      <c r="F39" s="48">
        <f>IF('Resultado da inspeção'!J39='Resultado da inspeção'!$W$4,0%,Ranking!F$5)</f>
        <v>0.21</v>
      </c>
      <c r="G39" s="48">
        <f>IF('Resultado da inspeção'!K39='Resultado da inspeção'!$W$4,0%,Ranking!G$5)</f>
        <v>0.05</v>
      </c>
      <c r="H39" s="48">
        <f>IF('Resultado da inspeção'!L39='Resultado da inspeção'!$W$4,0%,Ranking!H$5)</f>
        <v>0.24</v>
      </c>
      <c r="I39" s="48">
        <f>IF('Resultado da inspeção'!M39='Resultado da inspeção'!$W$4,0%,Ranking!I$5)</f>
        <v>0.05</v>
      </c>
      <c r="J39" s="48">
        <f>IF('Resultado da inspeção'!N39='Resultado da inspeção'!$W$4,0%,Ranking!J$5)</f>
        <v>0.04</v>
      </c>
      <c r="K39" s="48">
        <f>IF('Resultado da inspeção'!O39='Resultado da inspeção'!$W$4,0%,Ranking!K$5)</f>
        <v>0.06</v>
      </c>
      <c r="L39" s="48">
        <f>IF('Resultado da inspeção'!P39='Resultado da inspeção'!$W$4,0%,Ranking!L$5)</f>
        <v>0.08</v>
      </c>
      <c r="M39" s="48">
        <f>IF('Resultado da inspeção'!Q39='Resultado da inspeção'!$W$4,0%,Ranking!M$5)</f>
        <v>0.05</v>
      </c>
      <c r="N39" s="48">
        <f>IF('Resultado da inspeção'!R39='Resultado da inspeção'!$W$4,0%,Ranking!N$5)</f>
        <v>0.02</v>
      </c>
      <c r="O39" s="48">
        <f>IF('Resultado da inspeção'!S39='Resultado da inspeção'!$W$4,0%,Ranking!O$5)</f>
        <v>0.02</v>
      </c>
      <c r="P39" s="47">
        <f t="shared" si="0"/>
        <v>1</v>
      </c>
      <c r="Q39" s="49">
        <f t="shared" si="16"/>
        <v>0</v>
      </c>
      <c r="R39" s="50">
        <f t="shared" si="1"/>
        <v>0.02</v>
      </c>
      <c r="S39" s="50">
        <f t="shared" si="2"/>
        <v>0.03</v>
      </c>
      <c r="T39" s="50">
        <f t="shared" si="3"/>
        <v>0.03</v>
      </c>
      <c r="U39" s="50">
        <f t="shared" si="4"/>
        <v>0.1</v>
      </c>
      <c r="V39" s="50">
        <f t="shared" si="5"/>
        <v>0.21</v>
      </c>
      <c r="W39" s="50">
        <f t="shared" si="6"/>
        <v>0.05</v>
      </c>
      <c r="X39" s="50">
        <f t="shared" si="7"/>
        <v>0.24</v>
      </c>
      <c r="Y39" s="50">
        <f t="shared" si="8"/>
        <v>0.05</v>
      </c>
      <c r="Z39" s="50">
        <f t="shared" si="9"/>
        <v>0.04</v>
      </c>
      <c r="AA39" s="50">
        <f t="shared" si="10"/>
        <v>0.06</v>
      </c>
      <c r="AB39" s="50">
        <f t="shared" si="11"/>
        <v>0.08</v>
      </c>
      <c r="AC39" s="50">
        <f t="shared" si="12"/>
        <v>0.05</v>
      </c>
      <c r="AD39" s="50">
        <f t="shared" si="13"/>
        <v>0.02</v>
      </c>
      <c r="AE39" s="50">
        <f t="shared" si="14"/>
        <v>0.02</v>
      </c>
      <c r="AF39" s="47">
        <f t="shared" si="17"/>
        <v>1</v>
      </c>
      <c r="AG39" s="50">
        <f>IF('Resultado da inspeção'!F39='Resultado da inspeção'!$W$3,0%,Ranking!R39)</f>
        <v>0.02</v>
      </c>
      <c r="AH39" s="50">
        <f>IF('Resultado da inspeção'!G39='Resultado da inspeção'!$W$3,0%,Ranking!S39)</f>
        <v>0.03</v>
      </c>
      <c r="AI39" s="50">
        <f>IF('Resultado da inspeção'!H39='Resultado da inspeção'!$W$3,0%,Ranking!T39)</f>
        <v>0.03</v>
      </c>
      <c r="AJ39" s="50">
        <f>IF('Resultado da inspeção'!I39='Resultado da inspeção'!$W$3,0%,Ranking!U39)</f>
        <v>0.1</v>
      </c>
      <c r="AK39" s="50">
        <f>IF('Resultado da inspeção'!J39='Resultado da inspeção'!$W$3,0%,Ranking!V39)</f>
        <v>0.21</v>
      </c>
      <c r="AL39" s="50">
        <f>IF('Resultado da inspeção'!K39='Resultado da inspeção'!$W$3,0%,Ranking!W39)</f>
        <v>0.05</v>
      </c>
      <c r="AM39" s="50">
        <f>IF('Resultado da inspeção'!L39='Resultado da inspeção'!$W$3,0%,Ranking!X39)</f>
        <v>0.24</v>
      </c>
      <c r="AN39" s="50">
        <f>IF('Resultado da inspeção'!M39='Resultado da inspeção'!$W$3,0%,Ranking!Y39)</f>
        <v>0.05</v>
      </c>
      <c r="AO39" s="50">
        <f>IF('Resultado da inspeção'!N39='Resultado da inspeção'!$W$3,0%,Ranking!Z39)</f>
        <v>0.04</v>
      </c>
      <c r="AP39" s="50">
        <f>IF('Resultado da inspeção'!O39='Resultado da inspeção'!$W$3,0%,Ranking!AA39)</f>
        <v>0.06</v>
      </c>
      <c r="AQ39" s="50">
        <f>IF('Resultado da inspeção'!P39='Resultado da inspeção'!$W$3,0%,Ranking!AB39)</f>
        <v>0.08</v>
      </c>
      <c r="AR39" s="50">
        <f>IF('Resultado da inspeção'!Q39='Resultado da inspeção'!$W$3,0%,Ranking!AC39)</f>
        <v>0.05</v>
      </c>
      <c r="AS39" s="50">
        <f>IF('Resultado da inspeção'!R39='Resultado da inspeção'!$W$3,0%,Ranking!AD39)</f>
        <v>0.02</v>
      </c>
      <c r="AT39" s="50">
        <f>IF('Resultado da inspeção'!S39='Resultado da inspeção'!$W$3,0%,Ranking!AE39)</f>
        <v>0.02</v>
      </c>
      <c r="AU39" s="49">
        <f t="shared" si="18"/>
        <v>1</v>
      </c>
    </row>
    <row r="40" spans="2:47" x14ac:dyDescent="0.25">
      <c r="B40" s="48">
        <f>IF('Resultado da inspeção'!F40='Resultado da inspeção'!$W$4,0%,Ranking!B$5)</f>
        <v>0.02</v>
      </c>
      <c r="C40" s="48">
        <f>IF('Resultado da inspeção'!G40='Resultado da inspeção'!$W$4,0%,Ranking!C$5)</f>
        <v>0.03</v>
      </c>
      <c r="D40" s="48">
        <f>IF('Resultado da inspeção'!H40='Resultado da inspeção'!$W$4,0%,Ranking!D$5)</f>
        <v>0.03</v>
      </c>
      <c r="E40" s="48">
        <f>IF('Resultado da inspeção'!I40='Resultado da inspeção'!$W$4,0%,Ranking!E$5)</f>
        <v>0.1</v>
      </c>
      <c r="F40" s="48">
        <f>IF('Resultado da inspeção'!J40='Resultado da inspeção'!$W$4,0%,Ranking!F$5)</f>
        <v>0.21</v>
      </c>
      <c r="G40" s="48">
        <f>IF('Resultado da inspeção'!K40='Resultado da inspeção'!$W$4,0%,Ranking!G$5)</f>
        <v>0.05</v>
      </c>
      <c r="H40" s="48">
        <f>IF('Resultado da inspeção'!L40='Resultado da inspeção'!$W$4,0%,Ranking!H$5)</f>
        <v>0.24</v>
      </c>
      <c r="I40" s="48">
        <f>IF('Resultado da inspeção'!M40='Resultado da inspeção'!$W$4,0%,Ranking!I$5)</f>
        <v>0.05</v>
      </c>
      <c r="J40" s="48">
        <f>IF('Resultado da inspeção'!N40='Resultado da inspeção'!$W$4,0%,Ranking!J$5)</f>
        <v>0.04</v>
      </c>
      <c r="K40" s="48">
        <f>IF('Resultado da inspeção'!O40='Resultado da inspeção'!$W$4,0%,Ranking!K$5)</f>
        <v>0.06</v>
      </c>
      <c r="L40" s="48">
        <f>IF('Resultado da inspeção'!P40='Resultado da inspeção'!$W$4,0%,Ranking!L$5)</f>
        <v>0.08</v>
      </c>
      <c r="M40" s="48">
        <f>IF('Resultado da inspeção'!Q40='Resultado da inspeção'!$W$4,0%,Ranking!M$5)</f>
        <v>0.05</v>
      </c>
      <c r="N40" s="48">
        <f>IF('Resultado da inspeção'!R40='Resultado da inspeção'!$W$4,0%,Ranking!N$5)</f>
        <v>0.02</v>
      </c>
      <c r="O40" s="48">
        <f>IF('Resultado da inspeção'!S40='Resultado da inspeção'!$W$4,0%,Ranking!O$5)</f>
        <v>0.02</v>
      </c>
      <c r="P40" s="47">
        <f t="shared" si="0"/>
        <v>1</v>
      </c>
      <c r="Q40" s="49">
        <f t="shared" si="16"/>
        <v>0</v>
      </c>
      <c r="R40" s="50">
        <f t="shared" si="1"/>
        <v>0.02</v>
      </c>
      <c r="S40" s="50">
        <f t="shared" si="2"/>
        <v>0.03</v>
      </c>
      <c r="T40" s="50">
        <f t="shared" si="3"/>
        <v>0.03</v>
      </c>
      <c r="U40" s="50">
        <f t="shared" si="4"/>
        <v>0.1</v>
      </c>
      <c r="V40" s="50">
        <f t="shared" si="5"/>
        <v>0.21</v>
      </c>
      <c r="W40" s="50">
        <f t="shared" si="6"/>
        <v>0.05</v>
      </c>
      <c r="X40" s="50">
        <f t="shared" si="7"/>
        <v>0.24</v>
      </c>
      <c r="Y40" s="50">
        <f t="shared" si="8"/>
        <v>0.05</v>
      </c>
      <c r="Z40" s="50">
        <f t="shared" si="9"/>
        <v>0.04</v>
      </c>
      <c r="AA40" s="50">
        <f t="shared" si="10"/>
        <v>0.06</v>
      </c>
      <c r="AB40" s="50">
        <f t="shared" si="11"/>
        <v>0.08</v>
      </c>
      <c r="AC40" s="50">
        <f t="shared" si="12"/>
        <v>0.05</v>
      </c>
      <c r="AD40" s="50">
        <f t="shared" si="13"/>
        <v>0.02</v>
      </c>
      <c r="AE40" s="50">
        <f t="shared" si="14"/>
        <v>0.02</v>
      </c>
      <c r="AF40" s="47">
        <f t="shared" si="17"/>
        <v>1</v>
      </c>
      <c r="AG40" s="50">
        <f>IF('Resultado da inspeção'!F40='Resultado da inspeção'!$W$3,0%,Ranking!R40)</f>
        <v>0.02</v>
      </c>
      <c r="AH40" s="50">
        <f>IF('Resultado da inspeção'!G40='Resultado da inspeção'!$W$3,0%,Ranking!S40)</f>
        <v>0.03</v>
      </c>
      <c r="AI40" s="50">
        <f>IF('Resultado da inspeção'!H40='Resultado da inspeção'!$W$3,0%,Ranking!T40)</f>
        <v>0.03</v>
      </c>
      <c r="AJ40" s="50">
        <f>IF('Resultado da inspeção'!I40='Resultado da inspeção'!$W$3,0%,Ranking!U40)</f>
        <v>0.1</v>
      </c>
      <c r="AK40" s="50">
        <f>IF('Resultado da inspeção'!J40='Resultado da inspeção'!$W$3,0%,Ranking!V40)</f>
        <v>0.21</v>
      </c>
      <c r="AL40" s="50">
        <f>IF('Resultado da inspeção'!K40='Resultado da inspeção'!$W$3,0%,Ranking!W40)</f>
        <v>0.05</v>
      </c>
      <c r="AM40" s="50">
        <f>IF('Resultado da inspeção'!L40='Resultado da inspeção'!$W$3,0%,Ranking!X40)</f>
        <v>0.24</v>
      </c>
      <c r="AN40" s="50">
        <f>IF('Resultado da inspeção'!M40='Resultado da inspeção'!$W$3,0%,Ranking!Y40)</f>
        <v>0.05</v>
      </c>
      <c r="AO40" s="50">
        <f>IF('Resultado da inspeção'!N40='Resultado da inspeção'!$W$3,0%,Ranking!Z40)</f>
        <v>0.04</v>
      </c>
      <c r="AP40" s="50">
        <f>IF('Resultado da inspeção'!O40='Resultado da inspeção'!$W$3,0%,Ranking!AA40)</f>
        <v>0.06</v>
      </c>
      <c r="AQ40" s="50">
        <f>IF('Resultado da inspeção'!P40='Resultado da inspeção'!$W$3,0%,Ranking!AB40)</f>
        <v>0.08</v>
      </c>
      <c r="AR40" s="50">
        <f>IF('Resultado da inspeção'!Q40='Resultado da inspeção'!$W$3,0%,Ranking!AC40)</f>
        <v>0.05</v>
      </c>
      <c r="AS40" s="50">
        <f>IF('Resultado da inspeção'!R40='Resultado da inspeção'!$W$3,0%,Ranking!AD40)</f>
        <v>0.02</v>
      </c>
      <c r="AT40" s="50">
        <f>IF('Resultado da inspeção'!S40='Resultado da inspeção'!$W$3,0%,Ranking!AE40)</f>
        <v>0.02</v>
      </c>
      <c r="AU40" s="49">
        <f t="shared" si="18"/>
        <v>1</v>
      </c>
    </row>
    <row r="41" spans="2:47" x14ac:dyDescent="0.25">
      <c r="B41" s="48">
        <f>IF('Resultado da inspeção'!F41='Resultado da inspeção'!$W$4,0%,Ranking!B$5)</f>
        <v>0.02</v>
      </c>
      <c r="C41" s="48">
        <f>IF('Resultado da inspeção'!G41='Resultado da inspeção'!$W$4,0%,Ranking!C$5)</f>
        <v>0.03</v>
      </c>
      <c r="D41" s="48">
        <f>IF('Resultado da inspeção'!H41='Resultado da inspeção'!$W$4,0%,Ranking!D$5)</f>
        <v>0.03</v>
      </c>
      <c r="E41" s="48">
        <f>IF('Resultado da inspeção'!I41='Resultado da inspeção'!$W$4,0%,Ranking!E$5)</f>
        <v>0.1</v>
      </c>
      <c r="F41" s="48">
        <f>IF('Resultado da inspeção'!J41='Resultado da inspeção'!$W$4,0%,Ranking!F$5)</f>
        <v>0.21</v>
      </c>
      <c r="G41" s="48">
        <f>IF('Resultado da inspeção'!K41='Resultado da inspeção'!$W$4,0%,Ranking!G$5)</f>
        <v>0.05</v>
      </c>
      <c r="H41" s="48">
        <f>IF('Resultado da inspeção'!L41='Resultado da inspeção'!$W$4,0%,Ranking!H$5)</f>
        <v>0.24</v>
      </c>
      <c r="I41" s="48">
        <f>IF('Resultado da inspeção'!M41='Resultado da inspeção'!$W$4,0%,Ranking!I$5)</f>
        <v>0.05</v>
      </c>
      <c r="J41" s="48">
        <f>IF('Resultado da inspeção'!N41='Resultado da inspeção'!$W$4,0%,Ranking!J$5)</f>
        <v>0.04</v>
      </c>
      <c r="K41" s="48">
        <f>IF('Resultado da inspeção'!O41='Resultado da inspeção'!$W$4,0%,Ranking!K$5)</f>
        <v>0.06</v>
      </c>
      <c r="L41" s="48">
        <f>IF('Resultado da inspeção'!P41='Resultado da inspeção'!$W$4,0%,Ranking!L$5)</f>
        <v>0.08</v>
      </c>
      <c r="M41" s="48">
        <f>IF('Resultado da inspeção'!Q41='Resultado da inspeção'!$W$4,0%,Ranking!M$5)</f>
        <v>0.05</v>
      </c>
      <c r="N41" s="48">
        <f>IF('Resultado da inspeção'!R41='Resultado da inspeção'!$W$4,0%,Ranking!N$5)</f>
        <v>0.02</v>
      </c>
      <c r="O41" s="48">
        <f>IF('Resultado da inspeção'!S41='Resultado da inspeção'!$W$4,0%,Ranking!O$5)</f>
        <v>0.02</v>
      </c>
      <c r="P41" s="47">
        <f t="shared" si="0"/>
        <v>1</v>
      </c>
      <c r="Q41" s="49">
        <f t="shared" si="16"/>
        <v>0</v>
      </c>
      <c r="R41" s="50">
        <f t="shared" si="1"/>
        <v>0.02</v>
      </c>
      <c r="S41" s="50">
        <f t="shared" si="2"/>
        <v>0.03</v>
      </c>
      <c r="T41" s="50">
        <f t="shared" si="3"/>
        <v>0.03</v>
      </c>
      <c r="U41" s="50">
        <f t="shared" si="4"/>
        <v>0.1</v>
      </c>
      <c r="V41" s="50">
        <f t="shared" si="5"/>
        <v>0.21</v>
      </c>
      <c r="W41" s="50">
        <f t="shared" si="6"/>
        <v>0.05</v>
      </c>
      <c r="X41" s="50">
        <f t="shared" si="7"/>
        <v>0.24</v>
      </c>
      <c r="Y41" s="50">
        <f t="shared" si="8"/>
        <v>0.05</v>
      </c>
      <c r="Z41" s="50">
        <f t="shared" si="9"/>
        <v>0.04</v>
      </c>
      <c r="AA41" s="50">
        <f t="shared" si="10"/>
        <v>0.06</v>
      </c>
      <c r="AB41" s="50">
        <f t="shared" si="11"/>
        <v>0.08</v>
      </c>
      <c r="AC41" s="50">
        <f t="shared" si="12"/>
        <v>0.05</v>
      </c>
      <c r="AD41" s="50">
        <f t="shared" si="13"/>
        <v>0.02</v>
      </c>
      <c r="AE41" s="50">
        <f t="shared" si="14"/>
        <v>0.02</v>
      </c>
      <c r="AF41" s="47">
        <f t="shared" si="17"/>
        <v>1</v>
      </c>
      <c r="AG41" s="50">
        <f>IF('Resultado da inspeção'!F41='Resultado da inspeção'!$W$3,0%,Ranking!R41)</f>
        <v>0.02</v>
      </c>
      <c r="AH41" s="50">
        <f>IF('Resultado da inspeção'!G41='Resultado da inspeção'!$W$3,0%,Ranking!S41)</f>
        <v>0.03</v>
      </c>
      <c r="AI41" s="50">
        <f>IF('Resultado da inspeção'!H41='Resultado da inspeção'!$W$3,0%,Ranking!T41)</f>
        <v>0.03</v>
      </c>
      <c r="AJ41" s="50">
        <f>IF('Resultado da inspeção'!I41='Resultado da inspeção'!$W$3,0%,Ranking!U41)</f>
        <v>0.1</v>
      </c>
      <c r="AK41" s="50">
        <f>IF('Resultado da inspeção'!J41='Resultado da inspeção'!$W$3,0%,Ranking!V41)</f>
        <v>0.21</v>
      </c>
      <c r="AL41" s="50">
        <f>IF('Resultado da inspeção'!K41='Resultado da inspeção'!$W$3,0%,Ranking!W41)</f>
        <v>0.05</v>
      </c>
      <c r="AM41" s="50">
        <f>IF('Resultado da inspeção'!L41='Resultado da inspeção'!$W$3,0%,Ranking!X41)</f>
        <v>0.24</v>
      </c>
      <c r="AN41" s="50">
        <f>IF('Resultado da inspeção'!M41='Resultado da inspeção'!$W$3,0%,Ranking!Y41)</f>
        <v>0.05</v>
      </c>
      <c r="AO41" s="50">
        <f>IF('Resultado da inspeção'!N41='Resultado da inspeção'!$W$3,0%,Ranking!Z41)</f>
        <v>0.04</v>
      </c>
      <c r="AP41" s="50">
        <f>IF('Resultado da inspeção'!O41='Resultado da inspeção'!$W$3,0%,Ranking!AA41)</f>
        <v>0.06</v>
      </c>
      <c r="AQ41" s="50">
        <f>IF('Resultado da inspeção'!P41='Resultado da inspeção'!$W$3,0%,Ranking!AB41)</f>
        <v>0.08</v>
      </c>
      <c r="AR41" s="50">
        <f>IF('Resultado da inspeção'!Q41='Resultado da inspeção'!$W$3,0%,Ranking!AC41)</f>
        <v>0.05</v>
      </c>
      <c r="AS41" s="50">
        <f>IF('Resultado da inspeção'!R41='Resultado da inspeção'!$W$3,0%,Ranking!AD41)</f>
        <v>0.02</v>
      </c>
      <c r="AT41" s="50">
        <f>IF('Resultado da inspeção'!S41='Resultado da inspeção'!$W$3,0%,Ranking!AE41)</f>
        <v>0.02</v>
      </c>
      <c r="AU41" s="49">
        <f t="shared" si="18"/>
        <v>1</v>
      </c>
    </row>
    <row r="42" spans="2:47" x14ac:dyDescent="0.25">
      <c r="B42" s="48">
        <f>IF('Resultado da inspeção'!F42='Resultado da inspeção'!$W$4,0%,Ranking!B$5)</f>
        <v>0.02</v>
      </c>
      <c r="C42" s="48">
        <f>IF('Resultado da inspeção'!G42='Resultado da inspeção'!$W$4,0%,Ranking!C$5)</f>
        <v>0.03</v>
      </c>
      <c r="D42" s="48">
        <f>IF('Resultado da inspeção'!H42='Resultado da inspeção'!$W$4,0%,Ranking!D$5)</f>
        <v>0.03</v>
      </c>
      <c r="E42" s="48">
        <f>IF('Resultado da inspeção'!I42='Resultado da inspeção'!$W$4,0%,Ranking!E$5)</f>
        <v>0.1</v>
      </c>
      <c r="F42" s="48">
        <f>IF('Resultado da inspeção'!J42='Resultado da inspeção'!$W$4,0%,Ranking!F$5)</f>
        <v>0.21</v>
      </c>
      <c r="G42" s="48">
        <f>IF('Resultado da inspeção'!K42='Resultado da inspeção'!$W$4,0%,Ranking!G$5)</f>
        <v>0.05</v>
      </c>
      <c r="H42" s="48">
        <f>IF('Resultado da inspeção'!L42='Resultado da inspeção'!$W$4,0%,Ranking!H$5)</f>
        <v>0.24</v>
      </c>
      <c r="I42" s="48">
        <f>IF('Resultado da inspeção'!M42='Resultado da inspeção'!$W$4,0%,Ranking!I$5)</f>
        <v>0.05</v>
      </c>
      <c r="J42" s="48">
        <f>IF('Resultado da inspeção'!N42='Resultado da inspeção'!$W$4,0%,Ranking!J$5)</f>
        <v>0.04</v>
      </c>
      <c r="K42" s="48">
        <f>IF('Resultado da inspeção'!O42='Resultado da inspeção'!$W$4,0%,Ranking!K$5)</f>
        <v>0.06</v>
      </c>
      <c r="L42" s="48">
        <f>IF('Resultado da inspeção'!P42='Resultado da inspeção'!$W$4,0%,Ranking!L$5)</f>
        <v>0.08</v>
      </c>
      <c r="M42" s="48">
        <f>IF('Resultado da inspeção'!Q42='Resultado da inspeção'!$W$4,0%,Ranking!M$5)</f>
        <v>0.05</v>
      </c>
      <c r="N42" s="48">
        <f>IF('Resultado da inspeção'!R42='Resultado da inspeção'!$W$4,0%,Ranking!N$5)</f>
        <v>0.02</v>
      </c>
      <c r="O42" s="48">
        <f>IF('Resultado da inspeção'!S42='Resultado da inspeção'!$W$4,0%,Ranking!O$5)</f>
        <v>0.02</v>
      </c>
      <c r="P42" s="47">
        <f t="shared" si="0"/>
        <v>1</v>
      </c>
      <c r="Q42" s="49">
        <f t="shared" si="16"/>
        <v>0</v>
      </c>
      <c r="R42" s="50">
        <f t="shared" si="1"/>
        <v>0.02</v>
      </c>
      <c r="S42" s="50">
        <f t="shared" si="2"/>
        <v>0.03</v>
      </c>
      <c r="T42" s="50">
        <f t="shared" si="3"/>
        <v>0.03</v>
      </c>
      <c r="U42" s="50">
        <f t="shared" si="4"/>
        <v>0.1</v>
      </c>
      <c r="V42" s="50">
        <f t="shared" si="5"/>
        <v>0.21</v>
      </c>
      <c r="W42" s="50">
        <f t="shared" si="6"/>
        <v>0.05</v>
      </c>
      <c r="X42" s="50">
        <f t="shared" si="7"/>
        <v>0.24</v>
      </c>
      <c r="Y42" s="50">
        <f t="shared" si="8"/>
        <v>0.05</v>
      </c>
      <c r="Z42" s="50">
        <f t="shared" si="9"/>
        <v>0.04</v>
      </c>
      <c r="AA42" s="50">
        <f t="shared" si="10"/>
        <v>0.06</v>
      </c>
      <c r="AB42" s="50">
        <f t="shared" si="11"/>
        <v>0.08</v>
      </c>
      <c r="AC42" s="50">
        <f t="shared" si="12"/>
        <v>0.05</v>
      </c>
      <c r="AD42" s="50">
        <f t="shared" si="13"/>
        <v>0.02</v>
      </c>
      <c r="AE42" s="50">
        <f t="shared" si="14"/>
        <v>0.02</v>
      </c>
      <c r="AF42" s="47">
        <f t="shared" si="17"/>
        <v>1</v>
      </c>
      <c r="AG42" s="50">
        <f>IF('Resultado da inspeção'!F42='Resultado da inspeção'!$W$3,0%,Ranking!R42)</f>
        <v>0.02</v>
      </c>
      <c r="AH42" s="50">
        <f>IF('Resultado da inspeção'!G42='Resultado da inspeção'!$W$3,0%,Ranking!S42)</f>
        <v>0.03</v>
      </c>
      <c r="AI42" s="50">
        <f>IF('Resultado da inspeção'!H42='Resultado da inspeção'!$W$3,0%,Ranking!T42)</f>
        <v>0.03</v>
      </c>
      <c r="AJ42" s="50">
        <f>IF('Resultado da inspeção'!I42='Resultado da inspeção'!$W$3,0%,Ranking!U42)</f>
        <v>0.1</v>
      </c>
      <c r="AK42" s="50">
        <f>IF('Resultado da inspeção'!J42='Resultado da inspeção'!$W$3,0%,Ranking!V42)</f>
        <v>0.21</v>
      </c>
      <c r="AL42" s="50">
        <f>IF('Resultado da inspeção'!K42='Resultado da inspeção'!$W$3,0%,Ranking!W42)</f>
        <v>0.05</v>
      </c>
      <c r="AM42" s="50">
        <f>IF('Resultado da inspeção'!L42='Resultado da inspeção'!$W$3,0%,Ranking!X42)</f>
        <v>0.24</v>
      </c>
      <c r="AN42" s="50">
        <f>IF('Resultado da inspeção'!M42='Resultado da inspeção'!$W$3,0%,Ranking!Y42)</f>
        <v>0.05</v>
      </c>
      <c r="AO42" s="50">
        <f>IF('Resultado da inspeção'!N42='Resultado da inspeção'!$W$3,0%,Ranking!Z42)</f>
        <v>0.04</v>
      </c>
      <c r="AP42" s="50">
        <f>IF('Resultado da inspeção'!O42='Resultado da inspeção'!$W$3,0%,Ranking!AA42)</f>
        <v>0.06</v>
      </c>
      <c r="AQ42" s="50">
        <f>IF('Resultado da inspeção'!P42='Resultado da inspeção'!$W$3,0%,Ranking!AB42)</f>
        <v>0.08</v>
      </c>
      <c r="AR42" s="50">
        <f>IF('Resultado da inspeção'!Q42='Resultado da inspeção'!$W$3,0%,Ranking!AC42)</f>
        <v>0.05</v>
      </c>
      <c r="AS42" s="50">
        <f>IF('Resultado da inspeção'!R42='Resultado da inspeção'!$W$3,0%,Ranking!AD42)</f>
        <v>0.02</v>
      </c>
      <c r="AT42" s="50">
        <f>IF('Resultado da inspeção'!S42='Resultado da inspeção'!$W$3,0%,Ranking!AE42)</f>
        <v>0.02</v>
      </c>
      <c r="AU42" s="49">
        <f t="shared" si="18"/>
        <v>1</v>
      </c>
    </row>
    <row r="43" spans="2:47" x14ac:dyDescent="0.25">
      <c r="B43" s="48">
        <f>IF('Resultado da inspeção'!F43='Resultado da inspeção'!$W$4,0%,Ranking!B$5)</f>
        <v>0.02</v>
      </c>
      <c r="C43" s="48">
        <f>IF('Resultado da inspeção'!G43='Resultado da inspeção'!$W$4,0%,Ranking!C$5)</f>
        <v>0.03</v>
      </c>
      <c r="D43" s="48">
        <f>IF('Resultado da inspeção'!H43='Resultado da inspeção'!$W$4,0%,Ranking!D$5)</f>
        <v>0.03</v>
      </c>
      <c r="E43" s="48">
        <f>IF('Resultado da inspeção'!I43='Resultado da inspeção'!$W$4,0%,Ranking!E$5)</f>
        <v>0.1</v>
      </c>
      <c r="F43" s="48">
        <f>IF('Resultado da inspeção'!J43='Resultado da inspeção'!$W$4,0%,Ranking!F$5)</f>
        <v>0.21</v>
      </c>
      <c r="G43" s="48">
        <f>IF('Resultado da inspeção'!K43='Resultado da inspeção'!$W$4,0%,Ranking!G$5)</f>
        <v>0.05</v>
      </c>
      <c r="H43" s="48">
        <f>IF('Resultado da inspeção'!L43='Resultado da inspeção'!$W$4,0%,Ranking!H$5)</f>
        <v>0.24</v>
      </c>
      <c r="I43" s="48">
        <f>IF('Resultado da inspeção'!M43='Resultado da inspeção'!$W$4,0%,Ranking!I$5)</f>
        <v>0.05</v>
      </c>
      <c r="J43" s="48">
        <f>IF('Resultado da inspeção'!N43='Resultado da inspeção'!$W$4,0%,Ranking!J$5)</f>
        <v>0.04</v>
      </c>
      <c r="K43" s="48">
        <f>IF('Resultado da inspeção'!O43='Resultado da inspeção'!$W$4,0%,Ranking!K$5)</f>
        <v>0.06</v>
      </c>
      <c r="L43" s="48">
        <f>IF('Resultado da inspeção'!P43='Resultado da inspeção'!$W$4,0%,Ranking!L$5)</f>
        <v>0.08</v>
      </c>
      <c r="M43" s="48">
        <f>IF('Resultado da inspeção'!Q43='Resultado da inspeção'!$W$4,0%,Ranking!M$5)</f>
        <v>0.05</v>
      </c>
      <c r="N43" s="48">
        <f>IF('Resultado da inspeção'!R43='Resultado da inspeção'!$W$4,0%,Ranking!N$5)</f>
        <v>0.02</v>
      </c>
      <c r="O43" s="48">
        <f>IF('Resultado da inspeção'!S43='Resultado da inspeção'!$W$4,0%,Ranking!O$5)</f>
        <v>0.02</v>
      </c>
      <c r="P43" s="47">
        <f t="shared" si="0"/>
        <v>1</v>
      </c>
      <c r="Q43" s="49">
        <f t="shared" si="16"/>
        <v>0</v>
      </c>
      <c r="R43" s="50">
        <f t="shared" si="1"/>
        <v>0.02</v>
      </c>
      <c r="S43" s="50">
        <f t="shared" si="2"/>
        <v>0.03</v>
      </c>
      <c r="T43" s="50">
        <f t="shared" si="3"/>
        <v>0.03</v>
      </c>
      <c r="U43" s="50">
        <f t="shared" si="4"/>
        <v>0.1</v>
      </c>
      <c r="V43" s="50">
        <f t="shared" si="5"/>
        <v>0.21</v>
      </c>
      <c r="W43" s="50">
        <f t="shared" si="6"/>
        <v>0.05</v>
      </c>
      <c r="X43" s="50">
        <f t="shared" si="7"/>
        <v>0.24</v>
      </c>
      <c r="Y43" s="50">
        <f t="shared" si="8"/>
        <v>0.05</v>
      </c>
      <c r="Z43" s="50">
        <f t="shared" si="9"/>
        <v>0.04</v>
      </c>
      <c r="AA43" s="50">
        <f t="shared" si="10"/>
        <v>0.06</v>
      </c>
      <c r="AB43" s="50">
        <f t="shared" si="11"/>
        <v>0.08</v>
      </c>
      <c r="AC43" s="50">
        <f t="shared" si="12"/>
        <v>0.05</v>
      </c>
      <c r="AD43" s="50">
        <f t="shared" si="13"/>
        <v>0.02</v>
      </c>
      <c r="AE43" s="50">
        <f t="shared" si="14"/>
        <v>0.02</v>
      </c>
      <c r="AF43" s="47">
        <f t="shared" si="17"/>
        <v>1</v>
      </c>
      <c r="AG43" s="50">
        <f>IF('Resultado da inspeção'!F43='Resultado da inspeção'!$W$3,0%,Ranking!R43)</f>
        <v>0.02</v>
      </c>
      <c r="AH43" s="50">
        <f>IF('Resultado da inspeção'!G43='Resultado da inspeção'!$W$3,0%,Ranking!S43)</f>
        <v>0.03</v>
      </c>
      <c r="AI43" s="50">
        <f>IF('Resultado da inspeção'!H43='Resultado da inspeção'!$W$3,0%,Ranking!T43)</f>
        <v>0.03</v>
      </c>
      <c r="AJ43" s="50">
        <f>IF('Resultado da inspeção'!I43='Resultado da inspeção'!$W$3,0%,Ranking!U43)</f>
        <v>0.1</v>
      </c>
      <c r="AK43" s="50">
        <f>IF('Resultado da inspeção'!J43='Resultado da inspeção'!$W$3,0%,Ranking!V43)</f>
        <v>0.21</v>
      </c>
      <c r="AL43" s="50">
        <f>IF('Resultado da inspeção'!K43='Resultado da inspeção'!$W$3,0%,Ranking!W43)</f>
        <v>0.05</v>
      </c>
      <c r="AM43" s="50">
        <f>IF('Resultado da inspeção'!L43='Resultado da inspeção'!$W$3,0%,Ranking!X43)</f>
        <v>0.24</v>
      </c>
      <c r="AN43" s="50">
        <f>IF('Resultado da inspeção'!M43='Resultado da inspeção'!$W$3,0%,Ranking!Y43)</f>
        <v>0.05</v>
      </c>
      <c r="AO43" s="50">
        <f>IF('Resultado da inspeção'!N43='Resultado da inspeção'!$W$3,0%,Ranking!Z43)</f>
        <v>0.04</v>
      </c>
      <c r="AP43" s="50">
        <f>IF('Resultado da inspeção'!O43='Resultado da inspeção'!$W$3,0%,Ranking!AA43)</f>
        <v>0.06</v>
      </c>
      <c r="AQ43" s="50">
        <f>IF('Resultado da inspeção'!P43='Resultado da inspeção'!$W$3,0%,Ranking!AB43)</f>
        <v>0.08</v>
      </c>
      <c r="AR43" s="50">
        <f>IF('Resultado da inspeção'!Q43='Resultado da inspeção'!$W$3,0%,Ranking!AC43)</f>
        <v>0.05</v>
      </c>
      <c r="AS43" s="50">
        <f>IF('Resultado da inspeção'!R43='Resultado da inspeção'!$W$3,0%,Ranking!AD43)</f>
        <v>0.02</v>
      </c>
      <c r="AT43" s="50">
        <f>IF('Resultado da inspeção'!S43='Resultado da inspeção'!$W$3,0%,Ranking!AE43)</f>
        <v>0.02</v>
      </c>
      <c r="AU43" s="49">
        <f t="shared" si="18"/>
        <v>1</v>
      </c>
    </row>
    <row r="44" spans="2:47" x14ac:dyDescent="0.25">
      <c r="B44" s="48">
        <f>IF('Resultado da inspeção'!F44='Resultado da inspeção'!$W$4,0%,Ranking!B$5)</f>
        <v>0.02</v>
      </c>
      <c r="C44" s="48">
        <f>IF('Resultado da inspeção'!G44='Resultado da inspeção'!$W$4,0%,Ranking!C$5)</f>
        <v>0.03</v>
      </c>
      <c r="D44" s="48">
        <f>IF('Resultado da inspeção'!H44='Resultado da inspeção'!$W$4,0%,Ranking!D$5)</f>
        <v>0.03</v>
      </c>
      <c r="E44" s="48">
        <f>IF('Resultado da inspeção'!I44='Resultado da inspeção'!$W$4,0%,Ranking!E$5)</f>
        <v>0.1</v>
      </c>
      <c r="F44" s="48">
        <f>IF('Resultado da inspeção'!J44='Resultado da inspeção'!$W$4,0%,Ranking!F$5)</f>
        <v>0.21</v>
      </c>
      <c r="G44" s="48">
        <f>IF('Resultado da inspeção'!K44='Resultado da inspeção'!$W$4,0%,Ranking!G$5)</f>
        <v>0.05</v>
      </c>
      <c r="H44" s="48">
        <f>IF('Resultado da inspeção'!L44='Resultado da inspeção'!$W$4,0%,Ranking!H$5)</f>
        <v>0.24</v>
      </c>
      <c r="I44" s="48">
        <f>IF('Resultado da inspeção'!M44='Resultado da inspeção'!$W$4,0%,Ranking!I$5)</f>
        <v>0.05</v>
      </c>
      <c r="J44" s="48">
        <f>IF('Resultado da inspeção'!N44='Resultado da inspeção'!$W$4,0%,Ranking!J$5)</f>
        <v>0.04</v>
      </c>
      <c r="K44" s="48">
        <f>IF('Resultado da inspeção'!O44='Resultado da inspeção'!$W$4,0%,Ranking!K$5)</f>
        <v>0.06</v>
      </c>
      <c r="L44" s="48">
        <f>IF('Resultado da inspeção'!P44='Resultado da inspeção'!$W$4,0%,Ranking!L$5)</f>
        <v>0.08</v>
      </c>
      <c r="M44" s="48">
        <f>IF('Resultado da inspeção'!Q44='Resultado da inspeção'!$W$4,0%,Ranking!M$5)</f>
        <v>0.05</v>
      </c>
      <c r="N44" s="48">
        <f>IF('Resultado da inspeção'!R44='Resultado da inspeção'!$W$4,0%,Ranking!N$5)</f>
        <v>0.02</v>
      </c>
      <c r="O44" s="48">
        <f>IF('Resultado da inspeção'!S44='Resultado da inspeção'!$W$4,0%,Ranking!O$5)</f>
        <v>0.02</v>
      </c>
      <c r="P44" s="47">
        <f t="shared" si="0"/>
        <v>1</v>
      </c>
      <c r="Q44" s="49">
        <f t="shared" si="16"/>
        <v>0</v>
      </c>
      <c r="R44" s="50">
        <f t="shared" si="1"/>
        <v>0.02</v>
      </c>
      <c r="S44" s="50">
        <f t="shared" si="2"/>
        <v>0.03</v>
      </c>
      <c r="T44" s="50">
        <f t="shared" si="3"/>
        <v>0.03</v>
      </c>
      <c r="U44" s="50">
        <f t="shared" si="4"/>
        <v>0.1</v>
      </c>
      <c r="V44" s="50">
        <f t="shared" si="5"/>
        <v>0.21</v>
      </c>
      <c r="W44" s="50">
        <f t="shared" si="6"/>
        <v>0.05</v>
      </c>
      <c r="X44" s="50">
        <f t="shared" si="7"/>
        <v>0.24</v>
      </c>
      <c r="Y44" s="50">
        <f t="shared" si="8"/>
        <v>0.05</v>
      </c>
      <c r="Z44" s="50">
        <f t="shared" si="9"/>
        <v>0.04</v>
      </c>
      <c r="AA44" s="50">
        <f t="shared" si="10"/>
        <v>0.06</v>
      </c>
      <c r="AB44" s="50">
        <f t="shared" si="11"/>
        <v>0.08</v>
      </c>
      <c r="AC44" s="50">
        <f t="shared" si="12"/>
        <v>0.05</v>
      </c>
      <c r="AD44" s="50">
        <f t="shared" si="13"/>
        <v>0.02</v>
      </c>
      <c r="AE44" s="50">
        <f t="shared" si="14"/>
        <v>0.02</v>
      </c>
      <c r="AF44" s="47">
        <f t="shared" si="17"/>
        <v>1</v>
      </c>
      <c r="AG44" s="50">
        <f>IF('Resultado da inspeção'!F44='Resultado da inspeção'!$W$3,0%,Ranking!R44)</f>
        <v>0.02</v>
      </c>
      <c r="AH44" s="50">
        <f>IF('Resultado da inspeção'!G44='Resultado da inspeção'!$W$3,0%,Ranking!S44)</f>
        <v>0.03</v>
      </c>
      <c r="AI44" s="50">
        <f>IF('Resultado da inspeção'!H44='Resultado da inspeção'!$W$3,0%,Ranking!T44)</f>
        <v>0.03</v>
      </c>
      <c r="AJ44" s="50">
        <f>IF('Resultado da inspeção'!I44='Resultado da inspeção'!$W$3,0%,Ranking!U44)</f>
        <v>0.1</v>
      </c>
      <c r="AK44" s="50">
        <f>IF('Resultado da inspeção'!J44='Resultado da inspeção'!$W$3,0%,Ranking!V44)</f>
        <v>0.21</v>
      </c>
      <c r="AL44" s="50">
        <f>IF('Resultado da inspeção'!K44='Resultado da inspeção'!$W$3,0%,Ranking!W44)</f>
        <v>0.05</v>
      </c>
      <c r="AM44" s="50">
        <f>IF('Resultado da inspeção'!L44='Resultado da inspeção'!$W$3,0%,Ranking!X44)</f>
        <v>0.24</v>
      </c>
      <c r="AN44" s="50">
        <f>IF('Resultado da inspeção'!M44='Resultado da inspeção'!$W$3,0%,Ranking!Y44)</f>
        <v>0.05</v>
      </c>
      <c r="AO44" s="50">
        <f>IF('Resultado da inspeção'!N44='Resultado da inspeção'!$W$3,0%,Ranking!Z44)</f>
        <v>0.04</v>
      </c>
      <c r="AP44" s="50">
        <f>IF('Resultado da inspeção'!O44='Resultado da inspeção'!$W$3,0%,Ranking!AA44)</f>
        <v>0.06</v>
      </c>
      <c r="AQ44" s="50">
        <f>IF('Resultado da inspeção'!P44='Resultado da inspeção'!$W$3,0%,Ranking!AB44)</f>
        <v>0.08</v>
      </c>
      <c r="AR44" s="50">
        <f>IF('Resultado da inspeção'!Q44='Resultado da inspeção'!$W$3,0%,Ranking!AC44)</f>
        <v>0.05</v>
      </c>
      <c r="AS44" s="50">
        <f>IF('Resultado da inspeção'!R44='Resultado da inspeção'!$W$3,0%,Ranking!AD44)</f>
        <v>0.02</v>
      </c>
      <c r="AT44" s="50">
        <f>IF('Resultado da inspeção'!S44='Resultado da inspeção'!$W$3,0%,Ranking!AE44)</f>
        <v>0.02</v>
      </c>
      <c r="AU44" s="49">
        <f t="shared" si="18"/>
        <v>1</v>
      </c>
    </row>
    <row r="45" spans="2:47" x14ac:dyDescent="0.25">
      <c r="B45" s="48">
        <f>IF('Resultado da inspeção'!F45='Resultado da inspeção'!$W$4,0%,Ranking!B$5)</f>
        <v>0.02</v>
      </c>
      <c r="C45" s="48">
        <f>IF('Resultado da inspeção'!G45='Resultado da inspeção'!$W$4,0%,Ranking!C$5)</f>
        <v>0.03</v>
      </c>
      <c r="D45" s="48">
        <f>IF('Resultado da inspeção'!H45='Resultado da inspeção'!$W$4,0%,Ranking!D$5)</f>
        <v>0.03</v>
      </c>
      <c r="E45" s="48">
        <f>IF('Resultado da inspeção'!I45='Resultado da inspeção'!$W$4,0%,Ranking!E$5)</f>
        <v>0.1</v>
      </c>
      <c r="F45" s="48">
        <f>IF('Resultado da inspeção'!J45='Resultado da inspeção'!$W$4,0%,Ranking!F$5)</f>
        <v>0.21</v>
      </c>
      <c r="G45" s="48">
        <f>IF('Resultado da inspeção'!K45='Resultado da inspeção'!$W$4,0%,Ranking!G$5)</f>
        <v>0.05</v>
      </c>
      <c r="H45" s="48">
        <f>IF('Resultado da inspeção'!L45='Resultado da inspeção'!$W$4,0%,Ranking!H$5)</f>
        <v>0.24</v>
      </c>
      <c r="I45" s="48">
        <f>IF('Resultado da inspeção'!M45='Resultado da inspeção'!$W$4,0%,Ranking!I$5)</f>
        <v>0.05</v>
      </c>
      <c r="J45" s="48">
        <f>IF('Resultado da inspeção'!N45='Resultado da inspeção'!$W$4,0%,Ranking!J$5)</f>
        <v>0.04</v>
      </c>
      <c r="K45" s="48">
        <f>IF('Resultado da inspeção'!O45='Resultado da inspeção'!$W$4,0%,Ranking!K$5)</f>
        <v>0.06</v>
      </c>
      <c r="L45" s="48">
        <f>IF('Resultado da inspeção'!P45='Resultado da inspeção'!$W$4,0%,Ranking!L$5)</f>
        <v>0.08</v>
      </c>
      <c r="M45" s="48">
        <f>IF('Resultado da inspeção'!Q45='Resultado da inspeção'!$W$4,0%,Ranking!M$5)</f>
        <v>0.05</v>
      </c>
      <c r="N45" s="48">
        <f>IF('Resultado da inspeção'!R45='Resultado da inspeção'!$W$4,0%,Ranking!N$5)</f>
        <v>0.02</v>
      </c>
      <c r="O45" s="48">
        <f>IF('Resultado da inspeção'!S45='Resultado da inspeção'!$W$4,0%,Ranking!O$5)</f>
        <v>0.02</v>
      </c>
      <c r="P45" s="47">
        <f t="shared" si="0"/>
        <v>1</v>
      </c>
      <c r="Q45" s="49">
        <f t="shared" si="16"/>
        <v>0</v>
      </c>
      <c r="R45" s="50">
        <f t="shared" si="1"/>
        <v>0.02</v>
      </c>
      <c r="S45" s="50">
        <f t="shared" si="2"/>
        <v>0.03</v>
      </c>
      <c r="T45" s="50">
        <f t="shared" si="3"/>
        <v>0.03</v>
      </c>
      <c r="U45" s="50">
        <f t="shared" si="4"/>
        <v>0.1</v>
      </c>
      <c r="V45" s="50">
        <f t="shared" si="5"/>
        <v>0.21</v>
      </c>
      <c r="W45" s="50">
        <f t="shared" si="6"/>
        <v>0.05</v>
      </c>
      <c r="X45" s="50">
        <f t="shared" si="7"/>
        <v>0.24</v>
      </c>
      <c r="Y45" s="50">
        <f t="shared" si="8"/>
        <v>0.05</v>
      </c>
      <c r="Z45" s="50">
        <f t="shared" si="9"/>
        <v>0.04</v>
      </c>
      <c r="AA45" s="50">
        <f t="shared" si="10"/>
        <v>0.06</v>
      </c>
      <c r="AB45" s="50">
        <f t="shared" si="11"/>
        <v>0.08</v>
      </c>
      <c r="AC45" s="50">
        <f t="shared" si="12"/>
        <v>0.05</v>
      </c>
      <c r="AD45" s="50">
        <f t="shared" si="13"/>
        <v>0.02</v>
      </c>
      <c r="AE45" s="50">
        <f t="shared" si="14"/>
        <v>0.02</v>
      </c>
      <c r="AF45" s="47">
        <f t="shared" si="17"/>
        <v>1</v>
      </c>
      <c r="AG45" s="50">
        <f>IF('Resultado da inspeção'!F45='Resultado da inspeção'!$W$3,0%,Ranking!R45)</f>
        <v>0.02</v>
      </c>
      <c r="AH45" s="50">
        <f>IF('Resultado da inspeção'!G45='Resultado da inspeção'!$W$3,0%,Ranking!S45)</f>
        <v>0.03</v>
      </c>
      <c r="AI45" s="50">
        <f>IF('Resultado da inspeção'!H45='Resultado da inspeção'!$W$3,0%,Ranking!T45)</f>
        <v>0.03</v>
      </c>
      <c r="AJ45" s="50">
        <f>IF('Resultado da inspeção'!I45='Resultado da inspeção'!$W$3,0%,Ranking!U45)</f>
        <v>0.1</v>
      </c>
      <c r="AK45" s="50">
        <f>IF('Resultado da inspeção'!J45='Resultado da inspeção'!$W$3,0%,Ranking!V45)</f>
        <v>0.21</v>
      </c>
      <c r="AL45" s="50">
        <f>IF('Resultado da inspeção'!K45='Resultado da inspeção'!$W$3,0%,Ranking!W45)</f>
        <v>0.05</v>
      </c>
      <c r="AM45" s="50">
        <f>IF('Resultado da inspeção'!L45='Resultado da inspeção'!$W$3,0%,Ranking!X45)</f>
        <v>0.24</v>
      </c>
      <c r="AN45" s="50">
        <f>IF('Resultado da inspeção'!M45='Resultado da inspeção'!$W$3,0%,Ranking!Y45)</f>
        <v>0.05</v>
      </c>
      <c r="AO45" s="50">
        <f>IF('Resultado da inspeção'!N45='Resultado da inspeção'!$W$3,0%,Ranking!Z45)</f>
        <v>0.04</v>
      </c>
      <c r="AP45" s="50">
        <f>IF('Resultado da inspeção'!O45='Resultado da inspeção'!$W$3,0%,Ranking!AA45)</f>
        <v>0.06</v>
      </c>
      <c r="AQ45" s="50">
        <f>IF('Resultado da inspeção'!P45='Resultado da inspeção'!$W$3,0%,Ranking!AB45)</f>
        <v>0.08</v>
      </c>
      <c r="AR45" s="50">
        <f>IF('Resultado da inspeção'!Q45='Resultado da inspeção'!$W$3,0%,Ranking!AC45)</f>
        <v>0.05</v>
      </c>
      <c r="AS45" s="50">
        <f>IF('Resultado da inspeção'!R45='Resultado da inspeção'!$W$3,0%,Ranking!AD45)</f>
        <v>0.02</v>
      </c>
      <c r="AT45" s="50">
        <f>IF('Resultado da inspeção'!S45='Resultado da inspeção'!$W$3,0%,Ranking!AE45)</f>
        <v>0.02</v>
      </c>
      <c r="AU45" s="49">
        <f t="shared" si="18"/>
        <v>1</v>
      </c>
    </row>
    <row r="46" spans="2:47" x14ac:dyDescent="0.25">
      <c r="B46" s="48">
        <f>IF('Resultado da inspeção'!F46='Resultado da inspeção'!$W$4,0%,Ranking!B$5)</f>
        <v>0.02</v>
      </c>
      <c r="C46" s="48">
        <f>IF('Resultado da inspeção'!G46='Resultado da inspeção'!$W$4,0%,Ranking!C$5)</f>
        <v>0.03</v>
      </c>
      <c r="D46" s="48">
        <f>IF('Resultado da inspeção'!H46='Resultado da inspeção'!$W$4,0%,Ranking!D$5)</f>
        <v>0.03</v>
      </c>
      <c r="E46" s="48">
        <f>IF('Resultado da inspeção'!I46='Resultado da inspeção'!$W$4,0%,Ranking!E$5)</f>
        <v>0.1</v>
      </c>
      <c r="F46" s="48">
        <f>IF('Resultado da inspeção'!J46='Resultado da inspeção'!$W$4,0%,Ranking!F$5)</f>
        <v>0.21</v>
      </c>
      <c r="G46" s="48">
        <f>IF('Resultado da inspeção'!K46='Resultado da inspeção'!$W$4,0%,Ranking!G$5)</f>
        <v>0.05</v>
      </c>
      <c r="H46" s="48">
        <f>IF('Resultado da inspeção'!L46='Resultado da inspeção'!$W$4,0%,Ranking!H$5)</f>
        <v>0.24</v>
      </c>
      <c r="I46" s="48">
        <f>IF('Resultado da inspeção'!M46='Resultado da inspeção'!$W$4,0%,Ranking!I$5)</f>
        <v>0.05</v>
      </c>
      <c r="J46" s="48">
        <f>IF('Resultado da inspeção'!N46='Resultado da inspeção'!$W$4,0%,Ranking!J$5)</f>
        <v>0.04</v>
      </c>
      <c r="K46" s="48">
        <f>IF('Resultado da inspeção'!O46='Resultado da inspeção'!$W$4,0%,Ranking!K$5)</f>
        <v>0.06</v>
      </c>
      <c r="L46" s="48">
        <f>IF('Resultado da inspeção'!P46='Resultado da inspeção'!$W$4,0%,Ranking!L$5)</f>
        <v>0.08</v>
      </c>
      <c r="M46" s="48">
        <f>IF('Resultado da inspeção'!Q46='Resultado da inspeção'!$W$4,0%,Ranking!M$5)</f>
        <v>0.05</v>
      </c>
      <c r="N46" s="48">
        <f>IF('Resultado da inspeção'!R46='Resultado da inspeção'!$W$4,0%,Ranking!N$5)</f>
        <v>0.02</v>
      </c>
      <c r="O46" s="48">
        <f>IF('Resultado da inspeção'!S46='Resultado da inspeção'!$W$4,0%,Ranking!O$5)</f>
        <v>0.02</v>
      </c>
      <c r="P46" s="47">
        <f t="shared" si="0"/>
        <v>1</v>
      </c>
      <c r="Q46" s="49">
        <f t="shared" si="16"/>
        <v>0</v>
      </c>
      <c r="R46" s="50">
        <f t="shared" si="1"/>
        <v>0.02</v>
      </c>
      <c r="S46" s="50">
        <f t="shared" si="2"/>
        <v>0.03</v>
      </c>
      <c r="T46" s="50">
        <f t="shared" si="3"/>
        <v>0.03</v>
      </c>
      <c r="U46" s="50">
        <f t="shared" si="4"/>
        <v>0.1</v>
      </c>
      <c r="V46" s="50">
        <f t="shared" si="5"/>
        <v>0.21</v>
      </c>
      <c r="W46" s="50">
        <f t="shared" si="6"/>
        <v>0.05</v>
      </c>
      <c r="X46" s="50">
        <f t="shared" si="7"/>
        <v>0.24</v>
      </c>
      <c r="Y46" s="50">
        <f t="shared" si="8"/>
        <v>0.05</v>
      </c>
      <c r="Z46" s="50">
        <f t="shared" si="9"/>
        <v>0.04</v>
      </c>
      <c r="AA46" s="50">
        <f t="shared" si="10"/>
        <v>0.06</v>
      </c>
      <c r="AB46" s="50">
        <f t="shared" si="11"/>
        <v>0.08</v>
      </c>
      <c r="AC46" s="50">
        <f t="shared" si="12"/>
        <v>0.05</v>
      </c>
      <c r="AD46" s="50">
        <f t="shared" si="13"/>
        <v>0.02</v>
      </c>
      <c r="AE46" s="50">
        <f t="shared" si="14"/>
        <v>0.02</v>
      </c>
      <c r="AF46" s="47">
        <f t="shared" si="17"/>
        <v>1</v>
      </c>
      <c r="AG46" s="50">
        <f>IF('Resultado da inspeção'!F46='Resultado da inspeção'!$W$3,0%,Ranking!R46)</f>
        <v>0.02</v>
      </c>
      <c r="AH46" s="50">
        <f>IF('Resultado da inspeção'!G46='Resultado da inspeção'!$W$3,0%,Ranking!S46)</f>
        <v>0.03</v>
      </c>
      <c r="AI46" s="50">
        <f>IF('Resultado da inspeção'!H46='Resultado da inspeção'!$W$3,0%,Ranking!T46)</f>
        <v>0.03</v>
      </c>
      <c r="AJ46" s="50">
        <f>IF('Resultado da inspeção'!I46='Resultado da inspeção'!$W$3,0%,Ranking!U46)</f>
        <v>0.1</v>
      </c>
      <c r="AK46" s="50">
        <f>IF('Resultado da inspeção'!J46='Resultado da inspeção'!$W$3,0%,Ranking!V46)</f>
        <v>0.21</v>
      </c>
      <c r="AL46" s="50">
        <f>IF('Resultado da inspeção'!K46='Resultado da inspeção'!$W$3,0%,Ranking!W46)</f>
        <v>0.05</v>
      </c>
      <c r="AM46" s="50">
        <f>IF('Resultado da inspeção'!L46='Resultado da inspeção'!$W$3,0%,Ranking!X46)</f>
        <v>0.24</v>
      </c>
      <c r="AN46" s="50">
        <f>IF('Resultado da inspeção'!M46='Resultado da inspeção'!$W$3,0%,Ranking!Y46)</f>
        <v>0.05</v>
      </c>
      <c r="AO46" s="50">
        <f>IF('Resultado da inspeção'!N46='Resultado da inspeção'!$W$3,0%,Ranking!Z46)</f>
        <v>0.04</v>
      </c>
      <c r="AP46" s="50">
        <f>IF('Resultado da inspeção'!O46='Resultado da inspeção'!$W$3,0%,Ranking!AA46)</f>
        <v>0.06</v>
      </c>
      <c r="AQ46" s="50">
        <f>IF('Resultado da inspeção'!P46='Resultado da inspeção'!$W$3,0%,Ranking!AB46)</f>
        <v>0.08</v>
      </c>
      <c r="AR46" s="50">
        <f>IF('Resultado da inspeção'!Q46='Resultado da inspeção'!$W$3,0%,Ranking!AC46)</f>
        <v>0.05</v>
      </c>
      <c r="AS46" s="50">
        <f>IF('Resultado da inspeção'!R46='Resultado da inspeção'!$W$3,0%,Ranking!AD46)</f>
        <v>0.02</v>
      </c>
      <c r="AT46" s="50">
        <f>IF('Resultado da inspeção'!S46='Resultado da inspeção'!$W$3,0%,Ranking!AE46)</f>
        <v>0.02</v>
      </c>
      <c r="AU46" s="49">
        <f t="shared" si="18"/>
        <v>1</v>
      </c>
    </row>
    <row r="47" spans="2:47" x14ac:dyDescent="0.25">
      <c r="B47" s="48">
        <f>IF('Resultado da inspeção'!F47='Resultado da inspeção'!$W$4,0%,Ranking!B$5)</f>
        <v>0.02</v>
      </c>
      <c r="C47" s="48">
        <f>IF('Resultado da inspeção'!G47='Resultado da inspeção'!$W$4,0%,Ranking!C$5)</f>
        <v>0.03</v>
      </c>
      <c r="D47" s="48">
        <f>IF('Resultado da inspeção'!H47='Resultado da inspeção'!$W$4,0%,Ranking!D$5)</f>
        <v>0.03</v>
      </c>
      <c r="E47" s="48">
        <f>IF('Resultado da inspeção'!I47='Resultado da inspeção'!$W$4,0%,Ranking!E$5)</f>
        <v>0.1</v>
      </c>
      <c r="F47" s="48">
        <f>IF('Resultado da inspeção'!J47='Resultado da inspeção'!$W$4,0%,Ranking!F$5)</f>
        <v>0.21</v>
      </c>
      <c r="G47" s="48">
        <f>IF('Resultado da inspeção'!K47='Resultado da inspeção'!$W$4,0%,Ranking!G$5)</f>
        <v>0.05</v>
      </c>
      <c r="H47" s="48">
        <f>IF('Resultado da inspeção'!L47='Resultado da inspeção'!$W$4,0%,Ranking!H$5)</f>
        <v>0.24</v>
      </c>
      <c r="I47" s="48">
        <f>IF('Resultado da inspeção'!M47='Resultado da inspeção'!$W$4,0%,Ranking!I$5)</f>
        <v>0.05</v>
      </c>
      <c r="J47" s="48">
        <f>IF('Resultado da inspeção'!N47='Resultado da inspeção'!$W$4,0%,Ranking!J$5)</f>
        <v>0.04</v>
      </c>
      <c r="K47" s="48">
        <f>IF('Resultado da inspeção'!O47='Resultado da inspeção'!$W$4,0%,Ranking!K$5)</f>
        <v>0.06</v>
      </c>
      <c r="L47" s="48">
        <f>IF('Resultado da inspeção'!P47='Resultado da inspeção'!$W$4,0%,Ranking!L$5)</f>
        <v>0.08</v>
      </c>
      <c r="M47" s="48">
        <f>IF('Resultado da inspeção'!Q47='Resultado da inspeção'!$W$4,0%,Ranking!M$5)</f>
        <v>0.05</v>
      </c>
      <c r="N47" s="48">
        <f>IF('Resultado da inspeção'!R47='Resultado da inspeção'!$W$4,0%,Ranking!N$5)</f>
        <v>0.02</v>
      </c>
      <c r="O47" s="48">
        <f>IF('Resultado da inspeção'!S47='Resultado da inspeção'!$W$4,0%,Ranking!O$5)</f>
        <v>0.02</v>
      </c>
      <c r="P47" s="47">
        <f t="shared" si="0"/>
        <v>1</v>
      </c>
      <c r="Q47" s="49">
        <f t="shared" si="16"/>
        <v>0</v>
      </c>
      <c r="R47" s="50">
        <f t="shared" si="1"/>
        <v>0.02</v>
      </c>
      <c r="S47" s="50">
        <f t="shared" si="2"/>
        <v>0.03</v>
      </c>
      <c r="T47" s="50">
        <f t="shared" si="3"/>
        <v>0.03</v>
      </c>
      <c r="U47" s="50">
        <f t="shared" si="4"/>
        <v>0.1</v>
      </c>
      <c r="V47" s="50">
        <f t="shared" si="5"/>
        <v>0.21</v>
      </c>
      <c r="W47" s="50">
        <f t="shared" si="6"/>
        <v>0.05</v>
      </c>
      <c r="X47" s="50">
        <f t="shared" si="7"/>
        <v>0.24</v>
      </c>
      <c r="Y47" s="50">
        <f t="shared" si="8"/>
        <v>0.05</v>
      </c>
      <c r="Z47" s="50">
        <f t="shared" si="9"/>
        <v>0.04</v>
      </c>
      <c r="AA47" s="50">
        <f t="shared" si="10"/>
        <v>0.06</v>
      </c>
      <c r="AB47" s="50">
        <f t="shared" si="11"/>
        <v>0.08</v>
      </c>
      <c r="AC47" s="50">
        <f t="shared" si="12"/>
        <v>0.05</v>
      </c>
      <c r="AD47" s="50">
        <f t="shared" si="13"/>
        <v>0.02</v>
      </c>
      <c r="AE47" s="50">
        <f t="shared" si="14"/>
        <v>0.02</v>
      </c>
      <c r="AF47" s="47">
        <f t="shared" si="17"/>
        <v>1</v>
      </c>
      <c r="AG47" s="50">
        <f>IF('Resultado da inspeção'!F47='Resultado da inspeção'!$W$3,0%,Ranking!R47)</f>
        <v>0.02</v>
      </c>
      <c r="AH47" s="50">
        <f>IF('Resultado da inspeção'!G47='Resultado da inspeção'!$W$3,0%,Ranking!S47)</f>
        <v>0.03</v>
      </c>
      <c r="AI47" s="50">
        <f>IF('Resultado da inspeção'!H47='Resultado da inspeção'!$W$3,0%,Ranking!T47)</f>
        <v>0.03</v>
      </c>
      <c r="AJ47" s="50">
        <f>IF('Resultado da inspeção'!I47='Resultado da inspeção'!$W$3,0%,Ranking!U47)</f>
        <v>0.1</v>
      </c>
      <c r="AK47" s="50">
        <f>IF('Resultado da inspeção'!J47='Resultado da inspeção'!$W$3,0%,Ranking!V47)</f>
        <v>0.21</v>
      </c>
      <c r="AL47" s="50">
        <f>IF('Resultado da inspeção'!K47='Resultado da inspeção'!$W$3,0%,Ranking!W47)</f>
        <v>0.05</v>
      </c>
      <c r="AM47" s="50">
        <f>IF('Resultado da inspeção'!L47='Resultado da inspeção'!$W$3,0%,Ranking!X47)</f>
        <v>0.24</v>
      </c>
      <c r="AN47" s="50">
        <f>IF('Resultado da inspeção'!M47='Resultado da inspeção'!$W$3,0%,Ranking!Y47)</f>
        <v>0.05</v>
      </c>
      <c r="AO47" s="50">
        <f>IF('Resultado da inspeção'!N47='Resultado da inspeção'!$W$3,0%,Ranking!Z47)</f>
        <v>0.04</v>
      </c>
      <c r="AP47" s="50">
        <f>IF('Resultado da inspeção'!O47='Resultado da inspeção'!$W$3,0%,Ranking!AA47)</f>
        <v>0.06</v>
      </c>
      <c r="AQ47" s="50">
        <f>IF('Resultado da inspeção'!P47='Resultado da inspeção'!$W$3,0%,Ranking!AB47)</f>
        <v>0.08</v>
      </c>
      <c r="AR47" s="50">
        <f>IF('Resultado da inspeção'!Q47='Resultado da inspeção'!$W$3,0%,Ranking!AC47)</f>
        <v>0.05</v>
      </c>
      <c r="AS47" s="50">
        <f>IF('Resultado da inspeção'!R47='Resultado da inspeção'!$W$3,0%,Ranking!AD47)</f>
        <v>0.02</v>
      </c>
      <c r="AT47" s="50">
        <f>IF('Resultado da inspeção'!S47='Resultado da inspeção'!$W$3,0%,Ranking!AE47)</f>
        <v>0.02</v>
      </c>
      <c r="AU47" s="49">
        <f t="shared" si="18"/>
        <v>1</v>
      </c>
    </row>
    <row r="48" spans="2:47" x14ac:dyDescent="0.25">
      <c r="B48" s="48">
        <f>IF('Resultado da inspeção'!F48='Resultado da inspeção'!$W$4,0%,Ranking!B$5)</f>
        <v>0.02</v>
      </c>
      <c r="C48" s="48">
        <f>IF('Resultado da inspeção'!G48='Resultado da inspeção'!$W$4,0%,Ranking!C$5)</f>
        <v>0.03</v>
      </c>
      <c r="D48" s="48">
        <f>IF('Resultado da inspeção'!H48='Resultado da inspeção'!$W$4,0%,Ranking!D$5)</f>
        <v>0.03</v>
      </c>
      <c r="E48" s="48">
        <f>IF('Resultado da inspeção'!I48='Resultado da inspeção'!$W$4,0%,Ranking!E$5)</f>
        <v>0.1</v>
      </c>
      <c r="F48" s="48">
        <f>IF('Resultado da inspeção'!J48='Resultado da inspeção'!$W$4,0%,Ranking!F$5)</f>
        <v>0.21</v>
      </c>
      <c r="G48" s="48">
        <f>IF('Resultado da inspeção'!K48='Resultado da inspeção'!$W$4,0%,Ranking!G$5)</f>
        <v>0.05</v>
      </c>
      <c r="H48" s="48">
        <f>IF('Resultado da inspeção'!L48='Resultado da inspeção'!$W$4,0%,Ranking!H$5)</f>
        <v>0.24</v>
      </c>
      <c r="I48" s="48">
        <f>IF('Resultado da inspeção'!M48='Resultado da inspeção'!$W$4,0%,Ranking!I$5)</f>
        <v>0.05</v>
      </c>
      <c r="J48" s="48">
        <f>IF('Resultado da inspeção'!N48='Resultado da inspeção'!$W$4,0%,Ranking!J$5)</f>
        <v>0.04</v>
      </c>
      <c r="K48" s="48">
        <f>IF('Resultado da inspeção'!O48='Resultado da inspeção'!$W$4,0%,Ranking!K$5)</f>
        <v>0.06</v>
      </c>
      <c r="L48" s="48">
        <f>IF('Resultado da inspeção'!P48='Resultado da inspeção'!$W$4,0%,Ranking!L$5)</f>
        <v>0.08</v>
      </c>
      <c r="M48" s="48">
        <f>IF('Resultado da inspeção'!Q48='Resultado da inspeção'!$W$4,0%,Ranking!M$5)</f>
        <v>0.05</v>
      </c>
      <c r="N48" s="48">
        <f>IF('Resultado da inspeção'!R48='Resultado da inspeção'!$W$4,0%,Ranking!N$5)</f>
        <v>0.02</v>
      </c>
      <c r="O48" s="48">
        <f>IF('Resultado da inspeção'!S48='Resultado da inspeção'!$W$4,0%,Ranking!O$5)</f>
        <v>0.02</v>
      </c>
      <c r="P48" s="47">
        <f t="shared" si="0"/>
        <v>1</v>
      </c>
      <c r="Q48" s="49">
        <f t="shared" si="16"/>
        <v>0</v>
      </c>
      <c r="R48" s="50">
        <f t="shared" si="1"/>
        <v>0.02</v>
      </c>
      <c r="S48" s="50">
        <f t="shared" si="2"/>
        <v>0.03</v>
      </c>
      <c r="T48" s="50">
        <f t="shared" si="3"/>
        <v>0.03</v>
      </c>
      <c r="U48" s="50">
        <f t="shared" si="4"/>
        <v>0.1</v>
      </c>
      <c r="V48" s="50">
        <f t="shared" si="5"/>
        <v>0.21</v>
      </c>
      <c r="W48" s="50">
        <f t="shared" si="6"/>
        <v>0.05</v>
      </c>
      <c r="X48" s="50">
        <f t="shared" si="7"/>
        <v>0.24</v>
      </c>
      <c r="Y48" s="50">
        <f t="shared" si="8"/>
        <v>0.05</v>
      </c>
      <c r="Z48" s="50">
        <f t="shared" si="9"/>
        <v>0.04</v>
      </c>
      <c r="AA48" s="50">
        <f t="shared" si="10"/>
        <v>0.06</v>
      </c>
      <c r="AB48" s="50">
        <f t="shared" si="11"/>
        <v>0.08</v>
      </c>
      <c r="AC48" s="50">
        <f t="shared" si="12"/>
        <v>0.05</v>
      </c>
      <c r="AD48" s="50">
        <f t="shared" si="13"/>
        <v>0.02</v>
      </c>
      <c r="AE48" s="50">
        <f t="shared" si="14"/>
        <v>0.02</v>
      </c>
      <c r="AF48" s="47">
        <f t="shared" si="17"/>
        <v>1</v>
      </c>
      <c r="AG48" s="50">
        <f>IF('Resultado da inspeção'!F48='Resultado da inspeção'!$W$3,0%,Ranking!R48)</f>
        <v>0.02</v>
      </c>
      <c r="AH48" s="50">
        <f>IF('Resultado da inspeção'!G48='Resultado da inspeção'!$W$3,0%,Ranking!S48)</f>
        <v>0.03</v>
      </c>
      <c r="AI48" s="50">
        <f>IF('Resultado da inspeção'!H48='Resultado da inspeção'!$W$3,0%,Ranking!T48)</f>
        <v>0.03</v>
      </c>
      <c r="AJ48" s="50">
        <f>IF('Resultado da inspeção'!I48='Resultado da inspeção'!$W$3,0%,Ranking!U48)</f>
        <v>0.1</v>
      </c>
      <c r="AK48" s="50">
        <f>IF('Resultado da inspeção'!J48='Resultado da inspeção'!$W$3,0%,Ranking!V48)</f>
        <v>0.21</v>
      </c>
      <c r="AL48" s="50">
        <f>IF('Resultado da inspeção'!K48='Resultado da inspeção'!$W$3,0%,Ranking!W48)</f>
        <v>0.05</v>
      </c>
      <c r="AM48" s="50">
        <f>IF('Resultado da inspeção'!L48='Resultado da inspeção'!$W$3,0%,Ranking!X48)</f>
        <v>0.24</v>
      </c>
      <c r="AN48" s="50">
        <f>IF('Resultado da inspeção'!M48='Resultado da inspeção'!$W$3,0%,Ranking!Y48)</f>
        <v>0.05</v>
      </c>
      <c r="AO48" s="50">
        <f>IF('Resultado da inspeção'!N48='Resultado da inspeção'!$W$3,0%,Ranking!Z48)</f>
        <v>0.04</v>
      </c>
      <c r="AP48" s="50">
        <f>IF('Resultado da inspeção'!O48='Resultado da inspeção'!$W$3,0%,Ranking!AA48)</f>
        <v>0.06</v>
      </c>
      <c r="AQ48" s="50">
        <f>IF('Resultado da inspeção'!P48='Resultado da inspeção'!$W$3,0%,Ranking!AB48)</f>
        <v>0.08</v>
      </c>
      <c r="AR48" s="50">
        <f>IF('Resultado da inspeção'!Q48='Resultado da inspeção'!$W$3,0%,Ranking!AC48)</f>
        <v>0.05</v>
      </c>
      <c r="AS48" s="50">
        <f>IF('Resultado da inspeção'!R48='Resultado da inspeção'!$W$3,0%,Ranking!AD48)</f>
        <v>0.02</v>
      </c>
      <c r="AT48" s="50">
        <f>IF('Resultado da inspeção'!S48='Resultado da inspeção'!$W$3,0%,Ranking!AE48)</f>
        <v>0.02</v>
      </c>
      <c r="AU48" s="49">
        <f t="shared" si="18"/>
        <v>1</v>
      </c>
    </row>
    <row r="49" spans="2:47" x14ac:dyDescent="0.25">
      <c r="B49" s="48">
        <f>IF('Resultado da inspeção'!F49='Resultado da inspeção'!$W$4,0%,Ranking!B$5)</f>
        <v>0.02</v>
      </c>
      <c r="C49" s="48">
        <f>IF('Resultado da inspeção'!G49='Resultado da inspeção'!$W$4,0%,Ranking!C$5)</f>
        <v>0.03</v>
      </c>
      <c r="D49" s="48">
        <f>IF('Resultado da inspeção'!H49='Resultado da inspeção'!$W$4,0%,Ranking!D$5)</f>
        <v>0.03</v>
      </c>
      <c r="E49" s="48">
        <f>IF('Resultado da inspeção'!I49='Resultado da inspeção'!$W$4,0%,Ranking!E$5)</f>
        <v>0.1</v>
      </c>
      <c r="F49" s="48">
        <f>IF('Resultado da inspeção'!J49='Resultado da inspeção'!$W$4,0%,Ranking!F$5)</f>
        <v>0.21</v>
      </c>
      <c r="G49" s="48">
        <f>IF('Resultado da inspeção'!K49='Resultado da inspeção'!$W$4,0%,Ranking!G$5)</f>
        <v>0.05</v>
      </c>
      <c r="H49" s="48">
        <f>IF('Resultado da inspeção'!L49='Resultado da inspeção'!$W$4,0%,Ranking!H$5)</f>
        <v>0.24</v>
      </c>
      <c r="I49" s="48">
        <f>IF('Resultado da inspeção'!M49='Resultado da inspeção'!$W$4,0%,Ranking!I$5)</f>
        <v>0.05</v>
      </c>
      <c r="J49" s="48">
        <f>IF('Resultado da inspeção'!N49='Resultado da inspeção'!$W$4,0%,Ranking!J$5)</f>
        <v>0.04</v>
      </c>
      <c r="K49" s="48">
        <f>IF('Resultado da inspeção'!O49='Resultado da inspeção'!$W$4,0%,Ranking!K$5)</f>
        <v>0.06</v>
      </c>
      <c r="L49" s="48">
        <f>IF('Resultado da inspeção'!P49='Resultado da inspeção'!$W$4,0%,Ranking!L$5)</f>
        <v>0.08</v>
      </c>
      <c r="M49" s="48">
        <f>IF('Resultado da inspeção'!Q49='Resultado da inspeção'!$W$4,0%,Ranking!M$5)</f>
        <v>0.05</v>
      </c>
      <c r="N49" s="48">
        <f>IF('Resultado da inspeção'!R49='Resultado da inspeção'!$W$4,0%,Ranking!N$5)</f>
        <v>0.02</v>
      </c>
      <c r="O49" s="48">
        <f>IF('Resultado da inspeção'!S49='Resultado da inspeção'!$W$4,0%,Ranking!O$5)</f>
        <v>0.02</v>
      </c>
      <c r="P49" s="47">
        <f t="shared" si="0"/>
        <v>1</v>
      </c>
      <c r="Q49" s="49">
        <f t="shared" si="16"/>
        <v>0</v>
      </c>
      <c r="R49" s="50">
        <f t="shared" si="1"/>
        <v>0.02</v>
      </c>
      <c r="S49" s="50">
        <f t="shared" si="2"/>
        <v>0.03</v>
      </c>
      <c r="T49" s="50">
        <f t="shared" si="3"/>
        <v>0.03</v>
      </c>
      <c r="U49" s="50">
        <f t="shared" si="4"/>
        <v>0.1</v>
      </c>
      <c r="V49" s="50">
        <f t="shared" si="5"/>
        <v>0.21</v>
      </c>
      <c r="W49" s="50">
        <f t="shared" si="6"/>
        <v>0.05</v>
      </c>
      <c r="X49" s="50">
        <f t="shared" si="7"/>
        <v>0.24</v>
      </c>
      <c r="Y49" s="50">
        <f t="shared" si="8"/>
        <v>0.05</v>
      </c>
      <c r="Z49" s="50">
        <f t="shared" si="9"/>
        <v>0.04</v>
      </c>
      <c r="AA49" s="50">
        <f t="shared" si="10"/>
        <v>0.06</v>
      </c>
      <c r="AB49" s="50">
        <f t="shared" si="11"/>
        <v>0.08</v>
      </c>
      <c r="AC49" s="50">
        <f t="shared" si="12"/>
        <v>0.05</v>
      </c>
      <c r="AD49" s="50">
        <f t="shared" si="13"/>
        <v>0.02</v>
      </c>
      <c r="AE49" s="50">
        <f t="shared" si="14"/>
        <v>0.02</v>
      </c>
      <c r="AF49" s="47">
        <f t="shared" si="17"/>
        <v>1</v>
      </c>
      <c r="AG49" s="50">
        <f>IF('Resultado da inspeção'!F49='Resultado da inspeção'!$W$3,0%,Ranking!R49)</f>
        <v>0.02</v>
      </c>
      <c r="AH49" s="50">
        <f>IF('Resultado da inspeção'!G49='Resultado da inspeção'!$W$3,0%,Ranking!S49)</f>
        <v>0.03</v>
      </c>
      <c r="AI49" s="50">
        <f>IF('Resultado da inspeção'!H49='Resultado da inspeção'!$W$3,0%,Ranking!T49)</f>
        <v>0.03</v>
      </c>
      <c r="AJ49" s="50">
        <f>IF('Resultado da inspeção'!I49='Resultado da inspeção'!$W$3,0%,Ranking!U49)</f>
        <v>0.1</v>
      </c>
      <c r="AK49" s="50">
        <f>IF('Resultado da inspeção'!J49='Resultado da inspeção'!$W$3,0%,Ranking!V49)</f>
        <v>0.21</v>
      </c>
      <c r="AL49" s="50">
        <f>IF('Resultado da inspeção'!K49='Resultado da inspeção'!$W$3,0%,Ranking!W49)</f>
        <v>0.05</v>
      </c>
      <c r="AM49" s="50">
        <f>IF('Resultado da inspeção'!L49='Resultado da inspeção'!$W$3,0%,Ranking!X49)</f>
        <v>0.24</v>
      </c>
      <c r="AN49" s="50">
        <f>IF('Resultado da inspeção'!M49='Resultado da inspeção'!$W$3,0%,Ranking!Y49)</f>
        <v>0.05</v>
      </c>
      <c r="AO49" s="50">
        <f>IF('Resultado da inspeção'!N49='Resultado da inspeção'!$W$3,0%,Ranking!Z49)</f>
        <v>0.04</v>
      </c>
      <c r="AP49" s="50">
        <f>IF('Resultado da inspeção'!O49='Resultado da inspeção'!$W$3,0%,Ranking!AA49)</f>
        <v>0.06</v>
      </c>
      <c r="AQ49" s="50">
        <f>IF('Resultado da inspeção'!P49='Resultado da inspeção'!$W$3,0%,Ranking!AB49)</f>
        <v>0.08</v>
      </c>
      <c r="AR49" s="50">
        <f>IF('Resultado da inspeção'!Q49='Resultado da inspeção'!$W$3,0%,Ranking!AC49)</f>
        <v>0.05</v>
      </c>
      <c r="AS49" s="50">
        <f>IF('Resultado da inspeção'!R49='Resultado da inspeção'!$W$3,0%,Ranking!AD49)</f>
        <v>0.02</v>
      </c>
      <c r="AT49" s="50">
        <f>IF('Resultado da inspeção'!S49='Resultado da inspeção'!$W$3,0%,Ranking!AE49)</f>
        <v>0.02</v>
      </c>
      <c r="AU49" s="49">
        <f t="shared" si="18"/>
        <v>1</v>
      </c>
    </row>
    <row r="50" spans="2:47" x14ac:dyDescent="0.25">
      <c r="B50" s="48">
        <f>IF('Resultado da inspeção'!F50='Resultado da inspeção'!$W$4,0%,Ranking!B$5)</f>
        <v>0.02</v>
      </c>
      <c r="C50" s="48">
        <f>IF('Resultado da inspeção'!G50='Resultado da inspeção'!$W$4,0%,Ranking!C$5)</f>
        <v>0.03</v>
      </c>
      <c r="D50" s="48">
        <f>IF('Resultado da inspeção'!H50='Resultado da inspeção'!$W$4,0%,Ranking!D$5)</f>
        <v>0.03</v>
      </c>
      <c r="E50" s="48">
        <f>IF('Resultado da inspeção'!I50='Resultado da inspeção'!$W$4,0%,Ranking!E$5)</f>
        <v>0.1</v>
      </c>
      <c r="F50" s="48">
        <f>IF('Resultado da inspeção'!J50='Resultado da inspeção'!$W$4,0%,Ranking!F$5)</f>
        <v>0.21</v>
      </c>
      <c r="G50" s="48">
        <f>IF('Resultado da inspeção'!K50='Resultado da inspeção'!$W$4,0%,Ranking!G$5)</f>
        <v>0.05</v>
      </c>
      <c r="H50" s="48">
        <f>IF('Resultado da inspeção'!L50='Resultado da inspeção'!$W$4,0%,Ranking!H$5)</f>
        <v>0.24</v>
      </c>
      <c r="I50" s="48">
        <f>IF('Resultado da inspeção'!M50='Resultado da inspeção'!$W$4,0%,Ranking!I$5)</f>
        <v>0.05</v>
      </c>
      <c r="J50" s="48">
        <f>IF('Resultado da inspeção'!N50='Resultado da inspeção'!$W$4,0%,Ranking!J$5)</f>
        <v>0.04</v>
      </c>
      <c r="K50" s="48">
        <f>IF('Resultado da inspeção'!O50='Resultado da inspeção'!$W$4,0%,Ranking!K$5)</f>
        <v>0.06</v>
      </c>
      <c r="L50" s="48">
        <f>IF('Resultado da inspeção'!P50='Resultado da inspeção'!$W$4,0%,Ranking!L$5)</f>
        <v>0.08</v>
      </c>
      <c r="M50" s="48">
        <f>IF('Resultado da inspeção'!Q50='Resultado da inspeção'!$W$4,0%,Ranking!M$5)</f>
        <v>0.05</v>
      </c>
      <c r="N50" s="48">
        <f>IF('Resultado da inspeção'!R50='Resultado da inspeção'!$W$4,0%,Ranking!N$5)</f>
        <v>0.02</v>
      </c>
      <c r="O50" s="48">
        <f>IF('Resultado da inspeção'!S50='Resultado da inspeção'!$W$4,0%,Ranking!O$5)</f>
        <v>0.02</v>
      </c>
      <c r="P50" s="47">
        <f t="shared" si="0"/>
        <v>1</v>
      </c>
      <c r="Q50" s="49">
        <f t="shared" si="16"/>
        <v>0</v>
      </c>
      <c r="R50" s="50">
        <f t="shared" si="1"/>
        <v>0.02</v>
      </c>
      <c r="S50" s="50">
        <f t="shared" si="2"/>
        <v>0.03</v>
      </c>
      <c r="T50" s="50">
        <f t="shared" si="3"/>
        <v>0.03</v>
      </c>
      <c r="U50" s="50">
        <f t="shared" si="4"/>
        <v>0.1</v>
      </c>
      <c r="V50" s="50">
        <f t="shared" si="5"/>
        <v>0.21</v>
      </c>
      <c r="W50" s="50">
        <f t="shared" si="6"/>
        <v>0.05</v>
      </c>
      <c r="X50" s="50">
        <f t="shared" si="7"/>
        <v>0.24</v>
      </c>
      <c r="Y50" s="50">
        <f t="shared" si="8"/>
        <v>0.05</v>
      </c>
      <c r="Z50" s="50">
        <f t="shared" si="9"/>
        <v>0.04</v>
      </c>
      <c r="AA50" s="50">
        <f t="shared" si="10"/>
        <v>0.06</v>
      </c>
      <c r="AB50" s="50">
        <f t="shared" si="11"/>
        <v>0.08</v>
      </c>
      <c r="AC50" s="50">
        <f t="shared" si="12"/>
        <v>0.05</v>
      </c>
      <c r="AD50" s="50">
        <f t="shared" si="13"/>
        <v>0.02</v>
      </c>
      <c r="AE50" s="50">
        <f t="shared" si="14"/>
        <v>0.02</v>
      </c>
      <c r="AF50" s="47">
        <f t="shared" si="17"/>
        <v>1</v>
      </c>
      <c r="AG50" s="50">
        <f>IF('Resultado da inspeção'!F50='Resultado da inspeção'!$W$3,0%,Ranking!R50)</f>
        <v>0.02</v>
      </c>
      <c r="AH50" s="50">
        <f>IF('Resultado da inspeção'!G50='Resultado da inspeção'!$W$3,0%,Ranking!S50)</f>
        <v>0.03</v>
      </c>
      <c r="AI50" s="50">
        <f>IF('Resultado da inspeção'!H50='Resultado da inspeção'!$W$3,0%,Ranking!T50)</f>
        <v>0.03</v>
      </c>
      <c r="AJ50" s="50">
        <f>IF('Resultado da inspeção'!I50='Resultado da inspeção'!$W$3,0%,Ranking!U50)</f>
        <v>0.1</v>
      </c>
      <c r="AK50" s="50">
        <f>IF('Resultado da inspeção'!J50='Resultado da inspeção'!$W$3,0%,Ranking!V50)</f>
        <v>0.21</v>
      </c>
      <c r="AL50" s="50">
        <f>IF('Resultado da inspeção'!K50='Resultado da inspeção'!$W$3,0%,Ranking!W50)</f>
        <v>0.05</v>
      </c>
      <c r="AM50" s="50">
        <f>IF('Resultado da inspeção'!L50='Resultado da inspeção'!$W$3,0%,Ranking!X50)</f>
        <v>0.24</v>
      </c>
      <c r="AN50" s="50">
        <f>IF('Resultado da inspeção'!M50='Resultado da inspeção'!$W$3,0%,Ranking!Y50)</f>
        <v>0.05</v>
      </c>
      <c r="AO50" s="50">
        <f>IF('Resultado da inspeção'!N50='Resultado da inspeção'!$W$3,0%,Ranking!Z50)</f>
        <v>0.04</v>
      </c>
      <c r="AP50" s="50">
        <f>IF('Resultado da inspeção'!O50='Resultado da inspeção'!$W$3,0%,Ranking!AA50)</f>
        <v>0.06</v>
      </c>
      <c r="AQ50" s="50">
        <f>IF('Resultado da inspeção'!P50='Resultado da inspeção'!$W$3,0%,Ranking!AB50)</f>
        <v>0.08</v>
      </c>
      <c r="AR50" s="50">
        <f>IF('Resultado da inspeção'!Q50='Resultado da inspeção'!$W$3,0%,Ranking!AC50)</f>
        <v>0.05</v>
      </c>
      <c r="AS50" s="50">
        <f>IF('Resultado da inspeção'!R50='Resultado da inspeção'!$W$3,0%,Ranking!AD50)</f>
        <v>0.02</v>
      </c>
      <c r="AT50" s="50">
        <f>IF('Resultado da inspeção'!S50='Resultado da inspeção'!$W$3,0%,Ranking!AE50)</f>
        <v>0.02</v>
      </c>
      <c r="AU50" s="49">
        <f t="shared" si="18"/>
        <v>1</v>
      </c>
    </row>
    <row r="51" spans="2:47" x14ac:dyDescent="0.25">
      <c r="B51" s="48">
        <f>IF('Resultado da inspeção'!F51='Resultado da inspeção'!$W$4,0%,Ranking!B$5)</f>
        <v>0.02</v>
      </c>
      <c r="C51" s="48">
        <f>IF('Resultado da inspeção'!G51='Resultado da inspeção'!$W$4,0%,Ranking!C$5)</f>
        <v>0.03</v>
      </c>
      <c r="D51" s="48">
        <f>IF('Resultado da inspeção'!H51='Resultado da inspeção'!$W$4,0%,Ranking!D$5)</f>
        <v>0.03</v>
      </c>
      <c r="E51" s="48">
        <f>IF('Resultado da inspeção'!I51='Resultado da inspeção'!$W$4,0%,Ranking!E$5)</f>
        <v>0.1</v>
      </c>
      <c r="F51" s="48">
        <f>IF('Resultado da inspeção'!J51='Resultado da inspeção'!$W$4,0%,Ranking!F$5)</f>
        <v>0.21</v>
      </c>
      <c r="G51" s="48">
        <f>IF('Resultado da inspeção'!K51='Resultado da inspeção'!$W$4,0%,Ranking!G$5)</f>
        <v>0.05</v>
      </c>
      <c r="H51" s="48">
        <f>IF('Resultado da inspeção'!L51='Resultado da inspeção'!$W$4,0%,Ranking!H$5)</f>
        <v>0.24</v>
      </c>
      <c r="I51" s="48">
        <f>IF('Resultado da inspeção'!M51='Resultado da inspeção'!$W$4,0%,Ranking!I$5)</f>
        <v>0.05</v>
      </c>
      <c r="J51" s="48">
        <f>IF('Resultado da inspeção'!N51='Resultado da inspeção'!$W$4,0%,Ranking!J$5)</f>
        <v>0.04</v>
      </c>
      <c r="K51" s="48">
        <f>IF('Resultado da inspeção'!O51='Resultado da inspeção'!$W$4,0%,Ranking!K$5)</f>
        <v>0.06</v>
      </c>
      <c r="L51" s="48">
        <f>IF('Resultado da inspeção'!P51='Resultado da inspeção'!$W$4,0%,Ranking!L$5)</f>
        <v>0.08</v>
      </c>
      <c r="M51" s="48">
        <f>IF('Resultado da inspeção'!Q51='Resultado da inspeção'!$W$4,0%,Ranking!M$5)</f>
        <v>0.05</v>
      </c>
      <c r="N51" s="48">
        <f>IF('Resultado da inspeção'!R51='Resultado da inspeção'!$W$4,0%,Ranking!N$5)</f>
        <v>0.02</v>
      </c>
      <c r="O51" s="48">
        <f>IF('Resultado da inspeção'!S51='Resultado da inspeção'!$W$4,0%,Ranking!O$5)</f>
        <v>0.02</v>
      </c>
      <c r="P51" s="47">
        <f t="shared" si="0"/>
        <v>1</v>
      </c>
      <c r="Q51" s="49">
        <f t="shared" si="16"/>
        <v>0</v>
      </c>
      <c r="R51" s="50">
        <f t="shared" si="1"/>
        <v>0.02</v>
      </c>
      <c r="S51" s="50">
        <f t="shared" si="2"/>
        <v>0.03</v>
      </c>
      <c r="T51" s="50">
        <f t="shared" si="3"/>
        <v>0.03</v>
      </c>
      <c r="U51" s="50">
        <f t="shared" si="4"/>
        <v>0.1</v>
      </c>
      <c r="V51" s="50">
        <f t="shared" si="5"/>
        <v>0.21</v>
      </c>
      <c r="W51" s="50">
        <f t="shared" si="6"/>
        <v>0.05</v>
      </c>
      <c r="X51" s="50">
        <f t="shared" si="7"/>
        <v>0.24</v>
      </c>
      <c r="Y51" s="50">
        <f t="shared" si="8"/>
        <v>0.05</v>
      </c>
      <c r="Z51" s="50">
        <f t="shared" si="9"/>
        <v>0.04</v>
      </c>
      <c r="AA51" s="50">
        <f t="shared" si="10"/>
        <v>0.06</v>
      </c>
      <c r="AB51" s="50">
        <f t="shared" si="11"/>
        <v>0.08</v>
      </c>
      <c r="AC51" s="50">
        <f t="shared" si="12"/>
        <v>0.05</v>
      </c>
      <c r="AD51" s="50">
        <f t="shared" si="13"/>
        <v>0.02</v>
      </c>
      <c r="AE51" s="50">
        <f t="shared" si="14"/>
        <v>0.02</v>
      </c>
      <c r="AF51" s="47">
        <f t="shared" si="17"/>
        <v>1</v>
      </c>
      <c r="AG51" s="50">
        <f>IF('Resultado da inspeção'!F51='Resultado da inspeção'!$W$3,0%,Ranking!R51)</f>
        <v>0.02</v>
      </c>
      <c r="AH51" s="50">
        <f>IF('Resultado da inspeção'!G51='Resultado da inspeção'!$W$3,0%,Ranking!S51)</f>
        <v>0.03</v>
      </c>
      <c r="AI51" s="50">
        <f>IF('Resultado da inspeção'!H51='Resultado da inspeção'!$W$3,0%,Ranking!T51)</f>
        <v>0.03</v>
      </c>
      <c r="AJ51" s="50">
        <f>IF('Resultado da inspeção'!I51='Resultado da inspeção'!$W$3,0%,Ranking!U51)</f>
        <v>0.1</v>
      </c>
      <c r="AK51" s="50">
        <f>IF('Resultado da inspeção'!J51='Resultado da inspeção'!$W$3,0%,Ranking!V51)</f>
        <v>0.21</v>
      </c>
      <c r="AL51" s="50">
        <f>IF('Resultado da inspeção'!K51='Resultado da inspeção'!$W$3,0%,Ranking!W51)</f>
        <v>0.05</v>
      </c>
      <c r="AM51" s="50">
        <f>IF('Resultado da inspeção'!L51='Resultado da inspeção'!$W$3,0%,Ranking!X51)</f>
        <v>0.24</v>
      </c>
      <c r="AN51" s="50">
        <f>IF('Resultado da inspeção'!M51='Resultado da inspeção'!$W$3,0%,Ranking!Y51)</f>
        <v>0.05</v>
      </c>
      <c r="AO51" s="50">
        <f>IF('Resultado da inspeção'!N51='Resultado da inspeção'!$W$3,0%,Ranking!Z51)</f>
        <v>0.04</v>
      </c>
      <c r="AP51" s="50">
        <f>IF('Resultado da inspeção'!O51='Resultado da inspeção'!$W$3,0%,Ranking!AA51)</f>
        <v>0.06</v>
      </c>
      <c r="AQ51" s="50">
        <f>IF('Resultado da inspeção'!P51='Resultado da inspeção'!$W$3,0%,Ranking!AB51)</f>
        <v>0.08</v>
      </c>
      <c r="AR51" s="50">
        <f>IF('Resultado da inspeção'!Q51='Resultado da inspeção'!$W$3,0%,Ranking!AC51)</f>
        <v>0.05</v>
      </c>
      <c r="AS51" s="50">
        <f>IF('Resultado da inspeção'!R51='Resultado da inspeção'!$W$3,0%,Ranking!AD51)</f>
        <v>0.02</v>
      </c>
      <c r="AT51" s="50">
        <f>IF('Resultado da inspeção'!S51='Resultado da inspeção'!$W$3,0%,Ranking!AE51)</f>
        <v>0.02</v>
      </c>
      <c r="AU51" s="49">
        <f t="shared" si="18"/>
        <v>1</v>
      </c>
    </row>
    <row r="52" spans="2:47" x14ac:dyDescent="0.25">
      <c r="B52" s="48">
        <f>IF('Resultado da inspeção'!F52='Resultado da inspeção'!$W$4,0%,Ranking!B$5)</f>
        <v>0.02</v>
      </c>
      <c r="C52" s="48">
        <f>IF('Resultado da inspeção'!G52='Resultado da inspeção'!$W$4,0%,Ranking!C$5)</f>
        <v>0.03</v>
      </c>
      <c r="D52" s="48">
        <f>IF('Resultado da inspeção'!H52='Resultado da inspeção'!$W$4,0%,Ranking!D$5)</f>
        <v>0.03</v>
      </c>
      <c r="E52" s="48">
        <f>IF('Resultado da inspeção'!I52='Resultado da inspeção'!$W$4,0%,Ranking!E$5)</f>
        <v>0.1</v>
      </c>
      <c r="F52" s="48">
        <f>IF('Resultado da inspeção'!J52='Resultado da inspeção'!$W$4,0%,Ranking!F$5)</f>
        <v>0.21</v>
      </c>
      <c r="G52" s="48">
        <f>IF('Resultado da inspeção'!K52='Resultado da inspeção'!$W$4,0%,Ranking!G$5)</f>
        <v>0.05</v>
      </c>
      <c r="H52" s="48">
        <f>IF('Resultado da inspeção'!L52='Resultado da inspeção'!$W$4,0%,Ranking!H$5)</f>
        <v>0.24</v>
      </c>
      <c r="I52" s="48">
        <f>IF('Resultado da inspeção'!M52='Resultado da inspeção'!$W$4,0%,Ranking!I$5)</f>
        <v>0.05</v>
      </c>
      <c r="J52" s="48">
        <f>IF('Resultado da inspeção'!N52='Resultado da inspeção'!$W$4,0%,Ranking!J$5)</f>
        <v>0.04</v>
      </c>
      <c r="K52" s="48">
        <f>IF('Resultado da inspeção'!O52='Resultado da inspeção'!$W$4,0%,Ranking!K$5)</f>
        <v>0.06</v>
      </c>
      <c r="L52" s="48">
        <f>IF('Resultado da inspeção'!P52='Resultado da inspeção'!$W$4,0%,Ranking!L$5)</f>
        <v>0.08</v>
      </c>
      <c r="M52" s="48">
        <f>IF('Resultado da inspeção'!Q52='Resultado da inspeção'!$W$4,0%,Ranking!M$5)</f>
        <v>0.05</v>
      </c>
      <c r="N52" s="48">
        <f>IF('Resultado da inspeção'!R52='Resultado da inspeção'!$W$4,0%,Ranking!N$5)</f>
        <v>0.02</v>
      </c>
      <c r="O52" s="48">
        <f>IF('Resultado da inspeção'!S52='Resultado da inspeção'!$W$4,0%,Ranking!O$5)</f>
        <v>0.02</v>
      </c>
      <c r="P52" s="47">
        <f t="shared" si="0"/>
        <v>1</v>
      </c>
      <c r="Q52" s="49">
        <f t="shared" si="16"/>
        <v>0</v>
      </c>
      <c r="R52" s="50">
        <f t="shared" si="1"/>
        <v>0.02</v>
      </c>
      <c r="S52" s="50">
        <f t="shared" si="2"/>
        <v>0.03</v>
      </c>
      <c r="T52" s="50">
        <f t="shared" si="3"/>
        <v>0.03</v>
      </c>
      <c r="U52" s="50">
        <f t="shared" si="4"/>
        <v>0.1</v>
      </c>
      <c r="V52" s="50">
        <f t="shared" si="5"/>
        <v>0.21</v>
      </c>
      <c r="W52" s="50">
        <f t="shared" si="6"/>
        <v>0.05</v>
      </c>
      <c r="X52" s="50">
        <f t="shared" si="7"/>
        <v>0.24</v>
      </c>
      <c r="Y52" s="50">
        <f t="shared" si="8"/>
        <v>0.05</v>
      </c>
      <c r="Z52" s="50">
        <f t="shared" si="9"/>
        <v>0.04</v>
      </c>
      <c r="AA52" s="50">
        <f t="shared" si="10"/>
        <v>0.06</v>
      </c>
      <c r="AB52" s="50">
        <f t="shared" si="11"/>
        <v>0.08</v>
      </c>
      <c r="AC52" s="50">
        <f t="shared" si="12"/>
        <v>0.05</v>
      </c>
      <c r="AD52" s="50">
        <f t="shared" si="13"/>
        <v>0.02</v>
      </c>
      <c r="AE52" s="50">
        <f t="shared" si="14"/>
        <v>0.02</v>
      </c>
      <c r="AF52" s="47">
        <f t="shared" si="17"/>
        <v>1</v>
      </c>
      <c r="AG52" s="50">
        <f>IF('Resultado da inspeção'!F52='Resultado da inspeção'!$W$3,0%,Ranking!R52)</f>
        <v>0.02</v>
      </c>
      <c r="AH52" s="50">
        <f>IF('Resultado da inspeção'!G52='Resultado da inspeção'!$W$3,0%,Ranking!S52)</f>
        <v>0.03</v>
      </c>
      <c r="AI52" s="50">
        <f>IF('Resultado da inspeção'!H52='Resultado da inspeção'!$W$3,0%,Ranking!T52)</f>
        <v>0.03</v>
      </c>
      <c r="AJ52" s="50">
        <f>IF('Resultado da inspeção'!I52='Resultado da inspeção'!$W$3,0%,Ranking!U52)</f>
        <v>0.1</v>
      </c>
      <c r="AK52" s="50">
        <f>IF('Resultado da inspeção'!J52='Resultado da inspeção'!$W$3,0%,Ranking!V52)</f>
        <v>0.21</v>
      </c>
      <c r="AL52" s="50">
        <f>IF('Resultado da inspeção'!K52='Resultado da inspeção'!$W$3,0%,Ranking!W52)</f>
        <v>0.05</v>
      </c>
      <c r="AM52" s="50">
        <f>IF('Resultado da inspeção'!L52='Resultado da inspeção'!$W$3,0%,Ranking!X52)</f>
        <v>0.24</v>
      </c>
      <c r="AN52" s="50">
        <f>IF('Resultado da inspeção'!M52='Resultado da inspeção'!$W$3,0%,Ranking!Y52)</f>
        <v>0.05</v>
      </c>
      <c r="AO52" s="50">
        <f>IF('Resultado da inspeção'!N52='Resultado da inspeção'!$W$3,0%,Ranking!Z52)</f>
        <v>0.04</v>
      </c>
      <c r="AP52" s="50">
        <f>IF('Resultado da inspeção'!O52='Resultado da inspeção'!$W$3,0%,Ranking!AA52)</f>
        <v>0.06</v>
      </c>
      <c r="AQ52" s="50">
        <f>IF('Resultado da inspeção'!P52='Resultado da inspeção'!$W$3,0%,Ranking!AB52)</f>
        <v>0.08</v>
      </c>
      <c r="AR52" s="50">
        <f>IF('Resultado da inspeção'!Q52='Resultado da inspeção'!$W$3,0%,Ranking!AC52)</f>
        <v>0.05</v>
      </c>
      <c r="AS52" s="50">
        <f>IF('Resultado da inspeção'!R52='Resultado da inspeção'!$W$3,0%,Ranking!AD52)</f>
        <v>0.02</v>
      </c>
      <c r="AT52" s="50">
        <f>IF('Resultado da inspeção'!S52='Resultado da inspeção'!$W$3,0%,Ranking!AE52)</f>
        <v>0.02</v>
      </c>
      <c r="AU52" s="49">
        <f t="shared" si="18"/>
        <v>1</v>
      </c>
    </row>
    <row r="53" spans="2:47" x14ac:dyDescent="0.25">
      <c r="B53" s="48">
        <f>IF('Resultado da inspeção'!F53='Resultado da inspeção'!$W$4,0%,Ranking!B$5)</f>
        <v>0.02</v>
      </c>
      <c r="C53" s="48">
        <f>IF('Resultado da inspeção'!G53='Resultado da inspeção'!$W$4,0%,Ranking!C$5)</f>
        <v>0.03</v>
      </c>
      <c r="D53" s="48">
        <f>IF('Resultado da inspeção'!H53='Resultado da inspeção'!$W$4,0%,Ranking!D$5)</f>
        <v>0.03</v>
      </c>
      <c r="E53" s="48">
        <f>IF('Resultado da inspeção'!I53='Resultado da inspeção'!$W$4,0%,Ranking!E$5)</f>
        <v>0.1</v>
      </c>
      <c r="F53" s="48">
        <f>IF('Resultado da inspeção'!J53='Resultado da inspeção'!$W$4,0%,Ranking!F$5)</f>
        <v>0.21</v>
      </c>
      <c r="G53" s="48">
        <f>IF('Resultado da inspeção'!K53='Resultado da inspeção'!$W$4,0%,Ranking!G$5)</f>
        <v>0.05</v>
      </c>
      <c r="H53" s="48">
        <f>IF('Resultado da inspeção'!L53='Resultado da inspeção'!$W$4,0%,Ranking!H$5)</f>
        <v>0.24</v>
      </c>
      <c r="I53" s="48">
        <f>IF('Resultado da inspeção'!M53='Resultado da inspeção'!$W$4,0%,Ranking!I$5)</f>
        <v>0.05</v>
      </c>
      <c r="J53" s="48">
        <f>IF('Resultado da inspeção'!N53='Resultado da inspeção'!$W$4,0%,Ranking!J$5)</f>
        <v>0.04</v>
      </c>
      <c r="K53" s="48">
        <f>IF('Resultado da inspeção'!O53='Resultado da inspeção'!$W$4,0%,Ranking!K$5)</f>
        <v>0.06</v>
      </c>
      <c r="L53" s="48">
        <f>IF('Resultado da inspeção'!P53='Resultado da inspeção'!$W$4,0%,Ranking!L$5)</f>
        <v>0.08</v>
      </c>
      <c r="M53" s="48">
        <f>IF('Resultado da inspeção'!Q53='Resultado da inspeção'!$W$4,0%,Ranking!M$5)</f>
        <v>0.05</v>
      </c>
      <c r="N53" s="48">
        <f>IF('Resultado da inspeção'!R53='Resultado da inspeção'!$W$4,0%,Ranking!N$5)</f>
        <v>0.02</v>
      </c>
      <c r="O53" s="48">
        <f>IF('Resultado da inspeção'!S53='Resultado da inspeção'!$W$4,0%,Ranking!O$5)</f>
        <v>0.02</v>
      </c>
      <c r="P53" s="47">
        <f t="shared" si="0"/>
        <v>1</v>
      </c>
      <c r="Q53" s="49">
        <f t="shared" si="16"/>
        <v>0</v>
      </c>
      <c r="R53" s="50">
        <f t="shared" si="1"/>
        <v>0.02</v>
      </c>
      <c r="S53" s="50">
        <f t="shared" si="2"/>
        <v>0.03</v>
      </c>
      <c r="T53" s="50">
        <f t="shared" si="3"/>
        <v>0.03</v>
      </c>
      <c r="U53" s="50">
        <f t="shared" si="4"/>
        <v>0.1</v>
      </c>
      <c r="V53" s="50">
        <f t="shared" si="5"/>
        <v>0.21</v>
      </c>
      <c r="W53" s="50">
        <f t="shared" si="6"/>
        <v>0.05</v>
      </c>
      <c r="X53" s="50">
        <f t="shared" si="7"/>
        <v>0.24</v>
      </c>
      <c r="Y53" s="50">
        <f t="shared" si="8"/>
        <v>0.05</v>
      </c>
      <c r="Z53" s="50">
        <f t="shared" si="9"/>
        <v>0.04</v>
      </c>
      <c r="AA53" s="50">
        <f t="shared" si="10"/>
        <v>0.06</v>
      </c>
      <c r="AB53" s="50">
        <f t="shared" si="11"/>
        <v>0.08</v>
      </c>
      <c r="AC53" s="50">
        <f t="shared" si="12"/>
        <v>0.05</v>
      </c>
      <c r="AD53" s="50">
        <f t="shared" si="13"/>
        <v>0.02</v>
      </c>
      <c r="AE53" s="50">
        <f t="shared" si="14"/>
        <v>0.02</v>
      </c>
      <c r="AF53" s="47">
        <f t="shared" si="17"/>
        <v>1</v>
      </c>
      <c r="AG53" s="50">
        <f>IF('Resultado da inspeção'!F53='Resultado da inspeção'!$W$3,0%,Ranking!R53)</f>
        <v>0.02</v>
      </c>
      <c r="AH53" s="50">
        <f>IF('Resultado da inspeção'!G53='Resultado da inspeção'!$W$3,0%,Ranking!S53)</f>
        <v>0.03</v>
      </c>
      <c r="AI53" s="50">
        <f>IF('Resultado da inspeção'!H53='Resultado da inspeção'!$W$3,0%,Ranking!T53)</f>
        <v>0.03</v>
      </c>
      <c r="AJ53" s="50">
        <f>IF('Resultado da inspeção'!I53='Resultado da inspeção'!$W$3,0%,Ranking!U53)</f>
        <v>0.1</v>
      </c>
      <c r="AK53" s="50">
        <f>IF('Resultado da inspeção'!J53='Resultado da inspeção'!$W$3,0%,Ranking!V53)</f>
        <v>0.21</v>
      </c>
      <c r="AL53" s="50">
        <f>IF('Resultado da inspeção'!K53='Resultado da inspeção'!$W$3,0%,Ranking!W53)</f>
        <v>0.05</v>
      </c>
      <c r="AM53" s="50">
        <f>IF('Resultado da inspeção'!L53='Resultado da inspeção'!$W$3,0%,Ranking!X53)</f>
        <v>0.24</v>
      </c>
      <c r="AN53" s="50">
        <f>IF('Resultado da inspeção'!M53='Resultado da inspeção'!$W$3,0%,Ranking!Y53)</f>
        <v>0.05</v>
      </c>
      <c r="AO53" s="50">
        <f>IF('Resultado da inspeção'!N53='Resultado da inspeção'!$W$3,0%,Ranking!Z53)</f>
        <v>0.04</v>
      </c>
      <c r="AP53" s="50">
        <f>IF('Resultado da inspeção'!O53='Resultado da inspeção'!$W$3,0%,Ranking!AA53)</f>
        <v>0.06</v>
      </c>
      <c r="AQ53" s="50">
        <f>IF('Resultado da inspeção'!P53='Resultado da inspeção'!$W$3,0%,Ranking!AB53)</f>
        <v>0.08</v>
      </c>
      <c r="AR53" s="50">
        <f>IF('Resultado da inspeção'!Q53='Resultado da inspeção'!$W$3,0%,Ranking!AC53)</f>
        <v>0.05</v>
      </c>
      <c r="AS53" s="50">
        <f>IF('Resultado da inspeção'!R53='Resultado da inspeção'!$W$3,0%,Ranking!AD53)</f>
        <v>0.02</v>
      </c>
      <c r="AT53" s="50">
        <f>IF('Resultado da inspeção'!S53='Resultado da inspeção'!$W$3,0%,Ranking!AE53)</f>
        <v>0.02</v>
      </c>
      <c r="AU53" s="49">
        <f t="shared" si="18"/>
        <v>1</v>
      </c>
    </row>
    <row r="54" spans="2:47" x14ac:dyDescent="0.25">
      <c r="B54" s="48">
        <f>IF('Resultado da inspeção'!F54='Resultado da inspeção'!$W$4,0%,Ranking!B$5)</f>
        <v>0.02</v>
      </c>
      <c r="C54" s="48">
        <f>IF('Resultado da inspeção'!G54='Resultado da inspeção'!$W$4,0%,Ranking!C$5)</f>
        <v>0.03</v>
      </c>
      <c r="D54" s="48">
        <f>IF('Resultado da inspeção'!H54='Resultado da inspeção'!$W$4,0%,Ranking!D$5)</f>
        <v>0.03</v>
      </c>
      <c r="E54" s="48">
        <f>IF('Resultado da inspeção'!I54='Resultado da inspeção'!$W$4,0%,Ranking!E$5)</f>
        <v>0.1</v>
      </c>
      <c r="F54" s="48">
        <f>IF('Resultado da inspeção'!J54='Resultado da inspeção'!$W$4,0%,Ranking!F$5)</f>
        <v>0.21</v>
      </c>
      <c r="G54" s="48">
        <f>IF('Resultado da inspeção'!K54='Resultado da inspeção'!$W$4,0%,Ranking!G$5)</f>
        <v>0.05</v>
      </c>
      <c r="H54" s="48">
        <f>IF('Resultado da inspeção'!L54='Resultado da inspeção'!$W$4,0%,Ranking!H$5)</f>
        <v>0.24</v>
      </c>
      <c r="I54" s="48">
        <f>IF('Resultado da inspeção'!M54='Resultado da inspeção'!$W$4,0%,Ranking!I$5)</f>
        <v>0.05</v>
      </c>
      <c r="J54" s="48">
        <f>IF('Resultado da inspeção'!N54='Resultado da inspeção'!$W$4,0%,Ranking!J$5)</f>
        <v>0.04</v>
      </c>
      <c r="K54" s="48">
        <f>IF('Resultado da inspeção'!O54='Resultado da inspeção'!$W$4,0%,Ranking!K$5)</f>
        <v>0.06</v>
      </c>
      <c r="L54" s="48">
        <f>IF('Resultado da inspeção'!P54='Resultado da inspeção'!$W$4,0%,Ranking!L$5)</f>
        <v>0.08</v>
      </c>
      <c r="M54" s="48">
        <f>IF('Resultado da inspeção'!Q54='Resultado da inspeção'!$W$4,0%,Ranking!M$5)</f>
        <v>0.05</v>
      </c>
      <c r="N54" s="48">
        <f>IF('Resultado da inspeção'!R54='Resultado da inspeção'!$W$4,0%,Ranking!N$5)</f>
        <v>0.02</v>
      </c>
      <c r="O54" s="48">
        <f>IF('Resultado da inspeção'!S54='Resultado da inspeção'!$W$4,0%,Ranking!O$5)</f>
        <v>0.02</v>
      </c>
      <c r="P54" s="47">
        <f t="shared" si="0"/>
        <v>1</v>
      </c>
      <c r="Q54" s="49">
        <f t="shared" si="16"/>
        <v>0</v>
      </c>
      <c r="R54" s="50">
        <f t="shared" si="1"/>
        <v>0.02</v>
      </c>
      <c r="S54" s="50">
        <f t="shared" si="2"/>
        <v>0.03</v>
      </c>
      <c r="T54" s="50">
        <f t="shared" si="3"/>
        <v>0.03</v>
      </c>
      <c r="U54" s="50">
        <f t="shared" si="4"/>
        <v>0.1</v>
      </c>
      <c r="V54" s="50">
        <f t="shared" si="5"/>
        <v>0.21</v>
      </c>
      <c r="W54" s="50">
        <f t="shared" si="6"/>
        <v>0.05</v>
      </c>
      <c r="X54" s="50">
        <f t="shared" si="7"/>
        <v>0.24</v>
      </c>
      <c r="Y54" s="50">
        <f t="shared" si="8"/>
        <v>0.05</v>
      </c>
      <c r="Z54" s="50">
        <f t="shared" si="9"/>
        <v>0.04</v>
      </c>
      <c r="AA54" s="50">
        <f t="shared" si="10"/>
        <v>0.06</v>
      </c>
      <c r="AB54" s="50">
        <f t="shared" si="11"/>
        <v>0.08</v>
      </c>
      <c r="AC54" s="50">
        <f t="shared" si="12"/>
        <v>0.05</v>
      </c>
      <c r="AD54" s="50">
        <f t="shared" si="13"/>
        <v>0.02</v>
      </c>
      <c r="AE54" s="50">
        <f t="shared" si="14"/>
        <v>0.02</v>
      </c>
      <c r="AF54" s="47">
        <f t="shared" si="17"/>
        <v>1</v>
      </c>
      <c r="AG54" s="50">
        <f>IF('Resultado da inspeção'!F54='Resultado da inspeção'!$W$3,0%,Ranking!R54)</f>
        <v>0.02</v>
      </c>
      <c r="AH54" s="50">
        <f>IF('Resultado da inspeção'!G54='Resultado da inspeção'!$W$3,0%,Ranking!S54)</f>
        <v>0.03</v>
      </c>
      <c r="AI54" s="50">
        <f>IF('Resultado da inspeção'!H54='Resultado da inspeção'!$W$3,0%,Ranking!T54)</f>
        <v>0.03</v>
      </c>
      <c r="AJ54" s="50">
        <f>IF('Resultado da inspeção'!I54='Resultado da inspeção'!$W$3,0%,Ranking!U54)</f>
        <v>0.1</v>
      </c>
      <c r="AK54" s="50">
        <f>IF('Resultado da inspeção'!J54='Resultado da inspeção'!$W$3,0%,Ranking!V54)</f>
        <v>0.21</v>
      </c>
      <c r="AL54" s="50">
        <f>IF('Resultado da inspeção'!K54='Resultado da inspeção'!$W$3,0%,Ranking!W54)</f>
        <v>0.05</v>
      </c>
      <c r="AM54" s="50">
        <f>IF('Resultado da inspeção'!L54='Resultado da inspeção'!$W$3,0%,Ranking!X54)</f>
        <v>0.24</v>
      </c>
      <c r="AN54" s="50">
        <f>IF('Resultado da inspeção'!M54='Resultado da inspeção'!$W$3,0%,Ranking!Y54)</f>
        <v>0.05</v>
      </c>
      <c r="AO54" s="50">
        <f>IF('Resultado da inspeção'!N54='Resultado da inspeção'!$W$3,0%,Ranking!Z54)</f>
        <v>0.04</v>
      </c>
      <c r="AP54" s="50">
        <f>IF('Resultado da inspeção'!O54='Resultado da inspeção'!$W$3,0%,Ranking!AA54)</f>
        <v>0.06</v>
      </c>
      <c r="AQ54" s="50">
        <f>IF('Resultado da inspeção'!P54='Resultado da inspeção'!$W$3,0%,Ranking!AB54)</f>
        <v>0.08</v>
      </c>
      <c r="AR54" s="50">
        <f>IF('Resultado da inspeção'!Q54='Resultado da inspeção'!$W$3,0%,Ranking!AC54)</f>
        <v>0.05</v>
      </c>
      <c r="AS54" s="50">
        <f>IF('Resultado da inspeção'!R54='Resultado da inspeção'!$W$3,0%,Ranking!AD54)</f>
        <v>0.02</v>
      </c>
      <c r="AT54" s="50">
        <f>IF('Resultado da inspeção'!S54='Resultado da inspeção'!$W$3,0%,Ranking!AE54)</f>
        <v>0.02</v>
      </c>
      <c r="AU54" s="49">
        <f t="shared" si="18"/>
        <v>1</v>
      </c>
    </row>
    <row r="55" spans="2:47" x14ac:dyDescent="0.25">
      <c r="B55" s="48">
        <f>IF('Resultado da inspeção'!F55='Resultado da inspeção'!$W$4,0%,Ranking!B$5)</f>
        <v>0.02</v>
      </c>
      <c r="C55" s="48">
        <f>IF('Resultado da inspeção'!G55='Resultado da inspeção'!$W$4,0%,Ranking!C$5)</f>
        <v>0.03</v>
      </c>
      <c r="D55" s="48">
        <f>IF('Resultado da inspeção'!H55='Resultado da inspeção'!$W$4,0%,Ranking!D$5)</f>
        <v>0.03</v>
      </c>
      <c r="E55" s="48">
        <f>IF('Resultado da inspeção'!I55='Resultado da inspeção'!$W$4,0%,Ranking!E$5)</f>
        <v>0.1</v>
      </c>
      <c r="F55" s="48">
        <f>IF('Resultado da inspeção'!J55='Resultado da inspeção'!$W$4,0%,Ranking!F$5)</f>
        <v>0.21</v>
      </c>
      <c r="G55" s="48">
        <f>IF('Resultado da inspeção'!K55='Resultado da inspeção'!$W$4,0%,Ranking!G$5)</f>
        <v>0.05</v>
      </c>
      <c r="H55" s="48">
        <f>IF('Resultado da inspeção'!L55='Resultado da inspeção'!$W$4,0%,Ranking!H$5)</f>
        <v>0.24</v>
      </c>
      <c r="I55" s="48">
        <f>IF('Resultado da inspeção'!M55='Resultado da inspeção'!$W$4,0%,Ranking!I$5)</f>
        <v>0.05</v>
      </c>
      <c r="J55" s="48">
        <f>IF('Resultado da inspeção'!N55='Resultado da inspeção'!$W$4,0%,Ranking!J$5)</f>
        <v>0.04</v>
      </c>
      <c r="K55" s="48">
        <f>IF('Resultado da inspeção'!O55='Resultado da inspeção'!$W$4,0%,Ranking!K$5)</f>
        <v>0.06</v>
      </c>
      <c r="L55" s="48">
        <f>IF('Resultado da inspeção'!P55='Resultado da inspeção'!$W$4,0%,Ranking!L$5)</f>
        <v>0.08</v>
      </c>
      <c r="M55" s="48">
        <f>IF('Resultado da inspeção'!Q55='Resultado da inspeção'!$W$4,0%,Ranking!M$5)</f>
        <v>0.05</v>
      </c>
      <c r="N55" s="48">
        <f>IF('Resultado da inspeção'!R55='Resultado da inspeção'!$W$4,0%,Ranking!N$5)</f>
        <v>0.02</v>
      </c>
      <c r="O55" s="48">
        <f>IF('Resultado da inspeção'!S55='Resultado da inspeção'!$W$4,0%,Ranking!O$5)</f>
        <v>0.02</v>
      </c>
      <c r="P55" s="47">
        <f t="shared" si="0"/>
        <v>1</v>
      </c>
      <c r="Q55" s="49">
        <f t="shared" si="16"/>
        <v>0</v>
      </c>
      <c r="R55" s="50">
        <f t="shared" si="1"/>
        <v>0.02</v>
      </c>
      <c r="S55" s="50">
        <f t="shared" si="2"/>
        <v>0.03</v>
      </c>
      <c r="T55" s="50">
        <f t="shared" si="3"/>
        <v>0.03</v>
      </c>
      <c r="U55" s="50">
        <f t="shared" si="4"/>
        <v>0.1</v>
      </c>
      <c r="V55" s="50">
        <f t="shared" si="5"/>
        <v>0.21</v>
      </c>
      <c r="W55" s="50">
        <f t="shared" si="6"/>
        <v>0.05</v>
      </c>
      <c r="X55" s="50">
        <f t="shared" si="7"/>
        <v>0.24</v>
      </c>
      <c r="Y55" s="50">
        <f t="shared" si="8"/>
        <v>0.05</v>
      </c>
      <c r="Z55" s="50">
        <f t="shared" si="9"/>
        <v>0.04</v>
      </c>
      <c r="AA55" s="50">
        <f t="shared" si="10"/>
        <v>0.06</v>
      </c>
      <c r="AB55" s="50">
        <f t="shared" si="11"/>
        <v>0.08</v>
      </c>
      <c r="AC55" s="50">
        <f t="shared" si="12"/>
        <v>0.05</v>
      </c>
      <c r="AD55" s="50">
        <f t="shared" si="13"/>
        <v>0.02</v>
      </c>
      <c r="AE55" s="50">
        <f t="shared" si="14"/>
        <v>0.02</v>
      </c>
      <c r="AF55" s="47">
        <f t="shared" si="17"/>
        <v>1</v>
      </c>
      <c r="AG55" s="50">
        <f>IF('Resultado da inspeção'!F55='Resultado da inspeção'!$W$3,0%,Ranking!R55)</f>
        <v>0.02</v>
      </c>
      <c r="AH55" s="50">
        <f>IF('Resultado da inspeção'!G55='Resultado da inspeção'!$W$3,0%,Ranking!S55)</f>
        <v>0.03</v>
      </c>
      <c r="AI55" s="50">
        <f>IF('Resultado da inspeção'!H55='Resultado da inspeção'!$W$3,0%,Ranking!T55)</f>
        <v>0.03</v>
      </c>
      <c r="AJ55" s="50">
        <f>IF('Resultado da inspeção'!I55='Resultado da inspeção'!$W$3,0%,Ranking!U55)</f>
        <v>0.1</v>
      </c>
      <c r="AK55" s="50">
        <f>IF('Resultado da inspeção'!J55='Resultado da inspeção'!$W$3,0%,Ranking!V55)</f>
        <v>0.21</v>
      </c>
      <c r="AL55" s="50">
        <f>IF('Resultado da inspeção'!K55='Resultado da inspeção'!$W$3,0%,Ranking!W55)</f>
        <v>0.05</v>
      </c>
      <c r="AM55" s="50">
        <f>IF('Resultado da inspeção'!L55='Resultado da inspeção'!$W$3,0%,Ranking!X55)</f>
        <v>0.24</v>
      </c>
      <c r="AN55" s="50">
        <f>IF('Resultado da inspeção'!M55='Resultado da inspeção'!$W$3,0%,Ranking!Y55)</f>
        <v>0.05</v>
      </c>
      <c r="AO55" s="50">
        <f>IF('Resultado da inspeção'!N55='Resultado da inspeção'!$W$3,0%,Ranking!Z55)</f>
        <v>0.04</v>
      </c>
      <c r="AP55" s="50">
        <f>IF('Resultado da inspeção'!O55='Resultado da inspeção'!$W$3,0%,Ranking!AA55)</f>
        <v>0.06</v>
      </c>
      <c r="AQ55" s="50">
        <f>IF('Resultado da inspeção'!P55='Resultado da inspeção'!$W$3,0%,Ranking!AB55)</f>
        <v>0.08</v>
      </c>
      <c r="AR55" s="50">
        <f>IF('Resultado da inspeção'!Q55='Resultado da inspeção'!$W$3,0%,Ranking!AC55)</f>
        <v>0.05</v>
      </c>
      <c r="AS55" s="50">
        <f>IF('Resultado da inspeção'!R55='Resultado da inspeção'!$W$3,0%,Ranking!AD55)</f>
        <v>0.02</v>
      </c>
      <c r="AT55" s="50">
        <f>IF('Resultado da inspeção'!S55='Resultado da inspeção'!$W$3,0%,Ranking!AE55)</f>
        <v>0.02</v>
      </c>
      <c r="AU55" s="49">
        <f t="shared" si="18"/>
        <v>1</v>
      </c>
    </row>
    <row r="56" spans="2:47" x14ac:dyDescent="0.25">
      <c r="B56" s="48">
        <f>IF('Resultado da inspeção'!F56='Resultado da inspeção'!$W$4,0%,Ranking!B$5)</f>
        <v>0.02</v>
      </c>
      <c r="C56" s="48">
        <f>IF('Resultado da inspeção'!G56='Resultado da inspeção'!$W$4,0%,Ranking!C$5)</f>
        <v>0.03</v>
      </c>
      <c r="D56" s="48">
        <f>IF('Resultado da inspeção'!H56='Resultado da inspeção'!$W$4,0%,Ranking!D$5)</f>
        <v>0.03</v>
      </c>
      <c r="E56" s="48">
        <f>IF('Resultado da inspeção'!I56='Resultado da inspeção'!$W$4,0%,Ranking!E$5)</f>
        <v>0.1</v>
      </c>
      <c r="F56" s="48">
        <f>IF('Resultado da inspeção'!J56='Resultado da inspeção'!$W$4,0%,Ranking!F$5)</f>
        <v>0.21</v>
      </c>
      <c r="G56" s="48">
        <f>IF('Resultado da inspeção'!K56='Resultado da inspeção'!$W$4,0%,Ranking!G$5)</f>
        <v>0.05</v>
      </c>
      <c r="H56" s="48">
        <f>IF('Resultado da inspeção'!L56='Resultado da inspeção'!$W$4,0%,Ranking!H$5)</f>
        <v>0.24</v>
      </c>
      <c r="I56" s="48">
        <f>IF('Resultado da inspeção'!M56='Resultado da inspeção'!$W$4,0%,Ranking!I$5)</f>
        <v>0.05</v>
      </c>
      <c r="J56" s="48">
        <f>IF('Resultado da inspeção'!N56='Resultado da inspeção'!$W$4,0%,Ranking!J$5)</f>
        <v>0.04</v>
      </c>
      <c r="K56" s="48">
        <f>IF('Resultado da inspeção'!O56='Resultado da inspeção'!$W$4,0%,Ranking!K$5)</f>
        <v>0.06</v>
      </c>
      <c r="L56" s="48">
        <f>IF('Resultado da inspeção'!P56='Resultado da inspeção'!$W$4,0%,Ranking!L$5)</f>
        <v>0.08</v>
      </c>
      <c r="M56" s="48">
        <f>IF('Resultado da inspeção'!Q56='Resultado da inspeção'!$W$4,0%,Ranking!M$5)</f>
        <v>0.05</v>
      </c>
      <c r="N56" s="48">
        <f>IF('Resultado da inspeção'!R56='Resultado da inspeção'!$W$4,0%,Ranking!N$5)</f>
        <v>0.02</v>
      </c>
      <c r="O56" s="48">
        <f>IF('Resultado da inspeção'!S56='Resultado da inspeção'!$W$4,0%,Ranking!O$5)</f>
        <v>0.02</v>
      </c>
      <c r="P56" s="47">
        <f t="shared" si="0"/>
        <v>1</v>
      </c>
      <c r="Q56" s="49">
        <f t="shared" si="16"/>
        <v>0</v>
      </c>
      <c r="R56" s="50">
        <f t="shared" si="1"/>
        <v>0.02</v>
      </c>
      <c r="S56" s="50">
        <f t="shared" si="2"/>
        <v>0.03</v>
      </c>
      <c r="T56" s="50">
        <f t="shared" si="3"/>
        <v>0.03</v>
      </c>
      <c r="U56" s="50">
        <f t="shared" si="4"/>
        <v>0.1</v>
      </c>
      <c r="V56" s="50">
        <f t="shared" si="5"/>
        <v>0.21</v>
      </c>
      <c r="W56" s="50">
        <f t="shared" si="6"/>
        <v>0.05</v>
      </c>
      <c r="X56" s="50">
        <f t="shared" si="7"/>
        <v>0.24</v>
      </c>
      <c r="Y56" s="50">
        <f t="shared" si="8"/>
        <v>0.05</v>
      </c>
      <c r="Z56" s="50">
        <f t="shared" si="9"/>
        <v>0.04</v>
      </c>
      <c r="AA56" s="50">
        <f t="shared" si="10"/>
        <v>0.06</v>
      </c>
      <c r="AB56" s="50">
        <f t="shared" si="11"/>
        <v>0.08</v>
      </c>
      <c r="AC56" s="50">
        <f t="shared" si="12"/>
        <v>0.05</v>
      </c>
      <c r="AD56" s="50">
        <f t="shared" si="13"/>
        <v>0.02</v>
      </c>
      <c r="AE56" s="50">
        <f t="shared" si="14"/>
        <v>0.02</v>
      </c>
      <c r="AF56" s="47">
        <f t="shared" si="17"/>
        <v>1</v>
      </c>
      <c r="AG56" s="50">
        <f>IF('Resultado da inspeção'!F56='Resultado da inspeção'!$W$3,0%,Ranking!R56)</f>
        <v>0.02</v>
      </c>
      <c r="AH56" s="50">
        <f>IF('Resultado da inspeção'!G56='Resultado da inspeção'!$W$3,0%,Ranking!S56)</f>
        <v>0.03</v>
      </c>
      <c r="AI56" s="50">
        <f>IF('Resultado da inspeção'!H56='Resultado da inspeção'!$W$3,0%,Ranking!T56)</f>
        <v>0.03</v>
      </c>
      <c r="AJ56" s="50">
        <f>IF('Resultado da inspeção'!I56='Resultado da inspeção'!$W$3,0%,Ranking!U56)</f>
        <v>0.1</v>
      </c>
      <c r="AK56" s="50">
        <f>IF('Resultado da inspeção'!J56='Resultado da inspeção'!$W$3,0%,Ranking!V56)</f>
        <v>0.21</v>
      </c>
      <c r="AL56" s="50">
        <f>IF('Resultado da inspeção'!K56='Resultado da inspeção'!$W$3,0%,Ranking!W56)</f>
        <v>0.05</v>
      </c>
      <c r="AM56" s="50">
        <f>IF('Resultado da inspeção'!L56='Resultado da inspeção'!$W$3,0%,Ranking!X56)</f>
        <v>0.24</v>
      </c>
      <c r="AN56" s="50">
        <f>IF('Resultado da inspeção'!M56='Resultado da inspeção'!$W$3,0%,Ranking!Y56)</f>
        <v>0.05</v>
      </c>
      <c r="AO56" s="50">
        <f>IF('Resultado da inspeção'!N56='Resultado da inspeção'!$W$3,0%,Ranking!Z56)</f>
        <v>0.04</v>
      </c>
      <c r="AP56" s="50">
        <f>IF('Resultado da inspeção'!O56='Resultado da inspeção'!$W$3,0%,Ranking!AA56)</f>
        <v>0.06</v>
      </c>
      <c r="AQ56" s="50">
        <f>IF('Resultado da inspeção'!P56='Resultado da inspeção'!$W$3,0%,Ranking!AB56)</f>
        <v>0.08</v>
      </c>
      <c r="AR56" s="50">
        <f>IF('Resultado da inspeção'!Q56='Resultado da inspeção'!$W$3,0%,Ranking!AC56)</f>
        <v>0.05</v>
      </c>
      <c r="AS56" s="50">
        <f>IF('Resultado da inspeção'!R56='Resultado da inspeção'!$W$3,0%,Ranking!AD56)</f>
        <v>0.02</v>
      </c>
      <c r="AT56" s="50">
        <f>IF('Resultado da inspeção'!S56='Resultado da inspeção'!$W$3,0%,Ranking!AE56)</f>
        <v>0.02</v>
      </c>
      <c r="AU56" s="49">
        <f t="shared" si="18"/>
        <v>1</v>
      </c>
    </row>
    <row r="57" spans="2:47" x14ac:dyDescent="0.25">
      <c r="B57" s="48">
        <f>IF('Resultado da inspeção'!F57='Resultado da inspeção'!$W$4,0%,Ranking!B$5)</f>
        <v>0.02</v>
      </c>
      <c r="C57" s="48">
        <f>IF('Resultado da inspeção'!G57='Resultado da inspeção'!$W$4,0%,Ranking!C$5)</f>
        <v>0.03</v>
      </c>
      <c r="D57" s="48">
        <f>IF('Resultado da inspeção'!H57='Resultado da inspeção'!$W$4,0%,Ranking!D$5)</f>
        <v>0.03</v>
      </c>
      <c r="E57" s="48">
        <f>IF('Resultado da inspeção'!I57='Resultado da inspeção'!$W$4,0%,Ranking!E$5)</f>
        <v>0.1</v>
      </c>
      <c r="F57" s="48">
        <f>IF('Resultado da inspeção'!J57='Resultado da inspeção'!$W$4,0%,Ranking!F$5)</f>
        <v>0.21</v>
      </c>
      <c r="G57" s="48">
        <f>IF('Resultado da inspeção'!K57='Resultado da inspeção'!$W$4,0%,Ranking!G$5)</f>
        <v>0.05</v>
      </c>
      <c r="H57" s="48">
        <f>IF('Resultado da inspeção'!L57='Resultado da inspeção'!$W$4,0%,Ranking!H$5)</f>
        <v>0.24</v>
      </c>
      <c r="I57" s="48">
        <f>IF('Resultado da inspeção'!M57='Resultado da inspeção'!$W$4,0%,Ranking!I$5)</f>
        <v>0.05</v>
      </c>
      <c r="J57" s="48">
        <f>IF('Resultado da inspeção'!N57='Resultado da inspeção'!$W$4,0%,Ranking!J$5)</f>
        <v>0.04</v>
      </c>
      <c r="K57" s="48">
        <f>IF('Resultado da inspeção'!O57='Resultado da inspeção'!$W$4,0%,Ranking!K$5)</f>
        <v>0.06</v>
      </c>
      <c r="L57" s="48">
        <f>IF('Resultado da inspeção'!P57='Resultado da inspeção'!$W$4,0%,Ranking!L$5)</f>
        <v>0.08</v>
      </c>
      <c r="M57" s="48">
        <f>IF('Resultado da inspeção'!Q57='Resultado da inspeção'!$W$4,0%,Ranking!M$5)</f>
        <v>0.05</v>
      </c>
      <c r="N57" s="48">
        <f>IF('Resultado da inspeção'!R57='Resultado da inspeção'!$W$4,0%,Ranking!N$5)</f>
        <v>0.02</v>
      </c>
      <c r="O57" s="48">
        <f>IF('Resultado da inspeção'!S57='Resultado da inspeção'!$W$4,0%,Ranking!O$5)</f>
        <v>0.02</v>
      </c>
      <c r="P57" s="47">
        <f t="shared" si="0"/>
        <v>1</v>
      </c>
      <c r="Q57" s="49">
        <f t="shared" si="16"/>
        <v>0</v>
      </c>
      <c r="R57" s="50">
        <f t="shared" si="1"/>
        <v>0.02</v>
      </c>
      <c r="S57" s="50">
        <f t="shared" si="2"/>
        <v>0.03</v>
      </c>
      <c r="T57" s="50">
        <f t="shared" si="3"/>
        <v>0.03</v>
      </c>
      <c r="U57" s="50">
        <f t="shared" si="4"/>
        <v>0.1</v>
      </c>
      <c r="V57" s="50">
        <f t="shared" si="5"/>
        <v>0.21</v>
      </c>
      <c r="W57" s="50">
        <f t="shared" si="6"/>
        <v>0.05</v>
      </c>
      <c r="X57" s="50">
        <f t="shared" si="7"/>
        <v>0.24</v>
      </c>
      <c r="Y57" s="50">
        <f t="shared" si="8"/>
        <v>0.05</v>
      </c>
      <c r="Z57" s="50">
        <f t="shared" si="9"/>
        <v>0.04</v>
      </c>
      <c r="AA57" s="50">
        <f t="shared" si="10"/>
        <v>0.06</v>
      </c>
      <c r="AB57" s="50">
        <f t="shared" si="11"/>
        <v>0.08</v>
      </c>
      <c r="AC57" s="50">
        <f t="shared" si="12"/>
        <v>0.05</v>
      </c>
      <c r="AD57" s="50">
        <f t="shared" si="13"/>
        <v>0.02</v>
      </c>
      <c r="AE57" s="50">
        <f t="shared" si="14"/>
        <v>0.02</v>
      </c>
      <c r="AF57" s="47">
        <f t="shared" si="17"/>
        <v>1</v>
      </c>
      <c r="AG57" s="50">
        <f>IF('Resultado da inspeção'!F57='Resultado da inspeção'!$W$3,0%,Ranking!R57)</f>
        <v>0.02</v>
      </c>
      <c r="AH57" s="50">
        <f>IF('Resultado da inspeção'!G57='Resultado da inspeção'!$W$3,0%,Ranking!S57)</f>
        <v>0.03</v>
      </c>
      <c r="AI57" s="50">
        <f>IF('Resultado da inspeção'!H57='Resultado da inspeção'!$W$3,0%,Ranking!T57)</f>
        <v>0.03</v>
      </c>
      <c r="AJ57" s="50">
        <f>IF('Resultado da inspeção'!I57='Resultado da inspeção'!$W$3,0%,Ranking!U57)</f>
        <v>0.1</v>
      </c>
      <c r="AK57" s="50">
        <f>IF('Resultado da inspeção'!J57='Resultado da inspeção'!$W$3,0%,Ranking!V57)</f>
        <v>0.21</v>
      </c>
      <c r="AL57" s="50">
        <f>IF('Resultado da inspeção'!K57='Resultado da inspeção'!$W$3,0%,Ranking!W57)</f>
        <v>0.05</v>
      </c>
      <c r="AM57" s="50">
        <f>IF('Resultado da inspeção'!L57='Resultado da inspeção'!$W$3,0%,Ranking!X57)</f>
        <v>0.24</v>
      </c>
      <c r="AN57" s="50">
        <f>IF('Resultado da inspeção'!M57='Resultado da inspeção'!$W$3,0%,Ranking!Y57)</f>
        <v>0.05</v>
      </c>
      <c r="AO57" s="50">
        <f>IF('Resultado da inspeção'!N57='Resultado da inspeção'!$W$3,0%,Ranking!Z57)</f>
        <v>0.04</v>
      </c>
      <c r="AP57" s="50">
        <f>IF('Resultado da inspeção'!O57='Resultado da inspeção'!$W$3,0%,Ranking!AA57)</f>
        <v>0.06</v>
      </c>
      <c r="AQ57" s="50">
        <f>IF('Resultado da inspeção'!P57='Resultado da inspeção'!$W$3,0%,Ranking!AB57)</f>
        <v>0.08</v>
      </c>
      <c r="AR57" s="50">
        <f>IF('Resultado da inspeção'!Q57='Resultado da inspeção'!$W$3,0%,Ranking!AC57)</f>
        <v>0.05</v>
      </c>
      <c r="AS57" s="50">
        <f>IF('Resultado da inspeção'!R57='Resultado da inspeção'!$W$3,0%,Ranking!AD57)</f>
        <v>0.02</v>
      </c>
      <c r="AT57" s="50">
        <f>IF('Resultado da inspeção'!S57='Resultado da inspeção'!$W$3,0%,Ranking!AE57)</f>
        <v>0.02</v>
      </c>
      <c r="AU57" s="49">
        <f t="shared" si="18"/>
        <v>1</v>
      </c>
    </row>
    <row r="58" spans="2:47" x14ac:dyDescent="0.25">
      <c r="B58" s="48">
        <f>IF('Resultado da inspeção'!F58='Resultado da inspeção'!$W$4,0%,Ranking!B$5)</f>
        <v>0.02</v>
      </c>
      <c r="C58" s="48">
        <f>IF('Resultado da inspeção'!G58='Resultado da inspeção'!$W$4,0%,Ranking!C$5)</f>
        <v>0.03</v>
      </c>
      <c r="D58" s="48">
        <f>IF('Resultado da inspeção'!H58='Resultado da inspeção'!$W$4,0%,Ranking!D$5)</f>
        <v>0.03</v>
      </c>
      <c r="E58" s="48">
        <f>IF('Resultado da inspeção'!I58='Resultado da inspeção'!$W$4,0%,Ranking!E$5)</f>
        <v>0.1</v>
      </c>
      <c r="F58" s="48">
        <f>IF('Resultado da inspeção'!J58='Resultado da inspeção'!$W$4,0%,Ranking!F$5)</f>
        <v>0.21</v>
      </c>
      <c r="G58" s="48">
        <f>IF('Resultado da inspeção'!K58='Resultado da inspeção'!$W$4,0%,Ranking!G$5)</f>
        <v>0.05</v>
      </c>
      <c r="H58" s="48">
        <f>IF('Resultado da inspeção'!L58='Resultado da inspeção'!$W$4,0%,Ranking!H$5)</f>
        <v>0.24</v>
      </c>
      <c r="I58" s="48">
        <f>IF('Resultado da inspeção'!M58='Resultado da inspeção'!$W$4,0%,Ranking!I$5)</f>
        <v>0.05</v>
      </c>
      <c r="J58" s="48">
        <f>IF('Resultado da inspeção'!N58='Resultado da inspeção'!$W$4,0%,Ranking!J$5)</f>
        <v>0.04</v>
      </c>
      <c r="K58" s="48">
        <f>IF('Resultado da inspeção'!O58='Resultado da inspeção'!$W$4,0%,Ranking!K$5)</f>
        <v>0.06</v>
      </c>
      <c r="L58" s="48">
        <f>IF('Resultado da inspeção'!P58='Resultado da inspeção'!$W$4,0%,Ranking!L$5)</f>
        <v>0.08</v>
      </c>
      <c r="M58" s="48">
        <f>IF('Resultado da inspeção'!Q58='Resultado da inspeção'!$W$4,0%,Ranking!M$5)</f>
        <v>0.05</v>
      </c>
      <c r="N58" s="48">
        <f>IF('Resultado da inspeção'!R58='Resultado da inspeção'!$W$4,0%,Ranking!N$5)</f>
        <v>0.02</v>
      </c>
      <c r="O58" s="48">
        <f>IF('Resultado da inspeção'!S58='Resultado da inspeção'!$W$4,0%,Ranking!O$5)</f>
        <v>0.02</v>
      </c>
      <c r="P58" s="47">
        <f t="shared" si="0"/>
        <v>1</v>
      </c>
      <c r="Q58" s="49">
        <f t="shared" si="16"/>
        <v>0</v>
      </c>
      <c r="R58" s="50">
        <f t="shared" si="1"/>
        <v>0.02</v>
      </c>
      <c r="S58" s="50">
        <f t="shared" si="2"/>
        <v>0.03</v>
      </c>
      <c r="T58" s="50">
        <f t="shared" si="3"/>
        <v>0.03</v>
      </c>
      <c r="U58" s="50">
        <f t="shared" si="4"/>
        <v>0.1</v>
      </c>
      <c r="V58" s="50">
        <f t="shared" si="5"/>
        <v>0.21</v>
      </c>
      <c r="W58" s="50">
        <f t="shared" si="6"/>
        <v>0.05</v>
      </c>
      <c r="X58" s="50">
        <f t="shared" si="7"/>
        <v>0.24</v>
      </c>
      <c r="Y58" s="50">
        <f t="shared" si="8"/>
        <v>0.05</v>
      </c>
      <c r="Z58" s="50">
        <f t="shared" si="9"/>
        <v>0.04</v>
      </c>
      <c r="AA58" s="50">
        <f t="shared" si="10"/>
        <v>0.06</v>
      </c>
      <c r="AB58" s="50">
        <f t="shared" si="11"/>
        <v>0.08</v>
      </c>
      <c r="AC58" s="50">
        <f t="shared" si="12"/>
        <v>0.05</v>
      </c>
      <c r="AD58" s="50">
        <f t="shared" si="13"/>
        <v>0.02</v>
      </c>
      <c r="AE58" s="50">
        <f t="shared" si="14"/>
        <v>0.02</v>
      </c>
      <c r="AF58" s="47">
        <f t="shared" si="17"/>
        <v>1</v>
      </c>
      <c r="AG58" s="50">
        <f>IF('Resultado da inspeção'!F58='Resultado da inspeção'!$W$3,0%,Ranking!R58)</f>
        <v>0.02</v>
      </c>
      <c r="AH58" s="50">
        <f>IF('Resultado da inspeção'!G58='Resultado da inspeção'!$W$3,0%,Ranking!S58)</f>
        <v>0.03</v>
      </c>
      <c r="AI58" s="50">
        <f>IF('Resultado da inspeção'!H58='Resultado da inspeção'!$W$3,0%,Ranking!T58)</f>
        <v>0.03</v>
      </c>
      <c r="AJ58" s="50">
        <f>IF('Resultado da inspeção'!I58='Resultado da inspeção'!$W$3,0%,Ranking!U58)</f>
        <v>0.1</v>
      </c>
      <c r="AK58" s="50">
        <f>IF('Resultado da inspeção'!J58='Resultado da inspeção'!$W$3,0%,Ranking!V58)</f>
        <v>0.21</v>
      </c>
      <c r="AL58" s="50">
        <f>IF('Resultado da inspeção'!K58='Resultado da inspeção'!$W$3,0%,Ranking!W58)</f>
        <v>0.05</v>
      </c>
      <c r="AM58" s="50">
        <f>IF('Resultado da inspeção'!L58='Resultado da inspeção'!$W$3,0%,Ranking!X58)</f>
        <v>0.24</v>
      </c>
      <c r="AN58" s="50">
        <f>IF('Resultado da inspeção'!M58='Resultado da inspeção'!$W$3,0%,Ranking!Y58)</f>
        <v>0.05</v>
      </c>
      <c r="AO58" s="50">
        <f>IF('Resultado da inspeção'!N58='Resultado da inspeção'!$W$3,0%,Ranking!Z58)</f>
        <v>0.04</v>
      </c>
      <c r="AP58" s="50">
        <f>IF('Resultado da inspeção'!O58='Resultado da inspeção'!$W$3,0%,Ranking!AA58)</f>
        <v>0.06</v>
      </c>
      <c r="AQ58" s="50">
        <f>IF('Resultado da inspeção'!P58='Resultado da inspeção'!$W$3,0%,Ranking!AB58)</f>
        <v>0.08</v>
      </c>
      <c r="AR58" s="50">
        <f>IF('Resultado da inspeção'!Q58='Resultado da inspeção'!$W$3,0%,Ranking!AC58)</f>
        <v>0.05</v>
      </c>
      <c r="AS58" s="50">
        <f>IF('Resultado da inspeção'!R58='Resultado da inspeção'!$W$3,0%,Ranking!AD58)</f>
        <v>0.02</v>
      </c>
      <c r="AT58" s="50">
        <f>IF('Resultado da inspeção'!S58='Resultado da inspeção'!$W$3,0%,Ranking!AE58)</f>
        <v>0.02</v>
      </c>
      <c r="AU58" s="49">
        <f t="shared" si="18"/>
        <v>1</v>
      </c>
    </row>
    <row r="59" spans="2:47" x14ac:dyDescent="0.25">
      <c r="B59" s="48">
        <f>IF('Resultado da inspeção'!F59='Resultado da inspeção'!$W$4,0%,Ranking!B$5)</f>
        <v>0.02</v>
      </c>
      <c r="C59" s="48">
        <f>IF('Resultado da inspeção'!G59='Resultado da inspeção'!$W$4,0%,Ranking!C$5)</f>
        <v>0.03</v>
      </c>
      <c r="D59" s="48">
        <f>IF('Resultado da inspeção'!H59='Resultado da inspeção'!$W$4,0%,Ranking!D$5)</f>
        <v>0.03</v>
      </c>
      <c r="E59" s="48">
        <f>IF('Resultado da inspeção'!I59='Resultado da inspeção'!$W$4,0%,Ranking!E$5)</f>
        <v>0.1</v>
      </c>
      <c r="F59" s="48">
        <f>IF('Resultado da inspeção'!J59='Resultado da inspeção'!$W$4,0%,Ranking!F$5)</f>
        <v>0.21</v>
      </c>
      <c r="G59" s="48">
        <f>IF('Resultado da inspeção'!K59='Resultado da inspeção'!$W$4,0%,Ranking!G$5)</f>
        <v>0.05</v>
      </c>
      <c r="H59" s="48">
        <f>IF('Resultado da inspeção'!L59='Resultado da inspeção'!$W$4,0%,Ranking!H$5)</f>
        <v>0.24</v>
      </c>
      <c r="I59" s="48">
        <f>IF('Resultado da inspeção'!M59='Resultado da inspeção'!$W$4,0%,Ranking!I$5)</f>
        <v>0.05</v>
      </c>
      <c r="J59" s="48">
        <f>IF('Resultado da inspeção'!N59='Resultado da inspeção'!$W$4,0%,Ranking!J$5)</f>
        <v>0.04</v>
      </c>
      <c r="K59" s="48">
        <f>IF('Resultado da inspeção'!O59='Resultado da inspeção'!$W$4,0%,Ranking!K$5)</f>
        <v>0.06</v>
      </c>
      <c r="L59" s="48">
        <f>IF('Resultado da inspeção'!P59='Resultado da inspeção'!$W$4,0%,Ranking!L$5)</f>
        <v>0.08</v>
      </c>
      <c r="M59" s="48">
        <f>IF('Resultado da inspeção'!Q59='Resultado da inspeção'!$W$4,0%,Ranking!M$5)</f>
        <v>0.05</v>
      </c>
      <c r="N59" s="48">
        <f>IF('Resultado da inspeção'!R59='Resultado da inspeção'!$W$4,0%,Ranking!N$5)</f>
        <v>0.02</v>
      </c>
      <c r="O59" s="48">
        <f>IF('Resultado da inspeção'!S59='Resultado da inspeção'!$W$4,0%,Ranking!O$5)</f>
        <v>0.02</v>
      </c>
      <c r="P59" s="47">
        <f t="shared" si="0"/>
        <v>1</v>
      </c>
      <c r="Q59" s="49">
        <f t="shared" si="16"/>
        <v>0</v>
      </c>
      <c r="R59" s="50">
        <f t="shared" si="1"/>
        <v>0.02</v>
      </c>
      <c r="S59" s="50">
        <f t="shared" si="2"/>
        <v>0.03</v>
      </c>
      <c r="T59" s="50">
        <f t="shared" si="3"/>
        <v>0.03</v>
      </c>
      <c r="U59" s="50">
        <f t="shared" si="4"/>
        <v>0.1</v>
      </c>
      <c r="V59" s="50">
        <f t="shared" si="5"/>
        <v>0.21</v>
      </c>
      <c r="W59" s="50">
        <f t="shared" si="6"/>
        <v>0.05</v>
      </c>
      <c r="X59" s="50">
        <f t="shared" si="7"/>
        <v>0.24</v>
      </c>
      <c r="Y59" s="50">
        <f t="shared" si="8"/>
        <v>0.05</v>
      </c>
      <c r="Z59" s="50">
        <f t="shared" si="9"/>
        <v>0.04</v>
      </c>
      <c r="AA59" s="50">
        <f t="shared" si="10"/>
        <v>0.06</v>
      </c>
      <c r="AB59" s="50">
        <f t="shared" si="11"/>
        <v>0.08</v>
      </c>
      <c r="AC59" s="50">
        <f t="shared" si="12"/>
        <v>0.05</v>
      </c>
      <c r="AD59" s="50">
        <f t="shared" si="13"/>
        <v>0.02</v>
      </c>
      <c r="AE59" s="50">
        <f t="shared" si="14"/>
        <v>0.02</v>
      </c>
      <c r="AF59" s="47">
        <f t="shared" si="17"/>
        <v>1</v>
      </c>
      <c r="AG59" s="50">
        <f>IF('Resultado da inspeção'!F59='Resultado da inspeção'!$W$3,0%,Ranking!R59)</f>
        <v>0.02</v>
      </c>
      <c r="AH59" s="50">
        <f>IF('Resultado da inspeção'!G59='Resultado da inspeção'!$W$3,0%,Ranking!S59)</f>
        <v>0.03</v>
      </c>
      <c r="AI59" s="50">
        <f>IF('Resultado da inspeção'!H59='Resultado da inspeção'!$W$3,0%,Ranking!T59)</f>
        <v>0.03</v>
      </c>
      <c r="AJ59" s="50">
        <f>IF('Resultado da inspeção'!I59='Resultado da inspeção'!$W$3,0%,Ranking!U59)</f>
        <v>0.1</v>
      </c>
      <c r="AK59" s="50">
        <f>IF('Resultado da inspeção'!J59='Resultado da inspeção'!$W$3,0%,Ranking!V59)</f>
        <v>0.21</v>
      </c>
      <c r="AL59" s="50">
        <f>IF('Resultado da inspeção'!K59='Resultado da inspeção'!$W$3,0%,Ranking!W59)</f>
        <v>0.05</v>
      </c>
      <c r="AM59" s="50">
        <f>IF('Resultado da inspeção'!L59='Resultado da inspeção'!$W$3,0%,Ranking!X59)</f>
        <v>0.24</v>
      </c>
      <c r="AN59" s="50">
        <f>IF('Resultado da inspeção'!M59='Resultado da inspeção'!$W$3,0%,Ranking!Y59)</f>
        <v>0.05</v>
      </c>
      <c r="AO59" s="50">
        <f>IF('Resultado da inspeção'!N59='Resultado da inspeção'!$W$3,0%,Ranking!Z59)</f>
        <v>0.04</v>
      </c>
      <c r="AP59" s="50">
        <f>IF('Resultado da inspeção'!O59='Resultado da inspeção'!$W$3,0%,Ranking!AA59)</f>
        <v>0.06</v>
      </c>
      <c r="AQ59" s="50">
        <f>IF('Resultado da inspeção'!P59='Resultado da inspeção'!$W$3,0%,Ranking!AB59)</f>
        <v>0.08</v>
      </c>
      <c r="AR59" s="50">
        <f>IF('Resultado da inspeção'!Q59='Resultado da inspeção'!$W$3,0%,Ranking!AC59)</f>
        <v>0.05</v>
      </c>
      <c r="AS59" s="50">
        <f>IF('Resultado da inspeção'!R59='Resultado da inspeção'!$W$3,0%,Ranking!AD59)</f>
        <v>0.02</v>
      </c>
      <c r="AT59" s="50">
        <f>IF('Resultado da inspeção'!S59='Resultado da inspeção'!$W$3,0%,Ranking!AE59)</f>
        <v>0.02</v>
      </c>
      <c r="AU59" s="49">
        <f t="shared" si="18"/>
        <v>1</v>
      </c>
    </row>
    <row r="60" spans="2:47" x14ac:dyDescent="0.25">
      <c r="B60" s="48">
        <f>IF('Resultado da inspeção'!F60='Resultado da inspeção'!$W$4,0%,Ranking!B$5)</f>
        <v>0.02</v>
      </c>
      <c r="C60" s="48">
        <f>IF('Resultado da inspeção'!G60='Resultado da inspeção'!$W$4,0%,Ranking!C$5)</f>
        <v>0.03</v>
      </c>
      <c r="D60" s="48">
        <f>IF('Resultado da inspeção'!H60='Resultado da inspeção'!$W$4,0%,Ranking!D$5)</f>
        <v>0.03</v>
      </c>
      <c r="E60" s="48">
        <f>IF('Resultado da inspeção'!I60='Resultado da inspeção'!$W$4,0%,Ranking!E$5)</f>
        <v>0.1</v>
      </c>
      <c r="F60" s="48">
        <f>IF('Resultado da inspeção'!J60='Resultado da inspeção'!$W$4,0%,Ranking!F$5)</f>
        <v>0.21</v>
      </c>
      <c r="G60" s="48">
        <f>IF('Resultado da inspeção'!K60='Resultado da inspeção'!$W$4,0%,Ranking!G$5)</f>
        <v>0.05</v>
      </c>
      <c r="H60" s="48">
        <f>IF('Resultado da inspeção'!L60='Resultado da inspeção'!$W$4,0%,Ranking!H$5)</f>
        <v>0.24</v>
      </c>
      <c r="I60" s="48">
        <f>IF('Resultado da inspeção'!M60='Resultado da inspeção'!$W$4,0%,Ranking!I$5)</f>
        <v>0.05</v>
      </c>
      <c r="J60" s="48">
        <f>IF('Resultado da inspeção'!N60='Resultado da inspeção'!$W$4,0%,Ranking!J$5)</f>
        <v>0.04</v>
      </c>
      <c r="K60" s="48">
        <f>IF('Resultado da inspeção'!O60='Resultado da inspeção'!$W$4,0%,Ranking!K$5)</f>
        <v>0.06</v>
      </c>
      <c r="L60" s="48">
        <f>IF('Resultado da inspeção'!P60='Resultado da inspeção'!$W$4,0%,Ranking!L$5)</f>
        <v>0.08</v>
      </c>
      <c r="M60" s="48">
        <f>IF('Resultado da inspeção'!Q60='Resultado da inspeção'!$W$4,0%,Ranking!M$5)</f>
        <v>0.05</v>
      </c>
      <c r="N60" s="48">
        <f>IF('Resultado da inspeção'!R60='Resultado da inspeção'!$W$4,0%,Ranking!N$5)</f>
        <v>0.02</v>
      </c>
      <c r="O60" s="48">
        <f>IF('Resultado da inspeção'!S60='Resultado da inspeção'!$W$4,0%,Ranking!O$5)</f>
        <v>0.02</v>
      </c>
      <c r="P60" s="47">
        <f t="shared" si="0"/>
        <v>1</v>
      </c>
      <c r="Q60" s="49">
        <f t="shared" si="16"/>
        <v>0</v>
      </c>
      <c r="R60" s="50">
        <f t="shared" si="1"/>
        <v>0.02</v>
      </c>
      <c r="S60" s="50">
        <f t="shared" si="2"/>
        <v>0.03</v>
      </c>
      <c r="T60" s="50">
        <f t="shared" si="3"/>
        <v>0.03</v>
      </c>
      <c r="U60" s="50">
        <f t="shared" si="4"/>
        <v>0.1</v>
      </c>
      <c r="V60" s="50">
        <f t="shared" si="5"/>
        <v>0.21</v>
      </c>
      <c r="W60" s="50">
        <f t="shared" si="6"/>
        <v>0.05</v>
      </c>
      <c r="X60" s="50">
        <f t="shared" si="7"/>
        <v>0.24</v>
      </c>
      <c r="Y60" s="50">
        <f t="shared" si="8"/>
        <v>0.05</v>
      </c>
      <c r="Z60" s="50">
        <f t="shared" si="9"/>
        <v>0.04</v>
      </c>
      <c r="AA60" s="50">
        <f t="shared" si="10"/>
        <v>0.06</v>
      </c>
      <c r="AB60" s="50">
        <f t="shared" si="11"/>
        <v>0.08</v>
      </c>
      <c r="AC60" s="50">
        <f t="shared" si="12"/>
        <v>0.05</v>
      </c>
      <c r="AD60" s="50">
        <f t="shared" si="13"/>
        <v>0.02</v>
      </c>
      <c r="AE60" s="50">
        <f t="shared" si="14"/>
        <v>0.02</v>
      </c>
      <c r="AF60" s="47">
        <f t="shared" si="17"/>
        <v>1</v>
      </c>
      <c r="AG60" s="50">
        <f>IF('Resultado da inspeção'!F60='Resultado da inspeção'!$W$3,0%,Ranking!R60)</f>
        <v>0.02</v>
      </c>
      <c r="AH60" s="50">
        <f>IF('Resultado da inspeção'!G60='Resultado da inspeção'!$W$3,0%,Ranking!S60)</f>
        <v>0.03</v>
      </c>
      <c r="AI60" s="50">
        <f>IF('Resultado da inspeção'!H60='Resultado da inspeção'!$W$3,0%,Ranking!T60)</f>
        <v>0.03</v>
      </c>
      <c r="AJ60" s="50">
        <f>IF('Resultado da inspeção'!I60='Resultado da inspeção'!$W$3,0%,Ranking!U60)</f>
        <v>0.1</v>
      </c>
      <c r="AK60" s="50">
        <f>IF('Resultado da inspeção'!J60='Resultado da inspeção'!$W$3,0%,Ranking!V60)</f>
        <v>0.21</v>
      </c>
      <c r="AL60" s="50">
        <f>IF('Resultado da inspeção'!K60='Resultado da inspeção'!$W$3,0%,Ranking!W60)</f>
        <v>0.05</v>
      </c>
      <c r="AM60" s="50">
        <f>IF('Resultado da inspeção'!L60='Resultado da inspeção'!$W$3,0%,Ranking!X60)</f>
        <v>0.24</v>
      </c>
      <c r="AN60" s="50">
        <f>IF('Resultado da inspeção'!M60='Resultado da inspeção'!$W$3,0%,Ranking!Y60)</f>
        <v>0.05</v>
      </c>
      <c r="AO60" s="50">
        <f>IF('Resultado da inspeção'!N60='Resultado da inspeção'!$W$3,0%,Ranking!Z60)</f>
        <v>0.04</v>
      </c>
      <c r="AP60" s="50">
        <f>IF('Resultado da inspeção'!O60='Resultado da inspeção'!$W$3,0%,Ranking!AA60)</f>
        <v>0.06</v>
      </c>
      <c r="AQ60" s="50">
        <f>IF('Resultado da inspeção'!P60='Resultado da inspeção'!$W$3,0%,Ranking!AB60)</f>
        <v>0.08</v>
      </c>
      <c r="AR60" s="50">
        <f>IF('Resultado da inspeção'!Q60='Resultado da inspeção'!$W$3,0%,Ranking!AC60)</f>
        <v>0.05</v>
      </c>
      <c r="AS60" s="50">
        <f>IF('Resultado da inspeção'!R60='Resultado da inspeção'!$W$3,0%,Ranking!AD60)</f>
        <v>0.02</v>
      </c>
      <c r="AT60" s="50">
        <f>IF('Resultado da inspeção'!S60='Resultado da inspeção'!$W$3,0%,Ranking!AE60)</f>
        <v>0.02</v>
      </c>
      <c r="AU60" s="49">
        <f t="shared" si="18"/>
        <v>1</v>
      </c>
    </row>
    <row r="61" spans="2:47" x14ac:dyDescent="0.25">
      <c r="B61" s="48">
        <f>IF('Resultado da inspeção'!F61='Resultado da inspeção'!$W$4,0%,Ranking!B$5)</f>
        <v>0.02</v>
      </c>
      <c r="C61" s="48">
        <f>IF('Resultado da inspeção'!G61='Resultado da inspeção'!$W$4,0%,Ranking!C$5)</f>
        <v>0.03</v>
      </c>
      <c r="D61" s="48">
        <f>IF('Resultado da inspeção'!H61='Resultado da inspeção'!$W$4,0%,Ranking!D$5)</f>
        <v>0.03</v>
      </c>
      <c r="E61" s="48">
        <f>IF('Resultado da inspeção'!I61='Resultado da inspeção'!$W$4,0%,Ranking!E$5)</f>
        <v>0.1</v>
      </c>
      <c r="F61" s="48">
        <f>IF('Resultado da inspeção'!J61='Resultado da inspeção'!$W$4,0%,Ranking!F$5)</f>
        <v>0.21</v>
      </c>
      <c r="G61" s="48">
        <f>IF('Resultado da inspeção'!K61='Resultado da inspeção'!$W$4,0%,Ranking!G$5)</f>
        <v>0.05</v>
      </c>
      <c r="H61" s="48">
        <f>IF('Resultado da inspeção'!L61='Resultado da inspeção'!$W$4,0%,Ranking!H$5)</f>
        <v>0.24</v>
      </c>
      <c r="I61" s="48">
        <f>IF('Resultado da inspeção'!M61='Resultado da inspeção'!$W$4,0%,Ranking!I$5)</f>
        <v>0.05</v>
      </c>
      <c r="J61" s="48">
        <f>IF('Resultado da inspeção'!N61='Resultado da inspeção'!$W$4,0%,Ranking!J$5)</f>
        <v>0.04</v>
      </c>
      <c r="K61" s="48">
        <f>IF('Resultado da inspeção'!O61='Resultado da inspeção'!$W$4,0%,Ranking!K$5)</f>
        <v>0.06</v>
      </c>
      <c r="L61" s="48">
        <f>IF('Resultado da inspeção'!P61='Resultado da inspeção'!$W$4,0%,Ranking!L$5)</f>
        <v>0.08</v>
      </c>
      <c r="M61" s="48">
        <f>IF('Resultado da inspeção'!Q61='Resultado da inspeção'!$W$4,0%,Ranking!M$5)</f>
        <v>0.05</v>
      </c>
      <c r="N61" s="48">
        <f>IF('Resultado da inspeção'!R61='Resultado da inspeção'!$W$4,0%,Ranking!N$5)</f>
        <v>0.02</v>
      </c>
      <c r="O61" s="48">
        <f>IF('Resultado da inspeção'!S61='Resultado da inspeção'!$W$4,0%,Ranking!O$5)</f>
        <v>0.02</v>
      </c>
      <c r="P61" s="47">
        <f t="shared" si="0"/>
        <v>1</v>
      </c>
      <c r="Q61" s="49">
        <f t="shared" si="16"/>
        <v>0</v>
      </c>
      <c r="R61" s="50">
        <f t="shared" si="1"/>
        <v>0.02</v>
      </c>
      <c r="S61" s="50">
        <f t="shared" si="2"/>
        <v>0.03</v>
      </c>
      <c r="T61" s="50">
        <f t="shared" si="3"/>
        <v>0.03</v>
      </c>
      <c r="U61" s="50">
        <f t="shared" si="4"/>
        <v>0.1</v>
      </c>
      <c r="V61" s="50">
        <f t="shared" si="5"/>
        <v>0.21</v>
      </c>
      <c r="W61" s="50">
        <f t="shared" si="6"/>
        <v>0.05</v>
      </c>
      <c r="X61" s="50">
        <f t="shared" si="7"/>
        <v>0.24</v>
      </c>
      <c r="Y61" s="50">
        <f t="shared" si="8"/>
        <v>0.05</v>
      </c>
      <c r="Z61" s="50">
        <f t="shared" si="9"/>
        <v>0.04</v>
      </c>
      <c r="AA61" s="50">
        <f t="shared" si="10"/>
        <v>0.06</v>
      </c>
      <c r="AB61" s="50">
        <f t="shared" si="11"/>
        <v>0.08</v>
      </c>
      <c r="AC61" s="50">
        <f t="shared" si="12"/>
        <v>0.05</v>
      </c>
      <c r="AD61" s="50">
        <f t="shared" si="13"/>
        <v>0.02</v>
      </c>
      <c r="AE61" s="50">
        <f t="shared" si="14"/>
        <v>0.02</v>
      </c>
      <c r="AF61" s="47">
        <f t="shared" si="17"/>
        <v>1</v>
      </c>
      <c r="AG61" s="50">
        <f>IF('Resultado da inspeção'!F61='Resultado da inspeção'!$W$3,0%,Ranking!R61)</f>
        <v>0.02</v>
      </c>
      <c r="AH61" s="50">
        <f>IF('Resultado da inspeção'!G61='Resultado da inspeção'!$W$3,0%,Ranking!S61)</f>
        <v>0.03</v>
      </c>
      <c r="AI61" s="50">
        <f>IF('Resultado da inspeção'!H61='Resultado da inspeção'!$W$3,0%,Ranking!T61)</f>
        <v>0.03</v>
      </c>
      <c r="AJ61" s="50">
        <f>IF('Resultado da inspeção'!I61='Resultado da inspeção'!$W$3,0%,Ranking!U61)</f>
        <v>0.1</v>
      </c>
      <c r="AK61" s="50">
        <f>IF('Resultado da inspeção'!J61='Resultado da inspeção'!$W$3,0%,Ranking!V61)</f>
        <v>0.21</v>
      </c>
      <c r="AL61" s="50">
        <f>IF('Resultado da inspeção'!K61='Resultado da inspeção'!$W$3,0%,Ranking!W61)</f>
        <v>0.05</v>
      </c>
      <c r="AM61" s="50">
        <f>IF('Resultado da inspeção'!L61='Resultado da inspeção'!$W$3,0%,Ranking!X61)</f>
        <v>0.24</v>
      </c>
      <c r="AN61" s="50">
        <f>IF('Resultado da inspeção'!M61='Resultado da inspeção'!$W$3,0%,Ranking!Y61)</f>
        <v>0.05</v>
      </c>
      <c r="AO61" s="50">
        <f>IF('Resultado da inspeção'!N61='Resultado da inspeção'!$W$3,0%,Ranking!Z61)</f>
        <v>0.04</v>
      </c>
      <c r="AP61" s="50">
        <f>IF('Resultado da inspeção'!O61='Resultado da inspeção'!$W$3,0%,Ranking!AA61)</f>
        <v>0.06</v>
      </c>
      <c r="AQ61" s="50">
        <f>IF('Resultado da inspeção'!P61='Resultado da inspeção'!$W$3,0%,Ranking!AB61)</f>
        <v>0.08</v>
      </c>
      <c r="AR61" s="50">
        <f>IF('Resultado da inspeção'!Q61='Resultado da inspeção'!$W$3,0%,Ranking!AC61)</f>
        <v>0.05</v>
      </c>
      <c r="AS61" s="50">
        <f>IF('Resultado da inspeção'!R61='Resultado da inspeção'!$W$3,0%,Ranking!AD61)</f>
        <v>0.02</v>
      </c>
      <c r="AT61" s="50">
        <f>IF('Resultado da inspeção'!S61='Resultado da inspeção'!$W$3,0%,Ranking!AE61)</f>
        <v>0.02</v>
      </c>
      <c r="AU61" s="49">
        <f t="shared" si="18"/>
        <v>1</v>
      </c>
    </row>
    <row r="62" spans="2:47" x14ac:dyDescent="0.25">
      <c r="B62" s="48">
        <f>IF('Resultado da inspeção'!F62='Resultado da inspeção'!$W$4,0%,Ranking!B$5)</f>
        <v>0.02</v>
      </c>
      <c r="C62" s="48">
        <f>IF('Resultado da inspeção'!G62='Resultado da inspeção'!$W$4,0%,Ranking!C$5)</f>
        <v>0.03</v>
      </c>
      <c r="D62" s="48">
        <f>IF('Resultado da inspeção'!H62='Resultado da inspeção'!$W$4,0%,Ranking!D$5)</f>
        <v>0.03</v>
      </c>
      <c r="E62" s="48">
        <f>IF('Resultado da inspeção'!I62='Resultado da inspeção'!$W$4,0%,Ranking!E$5)</f>
        <v>0.1</v>
      </c>
      <c r="F62" s="48">
        <f>IF('Resultado da inspeção'!J62='Resultado da inspeção'!$W$4,0%,Ranking!F$5)</f>
        <v>0.21</v>
      </c>
      <c r="G62" s="48">
        <f>IF('Resultado da inspeção'!K62='Resultado da inspeção'!$W$4,0%,Ranking!G$5)</f>
        <v>0.05</v>
      </c>
      <c r="H62" s="48">
        <f>IF('Resultado da inspeção'!L62='Resultado da inspeção'!$W$4,0%,Ranking!H$5)</f>
        <v>0.24</v>
      </c>
      <c r="I62" s="48">
        <f>IF('Resultado da inspeção'!M62='Resultado da inspeção'!$W$4,0%,Ranking!I$5)</f>
        <v>0.05</v>
      </c>
      <c r="J62" s="48">
        <f>IF('Resultado da inspeção'!N62='Resultado da inspeção'!$W$4,0%,Ranking!J$5)</f>
        <v>0.04</v>
      </c>
      <c r="K62" s="48">
        <f>IF('Resultado da inspeção'!O62='Resultado da inspeção'!$W$4,0%,Ranking!K$5)</f>
        <v>0.06</v>
      </c>
      <c r="L62" s="48">
        <f>IF('Resultado da inspeção'!P62='Resultado da inspeção'!$W$4,0%,Ranking!L$5)</f>
        <v>0.08</v>
      </c>
      <c r="M62" s="48">
        <f>IF('Resultado da inspeção'!Q62='Resultado da inspeção'!$W$4,0%,Ranking!M$5)</f>
        <v>0.05</v>
      </c>
      <c r="N62" s="48">
        <f>IF('Resultado da inspeção'!R62='Resultado da inspeção'!$W$4,0%,Ranking!N$5)</f>
        <v>0.02</v>
      </c>
      <c r="O62" s="48">
        <f>IF('Resultado da inspeção'!S62='Resultado da inspeção'!$W$4,0%,Ranking!O$5)</f>
        <v>0.02</v>
      </c>
      <c r="P62" s="47">
        <f t="shared" si="0"/>
        <v>1</v>
      </c>
      <c r="Q62" s="49">
        <f t="shared" si="16"/>
        <v>0</v>
      </c>
      <c r="R62" s="50">
        <f t="shared" si="1"/>
        <v>0.02</v>
      </c>
      <c r="S62" s="50">
        <f t="shared" si="2"/>
        <v>0.03</v>
      </c>
      <c r="T62" s="50">
        <f t="shared" si="3"/>
        <v>0.03</v>
      </c>
      <c r="U62" s="50">
        <f t="shared" si="4"/>
        <v>0.1</v>
      </c>
      <c r="V62" s="50">
        <f t="shared" si="5"/>
        <v>0.21</v>
      </c>
      <c r="W62" s="50">
        <f t="shared" si="6"/>
        <v>0.05</v>
      </c>
      <c r="X62" s="50">
        <f t="shared" si="7"/>
        <v>0.24</v>
      </c>
      <c r="Y62" s="50">
        <f t="shared" si="8"/>
        <v>0.05</v>
      </c>
      <c r="Z62" s="50">
        <f t="shared" si="9"/>
        <v>0.04</v>
      </c>
      <c r="AA62" s="50">
        <f t="shared" si="10"/>
        <v>0.06</v>
      </c>
      <c r="AB62" s="50">
        <f t="shared" si="11"/>
        <v>0.08</v>
      </c>
      <c r="AC62" s="50">
        <f t="shared" si="12"/>
        <v>0.05</v>
      </c>
      <c r="AD62" s="50">
        <f t="shared" si="13"/>
        <v>0.02</v>
      </c>
      <c r="AE62" s="50">
        <f t="shared" si="14"/>
        <v>0.02</v>
      </c>
      <c r="AF62" s="47">
        <f t="shared" si="17"/>
        <v>1</v>
      </c>
      <c r="AG62" s="50">
        <f>IF('Resultado da inspeção'!F62='Resultado da inspeção'!$W$3,0%,Ranking!R62)</f>
        <v>0.02</v>
      </c>
      <c r="AH62" s="50">
        <f>IF('Resultado da inspeção'!G62='Resultado da inspeção'!$W$3,0%,Ranking!S62)</f>
        <v>0.03</v>
      </c>
      <c r="AI62" s="50">
        <f>IF('Resultado da inspeção'!H62='Resultado da inspeção'!$W$3,0%,Ranking!T62)</f>
        <v>0.03</v>
      </c>
      <c r="AJ62" s="50">
        <f>IF('Resultado da inspeção'!I62='Resultado da inspeção'!$W$3,0%,Ranking!U62)</f>
        <v>0.1</v>
      </c>
      <c r="AK62" s="50">
        <f>IF('Resultado da inspeção'!J62='Resultado da inspeção'!$W$3,0%,Ranking!V62)</f>
        <v>0.21</v>
      </c>
      <c r="AL62" s="50">
        <f>IF('Resultado da inspeção'!K62='Resultado da inspeção'!$W$3,0%,Ranking!W62)</f>
        <v>0.05</v>
      </c>
      <c r="AM62" s="50">
        <f>IF('Resultado da inspeção'!L62='Resultado da inspeção'!$W$3,0%,Ranking!X62)</f>
        <v>0.24</v>
      </c>
      <c r="AN62" s="50">
        <f>IF('Resultado da inspeção'!M62='Resultado da inspeção'!$W$3,0%,Ranking!Y62)</f>
        <v>0.05</v>
      </c>
      <c r="AO62" s="50">
        <f>IF('Resultado da inspeção'!N62='Resultado da inspeção'!$W$3,0%,Ranking!Z62)</f>
        <v>0.04</v>
      </c>
      <c r="AP62" s="50">
        <f>IF('Resultado da inspeção'!O62='Resultado da inspeção'!$W$3,0%,Ranking!AA62)</f>
        <v>0.06</v>
      </c>
      <c r="AQ62" s="50">
        <f>IF('Resultado da inspeção'!P62='Resultado da inspeção'!$W$3,0%,Ranking!AB62)</f>
        <v>0.08</v>
      </c>
      <c r="AR62" s="50">
        <f>IF('Resultado da inspeção'!Q62='Resultado da inspeção'!$W$3,0%,Ranking!AC62)</f>
        <v>0.05</v>
      </c>
      <c r="AS62" s="50">
        <f>IF('Resultado da inspeção'!R62='Resultado da inspeção'!$W$3,0%,Ranking!AD62)</f>
        <v>0.02</v>
      </c>
      <c r="AT62" s="50">
        <f>IF('Resultado da inspeção'!S62='Resultado da inspeção'!$W$3,0%,Ranking!AE62)</f>
        <v>0.02</v>
      </c>
      <c r="AU62" s="49">
        <f t="shared" si="18"/>
        <v>1</v>
      </c>
    </row>
    <row r="63" spans="2:47" x14ac:dyDescent="0.25">
      <c r="B63" s="48">
        <f>IF('Resultado da inspeção'!F63='Resultado da inspeção'!$W$4,0%,Ranking!B$5)</f>
        <v>0.02</v>
      </c>
      <c r="C63" s="48">
        <f>IF('Resultado da inspeção'!G63='Resultado da inspeção'!$W$4,0%,Ranking!C$5)</f>
        <v>0.03</v>
      </c>
      <c r="D63" s="48">
        <f>IF('Resultado da inspeção'!H63='Resultado da inspeção'!$W$4,0%,Ranking!D$5)</f>
        <v>0.03</v>
      </c>
      <c r="E63" s="48">
        <f>IF('Resultado da inspeção'!I63='Resultado da inspeção'!$W$4,0%,Ranking!E$5)</f>
        <v>0.1</v>
      </c>
      <c r="F63" s="48">
        <f>IF('Resultado da inspeção'!J63='Resultado da inspeção'!$W$4,0%,Ranking!F$5)</f>
        <v>0.21</v>
      </c>
      <c r="G63" s="48">
        <f>IF('Resultado da inspeção'!K63='Resultado da inspeção'!$W$4,0%,Ranking!G$5)</f>
        <v>0.05</v>
      </c>
      <c r="H63" s="48">
        <f>IF('Resultado da inspeção'!L63='Resultado da inspeção'!$W$4,0%,Ranking!H$5)</f>
        <v>0.24</v>
      </c>
      <c r="I63" s="48">
        <f>IF('Resultado da inspeção'!M63='Resultado da inspeção'!$W$4,0%,Ranking!I$5)</f>
        <v>0.05</v>
      </c>
      <c r="J63" s="48">
        <f>IF('Resultado da inspeção'!N63='Resultado da inspeção'!$W$4,0%,Ranking!J$5)</f>
        <v>0.04</v>
      </c>
      <c r="K63" s="48">
        <f>IF('Resultado da inspeção'!O63='Resultado da inspeção'!$W$4,0%,Ranking!K$5)</f>
        <v>0.06</v>
      </c>
      <c r="L63" s="48">
        <f>IF('Resultado da inspeção'!P63='Resultado da inspeção'!$W$4,0%,Ranking!L$5)</f>
        <v>0.08</v>
      </c>
      <c r="M63" s="48">
        <f>IF('Resultado da inspeção'!Q63='Resultado da inspeção'!$W$4,0%,Ranking!M$5)</f>
        <v>0.05</v>
      </c>
      <c r="N63" s="48">
        <f>IF('Resultado da inspeção'!R63='Resultado da inspeção'!$W$4,0%,Ranking!N$5)</f>
        <v>0.02</v>
      </c>
      <c r="O63" s="48">
        <f>IF('Resultado da inspeção'!S63='Resultado da inspeção'!$W$4,0%,Ranking!O$5)</f>
        <v>0.02</v>
      </c>
      <c r="P63" s="47">
        <f t="shared" si="0"/>
        <v>1</v>
      </c>
      <c r="Q63" s="49">
        <f t="shared" si="16"/>
        <v>0</v>
      </c>
      <c r="R63" s="50">
        <f t="shared" si="1"/>
        <v>0.02</v>
      </c>
      <c r="S63" s="50">
        <f t="shared" si="2"/>
        <v>0.03</v>
      </c>
      <c r="T63" s="50">
        <f t="shared" si="3"/>
        <v>0.03</v>
      </c>
      <c r="U63" s="50">
        <f t="shared" si="4"/>
        <v>0.1</v>
      </c>
      <c r="V63" s="50">
        <f t="shared" si="5"/>
        <v>0.21</v>
      </c>
      <c r="W63" s="50">
        <f t="shared" si="6"/>
        <v>0.05</v>
      </c>
      <c r="X63" s="50">
        <f t="shared" si="7"/>
        <v>0.24</v>
      </c>
      <c r="Y63" s="50">
        <f t="shared" si="8"/>
        <v>0.05</v>
      </c>
      <c r="Z63" s="50">
        <f t="shared" si="9"/>
        <v>0.04</v>
      </c>
      <c r="AA63" s="50">
        <f t="shared" si="10"/>
        <v>0.06</v>
      </c>
      <c r="AB63" s="50">
        <f t="shared" si="11"/>
        <v>0.08</v>
      </c>
      <c r="AC63" s="50">
        <f t="shared" si="12"/>
        <v>0.05</v>
      </c>
      <c r="AD63" s="50">
        <f t="shared" si="13"/>
        <v>0.02</v>
      </c>
      <c r="AE63" s="50">
        <f t="shared" si="14"/>
        <v>0.02</v>
      </c>
      <c r="AF63" s="47">
        <f t="shared" si="17"/>
        <v>1</v>
      </c>
      <c r="AG63" s="50">
        <f>IF('Resultado da inspeção'!F63='Resultado da inspeção'!$W$3,0%,Ranking!R63)</f>
        <v>0.02</v>
      </c>
      <c r="AH63" s="50">
        <f>IF('Resultado da inspeção'!G63='Resultado da inspeção'!$W$3,0%,Ranking!S63)</f>
        <v>0.03</v>
      </c>
      <c r="AI63" s="50">
        <f>IF('Resultado da inspeção'!H63='Resultado da inspeção'!$W$3,0%,Ranking!T63)</f>
        <v>0.03</v>
      </c>
      <c r="AJ63" s="50">
        <f>IF('Resultado da inspeção'!I63='Resultado da inspeção'!$W$3,0%,Ranking!U63)</f>
        <v>0.1</v>
      </c>
      <c r="AK63" s="50">
        <f>IF('Resultado da inspeção'!J63='Resultado da inspeção'!$W$3,0%,Ranking!V63)</f>
        <v>0.21</v>
      </c>
      <c r="AL63" s="50">
        <f>IF('Resultado da inspeção'!K63='Resultado da inspeção'!$W$3,0%,Ranking!W63)</f>
        <v>0.05</v>
      </c>
      <c r="AM63" s="50">
        <f>IF('Resultado da inspeção'!L63='Resultado da inspeção'!$W$3,0%,Ranking!X63)</f>
        <v>0.24</v>
      </c>
      <c r="AN63" s="50">
        <f>IF('Resultado da inspeção'!M63='Resultado da inspeção'!$W$3,0%,Ranking!Y63)</f>
        <v>0.05</v>
      </c>
      <c r="AO63" s="50">
        <f>IF('Resultado da inspeção'!N63='Resultado da inspeção'!$W$3,0%,Ranking!Z63)</f>
        <v>0.04</v>
      </c>
      <c r="AP63" s="50">
        <f>IF('Resultado da inspeção'!O63='Resultado da inspeção'!$W$3,0%,Ranking!AA63)</f>
        <v>0.06</v>
      </c>
      <c r="AQ63" s="50">
        <f>IF('Resultado da inspeção'!P63='Resultado da inspeção'!$W$3,0%,Ranking!AB63)</f>
        <v>0.08</v>
      </c>
      <c r="AR63" s="50">
        <f>IF('Resultado da inspeção'!Q63='Resultado da inspeção'!$W$3,0%,Ranking!AC63)</f>
        <v>0.05</v>
      </c>
      <c r="AS63" s="50">
        <f>IF('Resultado da inspeção'!R63='Resultado da inspeção'!$W$3,0%,Ranking!AD63)</f>
        <v>0.02</v>
      </c>
      <c r="AT63" s="50">
        <f>IF('Resultado da inspeção'!S63='Resultado da inspeção'!$W$3,0%,Ranking!AE63)</f>
        <v>0.02</v>
      </c>
      <c r="AU63" s="49">
        <f t="shared" si="18"/>
        <v>1</v>
      </c>
    </row>
    <row r="64" spans="2:47" x14ac:dyDescent="0.25">
      <c r="B64" s="48">
        <f>IF('Resultado da inspeção'!F64='Resultado da inspeção'!$W$4,0%,Ranking!B$5)</f>
        <v>0.02</v>
      </c>
      <c r="C64" s="48">
        <f>IF('Resultado da inspeção'!G64='Resultado da inspeção'!$W$4,0%,Ranking!C$5)</f>
        <v>0.03</v>
      </c>
      <c r="D64" s="48">
        <f>IF('Resultado da inspeção'!H64='Resultado da inspeção'!$W$4,0%,Ranking!D$5)</f>
        <v>0.03</v>
      </c>
      <c r="E64" s="48">
        <f>IF('Resultado da inspeção'!I64='Resultado da inspeção'!$W$4,0%,Ranking!E$5)</f>
        <v>0.1</v>
      </c>
      <c r="F64" s="48">
        <f>IF('Resultado da inspeção'!J64='Resultado da inspeção'!$W$4,0%,Ranking!F$5)</f>
        <v>0.21</v>
      </c>
      <c r="G64" s="48">
        <f>IF('Resultado da inspeção'!K64='Resultado da inspeção'!$W$4,0%,Ranking!G$5)</f>
        <v>0.05</v>
      </c>
      <c r="H64" s="48">
        <f>IF('Resultado da inspeção'!L64='Resultado da inspeção'!$W$4,0%,Ranking!H$5)</f>
        <v>0.24</v>
      </c>
      <c r="I64" s="48">
        <f>IF('Resultado da inspeção'!M64='Resultado da inspeção'!$W$4,0%,Ranking!I$5)</f>
        <v>0.05</v>
      </c>
      <c r="J64" s="48">
        <f>IF('Resultado da inspeção'!N64='Resultado da inspeção'!$W$4,0%,Ranking!J$5)</f>
        <v>0.04</v>
      </c>
      <c r="K64" s="48">
        <f>IF('Resultado da inspeção'!O64='Resultado da inspeção'!$W$4,0%,Ranking!K$5)</f>
        <v>0.06</v>
      </c>
      <c r="L64" s="48">
        <f>IF('Resultado da inspeção'!P64='Resultado da inspeção'!$W$4,0%,Ranking!L$5)</f>
        <v>0.08</v>
      </c>
      <c r="M64" s="48">
        <f>IF('Resultado da inspeção'!Q64='Resultado da inspeção'!$W$4,0%,Ranking!M$5)</f>
        <v>0.05</v>
      </c>
      <c r="N64" s="48">
        <f>IF('Resultado da inspeção'!R64='Resultado da inspeção'!$W$4,0%,Ranking!N$5)</f>
        <v>0.02</v>
      </c>
      <c r="O64" s="48">
        <f>IF('Resultado da inspeção'!S64='Resultado da inspeção'!$W$4,0%,Ranking!O$5)</f>
        <v>0.02</v>
      </c>
      <c r="P64" s="47">
        <f t="shared" si="0"/>
        <v>1</v>
      </c>
      <c r="Q64" s="49">
        <f t="shared" si="16"/>
        <v>0</v>
      </c>
      <c r="R64" s="50">
        <f t="shared" si="1"/>
        <v>0.02</v>
      </c>
      <c r="S64" s="50">
        <f t="shared" si="2"/>
        <v>0.03</v>
      </c>
      <c r="T64" s="50">
        <f t="shared" si="3"/>
        <v>0.03</v>
      </c>
      <c r="U64" s="50">
        <f t="shared" si="4"/>
        <v>0.1</v>
      </c>
      <c r="V64" s="50">
        <f t="shared" si="5"/>
        <v>0.21</v>
      </c>
      <c r="W64" s="50">
        <f t="shared" si="6"/>
        <v>0.05</v>
      </c>
      <c r="X64" s="50">
        <f t="shared" si="7"/>
        <v>0.24</v>
      </c>
      <c r="Y64" s="50">
        <f t="shared" si="8"/>
        <v>0.05</v>
      </c>
      <c r="Z64" s="50">
        <f t="shared" si="9"/>
        <v>0.04</v>
      </c>
      <c r="AA64" s="50">
        <f t="shared" si="10"/>
        <v>0.06</v>
      </c>
      <c r="AB64" s="50">
        <f t="shared" si="11"/>
        <v>0.08</v>
      </c>
      <c r="AC64" s="50">
        <f t="shared" si="12"/>
        <v>0.05</v>
      </c>
      <c r="AD64" s="50">
        <f t="shared" si="13"/>
        <v>0.02</v>
      </c>
      <c r="AE64" s="50">
        <f t="shared" si="14"/>
        <v>0.02</v>
      </c>
      <c r="AF64" s="47">
        <f t="shared" si="17"/>
        <v>1</v>
      </c>
      <c r="AG64" s="50">
        <f>IF('Resultado da inspeção'!F64='Resultado da inspeção'!$W$3,0%,Ranking!R64)</f>
        <v>0.02</v>
      </c>
      <c r="AH64" s="50">
        <f>IF('Resultado da inspeção'!G64='Resultado da inspeção'!$W$3,0%,Ranking!S64)</f>
        <v>0.03</v>
      </c>
      <c r="AI64" s="50">
        <f>IF('Resultado da inspeção'!H64='Resultado da inspeção'!$W$3,0%,Ranking!T64)</f>
        <v>0.03</v>
      </c>
      <c r="AJ64" s="50">
        <f>IF('Resultado da inspeção'!I64='Resultado da inspeção'!$W$3,0%,Ranking!U64)</f>
        <v>0.1</v>
      </c>
      <c r="AK64" s="50">
        <f>IF('Resultado da inspeção'!J64='Resultado da inspeção'!$W$3,0%,Ranking!V64)</f>
        <v>0.21</v>
      </c>
      <c r="AL64" s="50">
        <f>IF('Resultado da inspeção'!K64='Resultado da inspeção'!$W$3,0%,Ranking!W64)</f>
        <v>0.05</v>
      </c>
      <c r="AM64" s="50">
        <f>IF('Resultado da inspeção'!L64='Resultado da inspeção'!$W$3,0%,Ranking!X64)</f>
        <v>0.24</v>
      </c>
      <c r="AN64" s="50">
        <f>IF('Resultado da inspeção'!M64='Resultado da inspeção'!$W$3,0%,Ranking!Y64)</f>
        <v>0.05</v>
      </c>
      <c r="AO64" s="50">
        <f>IF('Resultado da inspeção'!N64='Resultado da inspeção'!$W$3,0%,Ranking!Z64)</f>
        <v>0.04</v>
      </c>
      <c r="AP64" s="50">
        <f>IF('Resultado da inspeção'!O64='Resultado da inspeção'!$W$3,0%,Ranking!AA64)</f>
        <v>0.06</v>
      </c>
      <c r="AQ64" s="50">
        <f>IF('Resultado da inspeção'!P64='Resultado da inspeção'!$W$3,0%,Ranking!AB64)</f>
        <v>0.08</v>
      </c>
      <c r="AR64" s="50">
        <f>IF('Resultado da inspeção'!Q64='Resultado da inspeção'!$W$3,0%,Ranking!AC64)</f>
        <v>0.05</v>
      </c>
      <c r="AS64" s="50">
        <f>IF('Resultado da inspeção'!R64='Resultado da inspeção'!$W$3,0%,Ranking!AD64)</f>
        <v>0.02</v>
      </c>
      <c r="AT64" s="50">
        <f>IF('Resultado da inspeção'!S64='Resultado da inspeção'!$W$3,0%,Ranking!AE64)</f>
        <v>0.02</v>
      </c>
      <c r="AU64" s="49">
        <f t="shared" si="18"/>
        <v>1</v>
      </c>
    </row>
    <row r="65" spans="2:47" x14ac:dyDescent="0.25">
      <c r="B65" s="48">
        <f>IF('Resultado da inspeção'!F65='Resultado da inspeção'!$W$4,0%,Ranking!B$5)</f>
        <v>0.02</v>
      </c>
      <c r="C65" s="48">
        <f>IF('Resultado da inspeção'!G65='Resultado da inspeção'!$W$4,0%,Ranking!C$5)</f>
        <v>0.03</v>
      </c>
      <c r="D65" s="48">
        <f>IF('Resultado da inspeção'!H65='Resultado da inspeção'!$W$4,0%,Ranking!D$5)</f>
        <v>0.03</v>
      </c>
      <c r="E65" s="48">
        <f>IF('Resultado da inspeção'!I65='Resultado da inspeção'!$W$4,0%,Ranking!E$5)</f>
        <v>0.1</v>
      </c>
      <c r="F65" s="48">
        <f>IF('Resultado da inspeção'!J65='Resultado da inspeção'!$W$4,0%,Ranking!F$5)</f>
        <v>0.21</v>
      </c>
      <c r="G65" s="48">
        <f>IF('Resultado da inspeção'!K65='Resultado da inspeção'!$W$4,0%,Ranking!G$5)</f>
        <v>0.05</v>
      </c>
      <c r="H65" s="48">
        <f>IF('Resultado da inspeção'!L65='Resultado da inspeção'!$W$4,0%,Ranking!H$5)</f>
        <v>0.24</v>
      </c>
      <c r="I65" s="48">
        <f>IF('Resultado da inspeção'!M65='Resultado da inspeção'!$W$4,0%,Ranking!I$5)</f>
        <v>0.05</v>
      </c>
      <c r="J65" s="48">
        <f>IF('Resultado da inspeção'!N65='Resultado da inspeção'!$W$4,0%,Ranking!J$5)</f>
        <v>0.04</v>
      </c>
      <c r="K65" s="48">
        <f>IF('Resultado da inspeção'!O65='Resultado da inspeção'!$W$4,0%,Ranking!K$5)</f>
        <v>0.06</v>
      </c>
      <c r="L65" s="48">
        <f>IF('Resultado da inspeção'!P65='Resultado da inspeção'!$W$4,0%,Ranking!L$5)</f>
        <v>0.08</v>
      </c>
      <c r="M65" s="48">
        <f>IF('Resultado da inspeção'!Q65='Resultado da inspeção'!$W$4,0%,Ranking!M$5)</f>
        <v>0.05</v>
      </c>
      <c r="N65" s="48">
        <f>IF('Resultado da inspeção'!R65='Resultado da inspeção'!$W$4,0%,Ranking!N$5)</f>
        <v>0.02</v>
      </c>
      <c r="O65" s="48">
        <f>IF('Resultado da inspeção'!S65='Resultado da inspeção'!$W$4,0%,Ranking!O$5)</f>
        <v>0.02</v>
      </c>
      <c r="P65" s="47">
        <f t="shared" si="0"/>
        <v>1</v>
      </c>
      <c r="Q65" s="49">
        <f t="shared" si="16"/>
        <v>0</v>
      </c>
      <c r="R65" s="50">
        <f t="shared" si="1"/>
        <v>0.02</v>
      </c>
      <c r="S65" s="50">
        <f t="shared" si="2"/>
        <v>0.03</v>
      </c>
      <c r="T65" s="50">
        <f t="shared" si="3"/>
        <v>0.03</v>
      </c>
      <c r="U65" s="50">
        <f t="shared" si="4"/>
        <v>0.1</v>
      </c>
      <c r="V65" s="50">
        <f t="shared" si="5"/>
        <v>0.21</v>
      </c>
      <c r="W65" s="50">
        <f t="shared" si="6"/>
        <v>0.05</v>
      </c>
      <c r="X65" s="50">
        <f t="shared" si="7"/>
        <v>0.24</v>
      </c>
      <c r="Y65" s="50">
        <f t="shared" si="8"/>
        <v>0.05</v>
      </c>
      <c r="Z65" s="50">
        <f t="shared" si="9"/>
        <v>0.04</v>
      </c>
      <c r="AA65" s="50">
        <f t="shared" si="10"/>
        <v>0.06</v>
      </c>
      <c r="AB65" s="50">
        <f t="shared" si="11"/>
        <v>0.08</v>
      </c>
      <c r="AC65" s="50">
        <f t="shared" si="12"/>
        <v>0.05</v>
      </c>
      <c r="AD65" s="50">
        <f t="shared" si="13"/>
        <v>0.02</v>
      </c>
      <c r="AE65" s="50">
        <f t="shared" si="14"/>
        <v>0.02</v>
      </c>
      <c r="AF65" s="47">
        <f t="shared" si="17"/>
        <v>1</v>
      </c>
      <c r="AG65" s="50">
        <f>IF('Resultado da inspeção'!F65='Resultado da inspeção'!$W$3,0%,Ranking!R65)</f>
        <v>0.02</v>
      </c>
      <c r="AH65" s="50">
        <f>IF('Resultado da inspeção'!G65='Resultado da inspeção'!$W$3,0%,Ranking!S65)</f>
        <v>0.03</v>
      </c>
      <c r="AI65" s="50">
        <f>IF('Resultado da inspeção'!H65='Resultado da inspeção'!$W$3,0%,Ranking!T65)</f>
        <v>0.03</v>
      </c>
      <c r="AJ65" s="50">
        <f>IF('Resultado da inspeção'!I65='Resultado da inspeção'!$W$3,0%,Ranking!U65)</f>
        <v>0.1</v>
      </c>
      <c r="AK65" s="50">
        <f>IF('Resultado da inspeção'!J65='Resultado da inspeção'!$W$3,0%,Ranking!V65)</f>
        <v>0.21</v>
      </c>
      <c r="AL65" s="50">
        <f>IF('Resultado da inspeção'!K65='Resultado da inspeção'!$W$3,0%,Ranking!W65)</f>
        <v>0.05</v>
      </c>
      <c r="AM65" s="50">
        <f>IF('Resultado da inspeção'!L65='Resultado da inspeção'!$W$3,0%,Ranking!X65)</f>
        <v>0.24</v>
      </c>
      <c r="AN65" s="50">
        <f>IF('Resultado da inspeção'!M65='Resultado da inspeção'!$W$3,0%,Ranking!Y65)</f>
        <v>0.05</v>
      </c>
      <c r="AO65" s="50">
        <f>IF('Resultado da inspeção'!N65='Resultado da inspeção'!$W$3,0%,Ranking!Z65)</f>
        <v>0.04</v>
      </c>
      <c r="AP65" s="50">
        <f>IF('Resultado da inspeção'!O65='Resultado da inspeção'!$W$3,0%,Ranking!AA65)</f>
        <v>0.06</v>
      </c>
      <c r="AQ65" s="50">
        <f>IF('Resultado da inspeção'!P65='Resultado da inspeção'!$W$3,0%,Ranking!AB65)</f>
        <v>0.08</v>
      </c>
      <c r="AR65" s="50">
        <f>IF('Resultado da inspeção'!Q65='Resultado da inspeção'!$W$3,0%,Ranking!AC65)</f>
        <v>0.05</v>
      </c>
      <c r="AS65" s="50">
        <f>IF('Resultado da inspeção'!R65='Resultado da inspeção'!$W$3,0%,Ranking!AD65)</f>
        <v>0.02</v>
      </c>
      <c r="AT65" s="50">
        <f>IF('Resultado da inspeção'!S65='Resultado da inspeção'!$W$3,0%,Ranking!AE65)</f>
        <v>0.02</v>
      </c>
      <c r="AU65" s="49">
        <f t="shared" si="18"/>
        <v>1</v>
      </c>
    </row>
    <row r="66" spans="2:47" x14ac:dyDescent="0.25">
      <c r="B66" s="48">
        <f>IF('Resultado da inspeção'!F66='Resultado da inspeção'!$W$4,0%,Ranking!B$5)</f>
        <v>0.02</v>
      </c>
      <c r="C66" s="48">
        <f>IF('Resultado da inspeção'!G66='Resultado da inspeção'!$W$4,0%,Ranking!C$5)</f>
        <v>0.03</v>
      </c>
      <c r="D66" s="48">
        <f>IF('Resultado da inspeção'!H66='Resultado da inspeção'!$W$4,0%,Ranking!D$5)</f>
        <v>0.03</v>
      </c>
      <c r="E66" s="48">
        <f>IF('Resultado da inspeção'!I66='Resultado da inspeção'!$W$4,0%,Ranking!E$5)</f>
        <v>0.1</v>
      </c>
      <c r="F66" s="48">
        <f>IF('Resultado da inspeção'!J66='Resultado da inspeção'!$W$4,0%,Ranking!F$5)</f>
        <v>0.21</v>
      </c>
      <c r="G66" s="48">
        <f>IF('Resultado da inspeção'!K66='Resultado da inspeção'!$W$4,0%,Ranking!G$5)</f>
        <v>0.05</v>
      </c>
      <c r="H66" s="48">
        <f>IF('Resultado da inspeção'!L66='Resultado da inspeção'!$W$4,0%,Ranking!H$5)</f>
        <v>0.24</v>
      </c>
      <c r="I66" s="48">
        <f>IF('Resultado da inspeção'!M66='Resultado da inspeção'!$W$4,0%,Ranking!I$5)</f>
        <v>0.05</v>
      </c>
      <c r="J66" s="48">
        <f>IF('Resultado da inspeção'!N66='Resultado da inspeção'!$W$4,0%,Ranking!J$5)</f>
        <v>0.04</v>
      </c>
      <c r="K66" s="48">
        <f>IF('Resultado da inspeção'!O66='Resultado da inspeção'!$W$4,0%,Ranking!K$5)</f>
        <v>0.06</v>
      </c>
      <c r="L66" s="48">
        <f>IF('Resultado da inspeção'!P66='Resultado da inspeção'!$W$4,0%,Ranking!L$5)</f>
        <v>0.08</v>
      </c>
      <c r="M66" s="48">
        <f>IF('Resultado da inspeção'!Q66='Resultado da inspeção'!$W$4,0%,Ranking!M$5)</f>
        <v>0.05</v>
      </c>
      <c r="N66" s="48">
        <f>IF('Resultado da inspeção'!R66='Resultado da inspeção'!$W$4,0%,Ranking!N$5)</f>
        <v>0.02</v>
      </c>
      <c r="O66" s="48">
        <f>IF('Resultado da inspeção'!S66='Resultado da inspeção'!$W$4,0%,Ranking!O$5)</f>
        <v>0.02</v>
      </c>
      <c r="P66" s="47">
        <f t="shared" si="0"/>
        <v>1</v>
      </c>
      <c r="Q66" s="49">
        <f t="shared" si="16"/>
        <v>0</v>
      </c>
      <c r="R66" s="50">
        <f t="shared" si="1"/>
        <v>0.02</v>
      </c>
      <c r="S66" s="50">
        <f t="shared" si="2"/>
        <v>0.03</v>
      </c>
      <c r="T66" s="50">
        <f t="shared" si="3"/>
        <v>0.03</v>
      </c>
      <c r="U66" s="50">
        <f t="shared" si="4"/>
        <v>0.1</v>
      </c>
      <c r="V66" s="50">
        <f t="shared" si="5"/>
        <v>0.21</v>
      </c>
      <c r="W66" s="50">
        <f t="shared" si="6"/>
        <v>0.05</v>
      </c>
      <c r="X66" s="50">
        <f t="shared" si="7"/>
        <v>0.24</v>
      </c>
      <c r="Y66" s="50">
        <f t="shared" si="8"/>
        <v>0.05</v>
      </c>
      <c r="Z66" s="50">
        <f t="shared" si="9"/>
        <v>0.04</v>
      </c>
      <c r="AA66" s="50">
        <f t="shared" si="10"/>
        <v>0.06</v>
      </c>
      <c r="AB66" s="50">
        <f t="shared" si="11"/>
        <v>0.08</v>
      </c>
      <c r="AC66" s="50">
        <f t="shared" si="12"/>
        <v>0.05</v>
      </c>
      <c r="AD66" s="50">
        <f t="shared" si="13"/>
        <v>0.02</v>
      </c>
      <c r="AE66" s="50">
        <f t="shared" si="14"/>
        <v>0.02</v>
      </c>
      <c r="AF66" s="47">
        <f t="shared" si="17"/>
        <v>1</v>
      </c>
      <c r="AG66" s="50">
        <f>IF('Resultado da inspeção'!F66='Resultado da inspeção'!$W$3,0%,Ranking!R66)</f>
        <v>0.02</v>
      </c>
      <c r="AH66" s="50">
        <f>IF('Resultado da inspeção'!G66='Resultado da inspeção'!$W$3,0%,Ranking!S66)</f>
        <v>0.03</v>
      </c>
      <c r="AI66" s="50">
        <f>IF('Resultado da inspeção'!H66='Resultado da inspeção'!$W$3,0%,Ranking!T66)</f>
        <v>0.03</v>
      </c>
      <c r="AJ66" s="50">
        <f>IF('Resultado da inspeção'!I66='Resultado da inspeção'!$W$3,0%,Ranking!U66)</f>
        <v>0.1</v>
      </c>
      <c r="AK66" s="50">
        <f>IF('Resultado da inspeção'!J66='Resultado da inspeção'!$W$3,0%,Ranking!V66)</f>
        <v>0.21</v>
      </c>
      <c r="AL66" s="50">
        <f>IF('Resultado da inspeção'!K66='Resultado da inspeção'!$W$3,0%,Ranking!W66)</f>
        <v>0.05</v>
      </c>
      <c r="AM66" s="50">
        <f>IF('Resultado da inspeção'!L66='Resultado da inspeção'!$W$3,0%,Ranking!X66)</f>
        <v>0.24</v>
      </c>
      <c r="AN66" s="50">
        <f>IF('Resultado da inspeção'!M66='Resultado da inspeção'!$W$3,0%,Ranking!Y66)</f>
        <v>0.05</v>
      </c>
      <c r="AO66" s="50">
        <f>IF('Resultado da inspeção'!N66='Resultado da inspeção'!$W$3,0%,Ranking!Z66)</f>
        <v>0.04</v>
      </c>
      <c r="AP66" s="50">
        <f>IF('Resultado da inspeção'!O66='Resultado da inspeção'!$W$3,0%,Ranking!AA66)</f>
        <v>0.06</v>
      </c>
      <c r="AQ66" s="50">
        <f>IF('Resultado da inspeção'!P66='Resultado da inspeção'!$W$3,0%,Ranking!AB66)</f>
        <v>0.08</v>
      </c>
      <c r="AR66" s="50">
        <f>IF('Resultado da inspeção'!Q66='Resultado da inspeção'!$W$3,0%,Ranking!AC66)</f>
        <v>0.05</v>
      </c>
      <c r="AS66" s="50">
        <f>IF('Resultado da inspeção'!R66='Resultado da inspeção'!$W$3,0%,Ranking!AD66)</f>
        <v>0.02</v>
      </c>
      <c r="AT66" s="50">
        <f>IF('Resultado da inspeção'!S66='Resultado da inspeção'!$W$3,0%,Ranking!AE66)</f>
        <v>0.02</v>
      </c>
      <c r="AU66" s="49">
        <f t="shared" si="18"/>
        <v>1</v>
      </c>
    </row>
    <row r="67" spans="2:47" x14ac:dyDescent="0.25">
      <c r="B67" s="48">
        <f>IF('Resultado da inspeção'!F67='Resultado da inspeção'!$W$4,0%,Ranking!B$5)</f>
        <v>0.02</v>
      </c>
      <c r="C67" s="48">
        <f>IF('Resultado da inspeção'!G67='Resultado da inspeção'!$W$4,0%,Ranking!C$5)</f>
        <v>0.03</v>
      </c>
      <c r="D67" s="48">
        <f>IF('Resultado da inspeção'!H67='Resultado da inspeção'!$W$4,0%,Ranking!D$5)</f>
        <v>0.03</v>
      </c>
      <c r="E67" s="48">
        <f>IF('Resultado da inspeção'!I67='Resultado da inspeção'!$W$4,0%,Ranking!E$5)</f>
        <v>0.1</v>
      </c>
      <c r="F67" s="48">
        <f>IF('Resultado da inspeção'!J67='Resultado da inspeção'!$W$4,0%,Ranking!F$5)</f>
        <v>0.21</v>
      </c>
      <c r="G67" s="48">
        <f>IF('Resultado da inspeção'!K67='Resultado da inspeção'!$W$4,0%,Ranking!G$5)</f>
        <v>0.05</v>
      </c>
      <c r="H67" s="48">
        <f>IF('Resultado da inspeção'!L67='Resultado da inspeção'!$W$4,0%,Ranking!H$5)</f>
        <v>0.24</v>
      </c>
      <c r="I67" s="48">
        <f>IF('Resultado da inspeção'!M67='Resultado da inspeção'!$W$4,0%,Ranking!I$5)</f>
        <v>0.05</v>
      </c>
      <c r="J67" s="48">
        <f>IF('Resultado da inspeção'!N67='Resultado da inspeção'!$W$4,0%,Ranking!J$5)</f>
        <v>0.04</v>
      </c>
      <c r="K67" s="48">
        <f>IF('Resultado da inspeção'!O67='Resultado da inspeção'!$W$4,0%,Ranking!K$5)</f>
        <v>0.06</v>
      </c>
      <c r="L67" s="48">
        <f>IF('Resultado da inspeção'!P67='Resultado da inspeção'!$W$4,0%,Ranking!L$5)</f>
        <v>0.08</v>
      </c>
      <c r="M67" s="48">
        <f>IF('Resultado da inspeção'!Q67='Resultado da inspeção'!$W$4,0%,Ranking!M$5)</f>
        <v>0.05</v>
      </c>
      <c r="N67" s="48">
        <f>IF('Resultado da inspeção'!R67='Resultado da inspeção'!$W$4,0%,Ranking!N$5)</f>
        <v>0.02</v>
      </c>
      <c r="O67" s="48">
        <f>IF('Resultado da inspeção'!S67='Resultado da inspeção'!$W$4,0%,Ranking!O$5)</f>
        <v>0.02</v>
      </c>
      <c r="P67" s="47">
        <f t="shared" si="0"/>
        <v>1</v>
      </c>
      <c r="Q67" s="49">
        <f t="shared" si="16"/>
        <v>0</v>
      </c>
      <c r="R67" s="50">
        <f t="shared" si="1"/>
        <v>0.02</v>
      </c>
      <c r="S67" s="50">
        <f t="shared" si="2"/>
        <v>0.03</v>
      </c>
      <c r="T67" s="50">
        <f t="shared" si="3"/>
        <v>0.03</v>
      </c>
      <c r="U67" s="50">
        <f t="shared" si="4"/>
        <v>0.1</v>
      </c>
      <c r="V67" s="50">
        <f t="shared" si="5"/>
        <v>0.21</v>
      </c>
      <c r="W67" s="50">
        <f t="shared" si="6"/>
        <v>0.05</v>
      </c>
      <c r="X67" s="50">
        <f t="shared" si="7"/>
        <v>0.24</v>
      </c>
      <c r="Y67" s="50">
        <f t="shared" si="8"/>
        <v>0.05</v>
      </c>
      <c r="Z67" s="50">
        <f t="shared" si="9"/>
        <v>0.04</v>
      </c>
      <c r="AA67" s="50">
        <f t="shared" si="10"/>
        <v>0.06</v>
      </c>
      <c r="AB67" s="50">
        <f t="shared" si="11"/>
        <v>0.08</v>
      </c>
      <c r="AC67" s="50">
        <f t="shared" si="12"/>
        <v>0.05</v>
      </c>
      <c r="AD67" s="50">
        <f t="shared" si="13"/>
        <v>0.02</v>
      </c>
      <c r="AE67" s="50">
        <f t="shared" si="14"/>
        <v>0.02</v>
      </c>
      <c r="AF67" s="47">
        <f t="shared" si="17"/>
        <v>1</v>
      </c>
      <c r="AG67" s="50">
        <f>IF('Resultado da inspeção'!F67='Resultado da inspeção'!$W$3,0%,Ranking!R67)</f>
        <v>0.02</v>
      </c>
      <c r="AH67" s="50">
        <f>IF('Resultado da inspeção'!G67='Resultado da inspeção'!$W$3,0%,Ranking!S67)</f>
        <v>0.03</v>
      </c>
      <c r="AI67" s="50">
        <f>IF('Resultado da inspeção'!H67='Resultado da inspeção'!$W$3,0%,Ranking!T67)</f>
        <v>0.03</v>
      </c>
      <c r="AJ67" s="50">
        <f>IF('Resultado da inspeção'!I67='Resultado da inspeção'!$W$3,0%,Ranking!U67)</f>
        <v>0.1</v>
      </c>
      <c r="AK67" s="50">
        <f>IF('Resultado da inspeção'!J67='Resultado da inspeção'!$W$3,0%,Ranking!V67)</f>
        <v>0.21</v>
      </c>
      <c r="AL67" s="50">
        <f>IF('Resultado da inspeção'!K67='Resultado da inspeção'!$W$3,0%,Ranking!W67)</f>
        <v>0.05</v>
      </c>
      <c r="AM67" s="50">
        <f>IF('Resultado da inspeção'!L67='Resultado da inspeção'!$W$3,0%,Ranking!X67)</f>
        <v>0.24</v>
      </c>
      <c r="AN67" s="50">
        <f>IF('Resultado da inspeção'!M67='Resultado da inspeção'!$W$3,0%,Ranking!Y67)</f>
        <v>0.05</v>
      </c>
      <c r="AO67" s="50">
        <f>IF('Resultado da inspeção'!N67='Resultado da inspeção'!$W$3,0%,Ranking!Z67)</f>
        <v>0.04</v>
      </c>
      <c r="AP67" s="50">
        <f>IF('Resultado da inspeção'!O67='Resultado da inspeção'!$W$3,0%,Ranking!AA67)</f>
        <v>0.06</v>
      </c>
      <c r="AQ67" s="50">
        <f>IF('Resultado da inspeção'!P67='Resultado da inspeção'!$W$3,0%,Ranking!AB67)</f>
        <v>0.08</v>
      </c>
      <c r="AR67" s="50">
        <f>IF('Resultado da inspeção'!Q67='Resultado da inspeção'!$W$3,0%,Ranking!AC67)</f>
        <v>0.05</v>
      </c>
      <c r="AS67" s="50">
        <f>IF('Resultado da inspeção'!R67='Resultado da inspeção'!$W$3,0%,Ranking!AD67)</f>
        <v>0.02</v>
      </c>
      <c r="AT67" s="50">
        <f>IF('Resultado da inspeção'!S67='Resultado da inspeção'!$W$3,0%,Ranking!AE67)</f>
        <v>0.02</v>
      </c>
      <c r="AU67" s="49">
        <f t="shared" si="18"/>
        <v>1</v>
      </c>
    </row>
    <row r="68" spans="2:47" x14ac:dyDescent="0.25">
      <c r="B68" s="48">
        <f>IF('Resultado da inspeção'!F68='Resultado da inspeção'!$W$4,0%,Ranking!B$5)</f>
        <v>0.02</v>
      </c>
      <c r="C68" s="48">
        <f>IF('Resultado da inspeção'!G68='Resultado da inspeção'!$W$4,0%,Ranking!C$5)</f>
        <v>0.03</v>
      </c>
      <c r="D68" s="48">
        <f>IF('Resultado da inspeção'!H68='Resultado da inspeção'!$W$4,0%,Ranking!D$5)</f>
        <v>0.03</v>
      </c>
      <c r="E68" s="48">
        <f>IF('Resultado da inspeção'!I68='Resultado da inspeção'!$W$4,0%,Ranking!E$5)</f>
        <v>0.1</v>
      </c>
      <c r="F68" s="48">
        <f>IF('Resultado da inspeção'!J68='Resultado da inspeção'!$W$4,0%,Ranking!F$5)</f>
        <v>0.21</v>
      </c>
      <c r="G68" s="48">
        <f>IF('Resultado da inspeção'!K68='Resultado da inspeção'!$W$4,0%,Ranking!G$5)</f>
        <v>0.05</v>
      </c>
      <c r="H68" s="48">
        <f>IF('Resultado da inspeção'!L68='Resultado da inspeção'!$W$4,0%,Ranking!H$5)</f>
        <v>0.24</v>
      </c>
      <c r="I68" s="48">
        <f>IF('Resultado da inspeção'!M68='Resultado da inspeção'!$W$4,0%,Ranking!I$5)</f>
        <v>0.05</v>
      </c>
      <c r="J68" s="48">
        <f>IF('Resultado da inspeção'!N68='Resultado da inspeção'!$W$4,0%,Ranking!J$5)</f>
        <v>0.04</v>
      </c>
      <c r="K68" s="48">
        <f>IF('Resultado da inspeção'!O68='Resultado da inspeção'!$W$4,0%,Ranking!K$5)</f>
        <v>0.06</v>
      </c>
      <c r="L68" s="48">
        <f>IF('Resultado da inspeção'!P68='Resultado da inspeção'!$W$4,0%,Ranking!L$5)</f>
        <v>0.08</v>
      </c>
      <c r="M68" s="48">
        <f>IF('Resultado da inspeção'!Q68='Resultado da inspeção'!$W$4,0%,Ranking!M$5)</f>
        <v>0.05</v>
      </c>
      <c r="N68" s="48">
        <f>IF('Resultado da inspeção'!R68='Resultado da inspeção'!$W$4,0%,Ranking!N$5)</f>
        <v>0.02</v>
      </c>
      <c r="O68" s="48">
        <f>IF('Resultado da inspeção'!S68='Resultado da inspeção'!$W$4,0%,Ranking!O$5)</f>
        <v>0.02</v>
      </c>
      <c r="P68" s="47">
        <f t="shared" si="0"/>
        <v>1</v>
      </c>
      <c r="Q68" s="49">
        <f t="shared" si="16"/>
        <v>0</v>
      </c>
      <c r="R68" s="50">
        <f t="shared" si="1"/>
        <v>0.02</v>
      </c>
      <c r="S68" s="50">
        <f t="shared" si="2"/>
        <v>0.03</v>
      </c>
      <c r="T68" s="50">
        <f t="shared" si="3"/>
        <v>0.03</v>
      </c>
      <c r="U68" s="50">
        <f t="shared" si="4"/>
        <v>0.1</v>
      </c>
      <c r="V68" s="50">
        <f t="shared" si="5"/>
        <v>0.21</v>
      </c>
      <c r="W68" s="50">
        <f t="shared" si="6"/>
        <v>0.05</v>
      </c>
      <c r="X68" s="50">
        <f t="shared" si="7"/>
        <v>0.24</v>
      </c>
      <c r="Y68" s="50">
        <f t="shared" si="8"/>
        <v>0.05</v>
      </c>
      <c r="Z68" s="50">
        <f t="shared" si="9"/>
        <v>0.04</v>
      </c>
      <c r="AA68" s="50">
        <f t="shared" si="10"/>
        <v>0.06</v>
      </c>
      <c r="AB68" s="50">
        <f t="shared" si="11"/>
        <v>0.08</v>
      </c>
      <c r="AC68" s="50">
        <f t="shared" si="12"/>
        <v>0.05</v>
      </c>
      <c r="AD68" s="50">
        <f t="shared" si="13"/>
        <v>0.02</v>
      </c>
      <c r="AE68" s="50">
        <f t="shared" si="14"/>
        <v>0.02</v>
      </c>
      <c r="AF68" s="47">
        <f t="shared" si="17"/>
        <v>1</v>
      </c>
      <c r="AG68" s="50">
        <f>IF('Resultado da inspeção'!F68='Resultado da inspeção'!$W$3,0%,Ranking!R68)</f>
        <v>0.02</v>
      </c>
      <c r="AH68" s="50">
        <f>IF('Resultado da inspeção'!G68='Resultado da inspeção'!$W$3,0%,Ranking!S68)</f>
        <v>0.03</v>
      </c>
      <c r="AI68" s="50">
        <f>IF('Resultado da inspeção'!H68='Resultado da inspeção'!$W$3,0%,Ranking!T68)</f>
        <v>0.03</v>
      </c>
      <c r="AJ68" s="50">
        <f>IF('Resultado da inspeção'!I68='Resultado da inspeção'!$W$3,0%,Ranking!U68)</f>
        <v>0.1</v>
      </c>
      <c r="AK68" s="50">
        <f>IF('Resultado da inspeção'!J68='Resultado da inspeção'!$W$3,0%,Ranking!V68)</f>
        <v>0.21</v>
      </c>
      <c r="AL68" s="50">
        <f>IF('Resultado da inspeção'!K68='Resultado da inspeção'!$W$3,0%,Ranking!W68)</f>
        <v>0.05</v>
      </c>
      <c r="AM68" s="50">
        <f>IF('Resultado da inspeção'!L68='Resultado da inspeção'!$W$3,0%,Ranking!X68)</f>
        <v>0.24</v>
      </c>
      <c r="AN68" s="50">
        <f>IF('Resultado da inspeção'!M68='Resultado da inspeção'!$W$3,0%,Ranking!Y68)</f>
        <v>0.05</v>
      </c>
      <c r="AO68" s="50">
        <f>IF('Resultado da inspeção'!N68='Resultado da inspeção'!$W$3,0%,Ranking!Z68)</f>
        <v>0.04</v>
      </c>
      <c r="AP68" s="50">
        <f>IF('Resultado da inspeção'!O68='Resultado da inspeção'!$W$3,0%,Ranking!AA68)</f>
        <v>0.06</v>
      </c>
      <c r="AQ68" s="50">
        <f>IF('Resultado da inspeção'!P68='Resultado da inspeção'!$W$3,0%,Ranking!AB68)</f>
        <v>0.08</v>
      </c>
      <c r="AR68" s="50">
        <f>IF('Resultado da inspeção'!Q68='Resultado da inspeção'!$W$3,0%,Ranking!AC68)</f>
        <v>0.05</v>
      </c>
      <c r="AS68" s="50">
        <f>IF('Resultado da inspeção'!R68='Resultado da inspeção'!$W$3,0%,Ranking!AD68)</f>
        <v>0.02</v>
      </c>
      <c r="AT68" s="50">
        <f>IF('Resultado da inspeção'!S68='Resultado da inspeção'!$W$3,0%,Ranking!AE68)</f>
        <v>0.02</v>
      </c>
      <c r="AU68" s="49">
        <f t="shared" si="18"/>
        <v>1</v>
      </c>
    </row>
    <row r="69" spans="2:47" x14ac:dyDescent="0.25">
      <c r="B69" s="48">
        <f>IF('Resultado da inspeção'!F69='Resultado da inspeção'!$W$4,0%,Ranking!B$5)</f>
        <v>0.02</v>
      </c>
      <c r="C69" s="48">
        <f>IF('Resultado da inspeção'!G69='Resultado da inspeção'!$W$4,0%,Ranking!C$5)</f>
        <v>0.03</v>
      </c>
      <c r="D69" s="48">
        <f>IF('Resultado da inspeção'!H69='Resultado da inspeção'!$W$4,0%,Ranking!D$5)</f>
        <v>0.03</v>
      </c>
      <c r="E69" s="48">
        <f>IF('Resultado da inspeção'!I69='Resultado da inspeção'!$W$4,0%,Ranking!E$5)</f>
        <v>0.1</v>
      </c>
      <c r="F69" s="48">
        <f>IF('Resultado da inspeção'!J69='Resultado da inspeção'!$W$4,0%,Ranking!F$5)</f>
        <v>0.21</v>
      </c>
      <c r="G69" s="48">
        <f>IF('Resultado da inspeção'!K69='Resultado da inspeção'!$W$4,0%,Ranking!G$5)</f>
        <v>0.05</v>
      </c>
      <c r="H69" s="48">
        <f>IF('Resultado da inspeção'!L69='Resultado da inspeção'!$W$4,0%,Ranking!H$5)</f>
        <v>0.24</v>
      </c>
      <c r="I69" s="48">
        <f>IF('Resultado da inspeção'!M69='Resultado da inspeção'!$W$4,0%,Ranking!I$5)</f>
        <v>0.05</v>
      </c>
      <c r="J69" s="48">
        <f>IF('Resultado da inspeção'!N69='Resultado da inspeção'!$W$4,0%,Ranking!J$5)</f>
        <v>0.04</v>
      </c>
      <c r="K69" s="48">
        <f>IF('Resultado da inspeção'!O69='Resultado da inspeção'!$W$4,0%,Ranking!K$5)</f>
        <v>0.06</v>
      </c>
      <c r="L69" s="48">
        <f>IF('Resultado da inspeção'!P69='Resultado da inspeção'!$W$4,0%,Ranking!L$5)</f>
        <v>0.08</v>
      </c>
      <c r="M69" s="48">
        <f>IF('Resultado da inspeção'!Q69='Resultado da inspeção'!$W$4,0%,Ranking!M$5)</f>
        <v>0.05</v>
      </c>
      <c r="N69" s="48">
        <f>IF('Resultado da inspeção'!R69='Resultado da inspeção'!$W$4,0%,Ranking!N$5)</f>
        <v>0.02</v>
      </c>
      <c r="O69" s="48">
        <f>IF('Resultado da inspeção'!S69='Resultado da inspeção'!$W$4,0%,Ranking!O$5)</f>
        <v>0.02</v>
      </c>
      <c r="P69" s="47">
        <f t="shared" ref="P69:P132" si="19">SUM(B69:O69)</f>
        <v>1</v>
      </c>
      <c r="Q69" s="49">
        <f t="shared" si="16"/>
        <v>0</v>
      </c>
      <c r="R69" s="50">
        <f t="shared" si="1"/>
        <v>0.02</v>
      </c>
      <c r="S69" s="50">
        <f t="shared" si="2"/>
        <v>0.03</v>
      </c>
      <c r="T69" s="50">
        <f t="shared" si="3"/>
        <v>0.03</v>
      </c>
      <c r="U69" s="50">
        <f t="shared" si="4"/>
        <v>0.1</v>
      </c>
      <c r="V69" s="50">
        <f t="shared" si="5"/>
        <v>0.21</v>
      </c>
      <c r="W69" s="50">
        <f t="shared" si="6"/>
        <v>0.05</v>
      </c>
      <c r="X69" s="50">
        <f t="shared" si="7"/>
        <v>0.24</v>
      </c>
      <c r="Y69" s="50">
        <f t="shared" si="8"/>
        <v>0.05</v>
      </c>
      <c r="Z69" s="50">
        <f t="shared" si="9"/>
        <v>0.04</v>
      </c>
      <c r="AA69" s="50">
        <f t="shared" si="10"/>
        <v>0.06</v>
      </c>
      <c r="AB69" s="50">
        <f t="shared" si="11"/>
        <v>0.08</v>
      </c>
      <c r="AC69" s="50">
        <f t="shared" si="12"/>
        <v>0.05</v>
      </c>
      <c r="AD69" s="50">
        <f t="shared" si="13"/>
        <v>0.02</v>
      </c>
      <c r="AE69" s="50">
        <f t="shared" si="14"/>
        <v>0.02</v>
      </c>
      <c r="AF69" s="47">
        <f t="shared" si="17"/>
        <v>1</v>
      </c>
      <c r="AG69" s="50">
        <f>IF('Resultado da inspeção'!F69='Resultado da inspeção'!$W$3,0%,Ranking!R69)</f>
        <v>0.02</v>
      </c>
      <c r="AH69" s="50">
        <f>IF('Resultado da inspeção'!G69='Resultado da inspeção'!$W$3,0%,Ranking!S69)</f>
        <v>0.03</v>
      </c>
      <c r="AI69" s="50">
        <f>IF('Resultado da inspeção'!H69='Resultado da inspeção'!$W$3,0%,Ranking!T69)</f>
        <v>0.03</v>
      </c>
      <c r="AJ69" s="50">
        <f>IF('Resultado da inspeção'!I69='Resultado da inspeção'!$W$3,0%,Ranking!U69)</f>
        <v>0.1</v>
      </c>
      <c r="AK69" s="50">
        <f>IF('Resultado da inspeção'!J69='Resultado da inspeção'!$W$3,0%,Ranking!V69)</f>
        <v>0.21</v>
      </c>
      <c r="AL69" s="50">
        <f>IF('Resultado da inspeção'!K69='Resultado da inspeção'!$W$3,0%,Ranking!W69)</f>
        <v>0.05</v>
      </c>
      <c r="AM69" s="50">
        <f>IF('Resultado da inspeção'!L69='Resultado da inspeção'!$W$3,0%,Ranking!X69)</f>
        <v>0.24</v>
      </c>
      <c r="AN69" s="50">
        <f>IF('Resultado da inspeção'!M69='Resultado da inspeção'!$W$3,0%,Ranking!Y69)</f>
        <v>0.05</v>
      </c>
      <c r="AO69" s="50">
        <f>IF('Resultado da inspeção'!N69='Resultado da inspeção'!$W$3,0%,Ranking!Z69)</f>
        <v>0.04</v>
      </c>
      <c r="AP69" s="50">
        <f>IF('Resultado da inspeção'!O69='Resultado da inspeção'!$W$3,0%,Ranking!AA69)</f>
        <v>0.06</v>
      </c>
      <c r="AQ69" s="50">
        <f>IF('Resultado da inspeção'!P69='Resultado da inspeção'!$W$3,0%,Ranking!AB69)</f>
        <v>0.08</v>
      </c>
      <c r="AR69" s="50">
        <f>IF('Resultado da inspeção'!Q69='Resultado da inspeção'!$W$3,0%,Ranking!AC69)</f>
        <v>0.05</v>
      </c>
      <c r="AS69" s="50">
        <f>IF('Resultado da inspeção'!R69='Resultado da inspeção'!$W$3,0%,Ranking!AD69)</f>
        <v>0.02</v>
      </c>
      <c r="AT69" s="50">
        <f>IF('Resultado da inspeção'!S69='Resultado da inspeção'!$W$3,0%,Ranking!AE69)</f>
        <v>0.02</v>
      </c>
      <c r="AU69" s="49">
        <f t="shared" si="18"/>
        <v>1</v>
      </c>
    </row>
    <row r="70" spans="2:47" x14ac:dyDescent="0.25">
      <c r="B70" s="48">
        <f>IF('Resultado da inspeção'!F70='Resultado da inspeção'!$W$4,0%,Ranking!B$5)</f>
        <v>0.02</v>
      </c>
      <c r="C70" s="48">
        <f>IF('Resultado da inspeção'!G70='Resultado da inspeção'!$W$4,0%,Ranking!C$5)</f>
        <v>0.03</v>
      </c>
      <c r="D70" s="48">
        <f>IF('Resultado da inspeção'!H70='Resultado da inspeção'!$W$4,0%,Ranking!D$5)</f>
        <v>0.03</v>
      </c>
      <c r="E70" s="48">
        <f>IF('Resultado da inspeção'!I70='Resultado da inspeção'!$W$4,0%,Ranking!E$5)</f>
        <v>0.1</v>
      </c>
      <c r="F70" s="48">
        <f>IF('Resultado da inspeção'!J70='Resultado da inspeção'!$W$4,0%,Ranking!F$5)</f>
        <v>0.21</v>
      </c>
      <c r="G70" s="48">
        <f>IF('Resultado da inspeção'!K70='Resultado da inspeção'!$W$4,0%,Ranking!G$5)</f>
        <v>0.05</v>
      </c>
      <c r="H70" s="48">
        <f>IF('Resultado da inspeção'!L70='Resultado da inspeção'!$W$4,0%,Ranking!H$5)</f>
        <v>0.24</v>
      </c>
      <c r="I70" s="48">
        <f>IF('Resultado da inspeção'!M70='Resultado da inspeção'!$W$4,0%,Ranking!I$5)</f>
        <v>0.05</v>
      </c>
      <c r="J70" s="48">
        <f>IF('Resultado da inspeção'!N70='Resultado da inspeção'!$W$4,0%,Ranking!J$5)</f>
        <v>0.04</v>
      </c>
      <c r="K70" s="48">
        <f>IF('Resultado da inspeção'!O70='Resultado da inspeção'!$W$4,0%,Ranking!K$5)</f>
        <v>0.06</v>
      </c>
      <c r="L70" s="48">
        <f>IF('Resultado da inspeção'!P70='Resultado da inspeção'!$W$4,0%,Ranking!L$5)</f>
        <v>0.08</v>
      </c>
      <c r="M70" s="48">
        <f>IF('Resultado da inspeção'!Q70='Resultado da inspeção'!$W$4,0%,Ranking!M$5)</f>
        <v>0.05</v>
      </c>
      <c r="N70" s="48">
        <f>IF('Resultado da inspeção'!R70='Resultado da inspeção'!$W$4,0%,Ranking!N$5)</f>
        <v>0.02</v>
      </c>
      <c r="O70" s="48">
        <f>IF('Resultado da inspeção'!S70='Resultado da inspeção'!$W$4,0%,Ranking!O$5)</f>
        <v>0.02</v>
      </c>
      <c r="P70" s="47">
        <f t="shared" si="19"/>
        <v>1</v>
      </c>
      <c r="Q70" s="49">
        <f t="shared" si="16"/>
        <v>0</v>
      </c>
      <c r="R70" s="50">
        <f t="shared" ref="R70:R133" si="20">B70/$P70</f>
        <v>0.02</v>
      </c>
      <c r="S70" s="50">
        <f t="shared" ref="S70:S133" si="21">C70/$P70</f>
        <v>0.03</v>
      </c>
      <c r="T70" s="50">
        <f t="shared" ref="T70:T133" si="22">D70/$P70</f>
        <v>0.03</v>
      </c>
      <c r="U70" s="50">
        <f t="shared" ref="U70:U133" si="23">E70/$P70</f>
        <v>0.1</v>
      </c>
      <c r="V70" s="50">
        <f t="shared" ref="V70:V133" si="24">F70/$P70</f>
        <v>0.21</v>
      </c>
      <c r="W70" s="50">
        <f t="shared" ref="W70:W133" si="25">G70/$P70</f>
        <v>0.05</v>
      </c>
      <c r="X70" s="50">
        <f t="shared" ref="X70:X133" si="26">H70/$P70</f>
        <v>0.24</v>
      </c>
      <c r="Y70" s="50">
        <f t="shared" ref="Y70:Y133" si="27">I70/$P70</f>
        <v>0.05</v>
      </c>
      <c r="Z70" s="50">
        <f t="shared" ref="Z70:Z133" si="28">J70/$P70</f>
        <v>0.04</v>
      </c>
      <c r="AA70" s="50">
        <f t="shared" ref="AA70:AA133" si="29">K70/$P70</f>
        <v>0.06</v>
      </c>
      <c r="AB70" s="50">
        <f t="shared" ref="AB70:AB133" si="30">L70/$P70</f>
        <v>0.08</v>
      </c>
      <c r="AC70" s="50">
        <f t="shared" ref="AC70:AC133" si="31">M70/$P70</f>
        <v>0.05</v>
      </c>
      <c r="AD70" s="50">
        <f t="shared" ref="AD70:AD133" si="32">N70/$P70</f>
        <v>0.02</v>
      </c>
      <c r="AE70" s="50">
        <f t="shared" ref="AE70:AE133" si="33">O70/$P70</f>
        <v>0.02</v>
      </c>
      <c r="AF70" s="47">
        <f t="shared" si="17"/>
        <v>1</v>
      </c>
      <c r="AG70" s="50">
        <f>IF('Resultado da inspeção'!F70='Resultado da inspeção'!$W$3,0%,Ranking!R70)</f>
        <v>0.02</v>
      </c>
      <c r="AH70" s="50">
        <f>IF('Resultado da inspeção'!G70='Resultado da inspeção'!$W$3,0%,Ranking!S70)</f>
        <v>0.03</v>
      </c>
      <c r="AI70" s="50">
        <f>IF('Resultado da inspeção'!H70='Resultado da inspeção'!$W$3,0%,Ranking!T70)</f>
        <v>0.03</v>
      </c>
      <c r="AJ70" s="50">
        <f>IF('Resultado da inspeção'!I70='Resultado da inspeção'!$W$3,0%,Ranking!U70)</f>
        <v>0.1</v>
      </c>
      <c r="AK70" s="50">
        <f>IF('Resultado da inspeção'!J70='Resultado da inspeção'!$W$3,0%,Ranking!V70)</f>
        <v>0.21</v>
      </c>
      <c r="AL70" s="50">
        <f>IF('Resultado da inspeção'!K70='Resultado da inspeção'!$W$3,0%,Ranking!W70)</f>
        <v>0.05</v>
      </c>
      <c r="AM70" s="50">
        <f>IF('Resultado da inspeção'!L70='Resultado da inspeção'!$W$3,0%,Ranking!X70)</f>
        <v>0.24</v>
      </c>
      <c r="AN70" s="50">
        <f>IF('Resultado da inspeção'!M70='Resultado da inspeção'!$W$3,0%,Ranking!Y70)</f>
        <v>0.05</v>
      </c>
      <c r="AO70" s="50">
        <f>IF('Resultado da inspeção'!N70='Resultado da inspeção'!$W$3,0%,Ranking!Z70)</f>
        <v>0.04</v>
      </c>
      <c r="AP70" s="50">
        <f>IF('Resultado da inspeção'!O70='Resultado da inspeção'!$W$3,0%,Ranking!AA70)</f>
        <v>0.06</v>
      </c>
      <c r="AQ70" s="50">
        <f>IF('Resultado da inspeção'!P70='Resultado da inspeção'!$W$3,0%,Ranking!AB70)</f>
        <v>0.08</v>
      </c>
      <c r="AR70" s="50">
        <f>IF('Resultado da inspeção'!Q70='Resultado da inspeção'!$W$3,0%,Ranking!AC70)</f>
        <v>0.05</v>
      </c>
      <c r="AS70" s="50">
        <f>IF('Resultado da inspeção'!R70='Resultado da inspeção'!$W$3,0%,Ranking!AD70)</f>
        <v>0.02</v>
      </c>
      <c r="AT70" s="50">
        <f>IF('Resultado da inspeção'!S70='Resultado da inspeção'!$W$3,0%,Ranking!AE70)</f>
        <v>0.02</v>
      </c>
      <c r="AU70" s="49">
        <f t="shared" si="18"/>
        <v>1</v>
      </c>
    </row>
    <row r="71" spans="2:47" x14ac:dyDescent="0.25">
      <c r="B71" s="48">
        <f>IF('Resultado da inspeção'!F71='Resultado da inspeção'!$W$4,0%,Ranking!B$5)</f>
        <v>0.02</v>
      </c>
      <c r="C71" s="48">
        <f>IF('Resultado da inspeção'!G71='Resultado da inspeção'!$W$4,0%,Ranking!C$5)</f>
        <v>0.03</v>
      </c>
      <c r="D71" s="48">
        <f>IF('Resultado da inspeção'!H71='Resultado da inspeção'!$W$4,0%,Ranking!D$5)</f>
        <v>0.03</v>
      </c>
      <c r="E71" s="48">
        <f>IF('Resultado da inspeção'!I71='Resultado da inspeção'!$W$4,0%,Ranking!E$5)</f>
        <v>0.1</v>
      </c>
      <c r="F71" s="48">
        <f>IF('Resultado da inspeção'!J71='Resultado da inspeção'!$W$4,0%,Ranking!F$5)</f>
        <v>0.21</v>
      </c>
      <c r="G71" s="48">
        <f>IF('Resultado da inspeção'!K71='Resultado da inspeção'!$W$4,0%,Ranking!G$5)</f>
        <v>0.05</v>
      </c>
      <c r="H71" s="48">
        <f>IF('Resultado da inspeção'!L71='Resultado da inspeção'!$W$4,0%,Ranking!H$5)</f>
        <v>0.24</v>
      </c>
      <c r="I71" s="48">
        <f>IF('Resultado da inspeção'!M71='Resultado da inspeção'!$W$4,0%,Ranking!I$5)</f>
        <v>0.05</v>
      </c>
      <c r="J71" s="48">
        <f>IF('Resultado da inspeção'!N71='Resultado da inspeção'!$W$4,0%,Ranking!J$5)</f>
        <v>0.04</v>
      </c>
      <c r="K71" s="48">
        <f>IF('Resultado da inspeção'!O71='Resultado da inspeção'!$W$4,0%,Ranking!K$5)</f>
        <v>0.06</v>
      </c>
      <c r="L71" s="48">
        <f>IF('Resultado da inspeção'!P71='Resultado da inspeção'!$W$4,0%,Ranking!L$5)</f>
        <v>0.08</v>
      </c>
      <c r="M71" s="48">
        <f>IF('Resultado da inspeção'!Q71='Resultado da inspeção'!$W$4,0%,Ranking!M$5)</f>
        <v>0.05</v>
      </c>
      <c r="N71" s="48">
        <f>IF('Resultado da inspeção'!R71='Resultado da inspeção'!$W$4,0%,Ranking!N$5)</f>
        <v>0.02</v>
      </c>
      <c r="O71" s="48">
        <f>IF('Resultado da inspeção'!S71='Resultado da inspeção'!$W$4,0%,Ranking!O$5)</f>
        <v>0.02</v>
      </c>
      <c r="P71" s="47">
        <f t="shared" si="19"/>
        <v>1</v>
      </c>
      <c r="Q71" s="49">
        <f t="shared" ref="Q71:Q134" si="34">100%-P71</f>
        <v>0</v>
      </c>
      <c r="R71" s="50">
        <f t="shared" si="20"/>
        <v>0.02</v>
      </c>
      <c r="S71" s="50">
        <f t="shared" si="21"/>
        <v>0.03</v>
      </c>
      <c r="T71" s="50">
        <f t="shared" si="22"/>
        <v>0.03</v>
      </c>
      <c r="U71" s="50">
        <f t="shared" si="23"/>
        <v>0.1</v>
      </c>
      <c r="V71" s="50">
        <f t="shared" si="24"/>
        <v>0.21</v>
      </c>
      <c r="W71" s="50">
        <f t="shared" si="25"/>
        <v>0.05</v>
      </c>
      <c r="X71" s="50">
        <f t="shared" si="26"/>
        <v>0.24</v>
      </c>
      <c r="Y71" s="50">
        <f t="shared" si="27"/>
        <v>0.05</v>
      </c>
      <c r="Z71" s="50">
        <f t="shared" si="28"/>
        <v>0.04</v>
      </c>
      <c r="AA71" s="50">
        <f t="shared" si="29"/>
        <v>0.06</v>
      </c>
      <c r="AB71" s="50">
        <f t="shared" si="30"/>
        <v>0.08</v>
      </c>
      <c r="AC71" s="50">
        <f t="shared" si="31"/>
        <v>0.05</v>
      </c>
      <c r="AD71" s="50">
        <f t="shared" si="32"/>
        <v>0.02</v>
      </c>
      <c r="AE71" s="50">
        <f t="shared" si="33"/>
        <v>0.02</v>
      </c>
      <c r="AF71" s="47">
        <f t="shared" ref="AF71:AF134" si="35">SUM(R71:AE71)</f>
        <v>1</v>
      </c>
      <c r="AG71" s="50">
        <f>IF('Resultado da inspeção'!F71='Resultado da inspeção'!$W$3,0%,Ranking!R71)</f>
        <v>0.02</v>
      </c>
      <c r="AH71" s="50">
        <f>IF('Resultado da inspeção'!G71='Resultado da inspeção'!$W$3,0%,Ranking!S71)</f>
        <v>0.03</v>
      </c>
      <c r="AI71" s="50">
        <f>IF('Resultado da inspeção'!H71='Resultado da inspeção'!$W$3,0%,Ranking!T71)</f>
        <v>0.03</v>
      </c>
      <c r="AJ71" s="50">
        <f>IF('Resultado da inspeção'!I71='Resultado da inspeção'!$W$3,0%,Ranking!U71)</f>
        <v>0.1</v>
      </c>
      <c r="AK71" s="50">
        <f>IF('Resultado da inspeção'!J71='Resultado da inspeção'!$W$3,0%,Ranking!V71)</f>
        <v>0.21</v>
      </c>
      <c r="AL71" s="50">
        <f>IF('Resultado da inspeção'!K71='Resultado da inspeção'!$W$3,0%,Ranking!W71)</f>
        <v>0.05</v>
      </c>
      <c r="AM71" s="50">
        <f>IF('Resultado da inspeção'!L71='Resultado da inspeção'!$W$3,0%,Ranking!X71)</f>
        <v>0.24</v>
      </c>
      <c r="AN71" s="50">
        <f>IF('Resultado da inspeção'!M71='Resultado da inspeção'!$W$3,0%,Ranking!Y71)</f>
        <v>0.05</v>
      </c>
      <c r="AO71" s="50">
        <f>IF('Resultado da inspeção'!N71='Resultado da inspeção'!$W$3,0%,Ranking!Z71)</f>
        <v>0.04</v>
      </c>
      <c r="AP71" s="50">
        <f>IF('Resultado da inspeção'!O71='Resultado da inspeção'!$W$3,0%,Ranking!AA71)</f>
        <v>0.06</v>
      </c>
      <c r="AQ71" s="50">
        <f>IF('Resultado da inspeção'!P71='Resultado da inspeção'!$W$3,0%,Ranking!AB71)</f>
        <v>0.08</v>
      </c>
      <c r="AR71" s="50">
        <f>IF('Resultado da inspeção'!Q71='Resultado da inspeção'!$W$3,0%,Ranking!AC71)</f>
        <v>0.05</v>
      </c>
      <c r="AS71" s="50">
        <f>IF('Resultado da inspeção'!R71='Resultado da inspeção'!$W$3,0%,Ranking!AD71)</f>
        <v>0.02</v>
      </c>
      <c r="AT71" s="50">
        <f>IF('Resultado da inspeção'!S71='Resultado da inspeção'!$W$3,0%,Ranking!AE71)</f>
        <v>0.02</v>
      </c>
      <c r="AU71" s="49">
        <f t="shared" ref="AU71:AU134" si="36">SUM(AG71:AT71)</f>
        <v>1</v>
      </c>
    </row>
    <row r="72" spans="2:47" x14ac:dyDescent="0.25">
      <c r="B72" s="48">
        <f>IF('Resultado da inspeção'!F72='Resultado da inspeção'!$W$4,0%,Ranking!B$5)</f>
        <v>0.02</v>
      </c>
      <c r="C72" s="48">
        <f>IF('Resultado da inspeção'!G72='Resultado da inspeção'!$W$4,0%,Ranking!C$5)</f>
        <v>0.03</v>
      </c>
      <c r="D72" s="48">
        <f>IF('Resultado da inspeção'!H72='Resultado da inspeção'!$W$4,0%,Ranking!D$5)</f>
        <v>0.03</v>
      </c>
      <c r="E72" s="48">
        <f>IF('Resultado da inspeção'!I72='Resultado da inspeção'!$W$4,0%,Ranking!E$5)</f>
        <v>0.1</v>
      </c>
      <c r="F72" s="48">
        <f>IF('Resultado da inspeção'!J72='Resultado da inspeção'!$W$4,0%,Ranking!F$5)</f>
        <v>0.21</v>
      </c>
      <c r="G72" s="48">
        <f>IF('Resultado da inspeção'!K72='Resultado da inspeção'!$W$4,0%,Ranking!G$5)</f>
        <v>0.05</v>
      </c>
      <c r="H72" s="48">
        <f>IF('Resultado da inspeção'!L72='Resultado da inspeção'!$W$4,0%,Ranking!H$5)</f>
        <v>0.24</v>
      </c>
      <c r="I72" s="48">
        <f>IF('Resultado da inspeção'!M72='Resultado da inspeção'!$W$4,0%,Ranking!I$5)</f>
        <v>0.05</v>
      </c>
      <c r="J72" s="48">
        <f>IF('Resultado da inspeção'!N72='Resultado da inspeção'!$W$4,0%,Ranking!J$5)</f>
        <v>0.04</v>
      </c>
      <c r="K72" s="48">
        <f>IF('Resultado da inspeção'!O72='Resultado da inspeção'!$W$4,0%,Ranking!K$5)</f>
        <v>0.06</v>
      </c>
      <c r="L72" s="48">
        <f>IF('Resultado da inspeção'!P72='Resultado da inspeção'!$W$4,0%,Ranking!L$5)</f>
        <v>0.08</v>
      </c>
      <c r="M72" s="48">
        <f>IF('Resultado da inspeção'!Q72='Resultado da inspeção'!$W$4,0%,Ranking!M$5)</f>
        <v>0.05</v>
      </c>
      <c r="N72" s="48">
        <f>IF('Resultado da inspeção'!R72='Resultado da inspeção'!$W$4,0%,Ranking!N$5)</f>
        <v>0.02</v>
      </c>
      <c r="O72" s="48">
        <f>IF('Resultado da inspeção'!S72='Resultado da inspeção'!$W$4,0%,Ranking!O$5)</f>
        <v>0.02</v>
      </c>
      <c r="P72" s="47">
        <f t="shared" si="19"/>
        <v>1</v>
      </c>
      <c r="Q72" s="49">
        <f t="shared" si="34"/>
        <v>0</v>
      </c>
      <c r="R72" s="50">
        <f t="shared" si="20"/>
        <v>0.02</v>
      </c>
      <c r="S72" s="50">
        <f t="shared" si="21"/>
        <v>0.03</v>
      </c>
      <c r="T72" s="50">
        <f t="shared" si="22"/>
        <v>0.03</v>
      </c>
      <c r="U72" s="50">
        <f t="shared" si="23"/>
        <v>0.1</v>
      </c>
      <c r="V72" s="50">
        <f t="shared" si="24"/>
        <v>0.21</v>
      </c>
      <c r="W72" s="50">
        <f t="shared" si="25"/>
        <v>0.05</v>
      </c>
      <c r="X72" s="50">
        <f t="shared" si="26"/>
        <v>0.24</v>
      </c>
      <c r="Y72" s="50">
        <f t="shared" si="27"/>
        <v>0.05</v>
      </c>
      <c r="Z72" s="50">
        <f t="shared" si="28"/>
        <v>0.04</v>
      </c>
      <c r="AA72" s="50">
        <f t="shared" si="29"/>
        <v>0.06</v>
      </c>
      <c r="AB72" s="50">
        <f t="shared" si="30"/>
        <v>0.08</v>
      </c>
      <c r="AC72" s="50">
        <f t="shared" si="31"/>
        <v>0.05</v>
      </c>
      <c r="AD72" s="50">
        <f t="shared" si="32"/>
        <v>0.02</v>
      </c>
      <c r="AE72" s="50">
        <f t="shared" si="33"/>
        <v>0.02</v>
      </c>
      <c r="AF72" s="47">
        <f t="shared" si="35"/>
        <v>1</v>
      </c>
      <c r="AG72" s="50">
        <f>IF('Resultado da inspeção'!F72='Resultado da inspeção'!$W$3,0%,Ranking!R72)</f>
        <v>0.02</v>
      </c>
      <c r="AH72" s="50">
        <f>IF('Resultado da inspeção'!G72='Resultado da inspeção'!$W$3,0%,Ranking!S72)</f>
        <v>0.03</v>
      </c>
      <c r="AI72" s="50">
        <f>IF('Resultado da inspeção'!H72='Resultado da inspeção'!$W$3,0%,Ranking!T72)</f>
        <v>0.03</v>
      </c>
      <c r="AJ72" s="50">
        <f>IF('Resultado da inspeção'!I72='Resultado da inspeção'!$W$3,0%,Ranking!U72)</f>
        <v>0.1</v>
      </c>
      <c r="AK72" s="50">
        <f>IF('Resultado da inspeção'!J72='Resultado da inspeção'!$W$3,0%,Ranking!V72)</f>
        <v>0.21</v>
      </c>
      <c r="AL72" s="50">
        <f>IF('Resultado da inspeção'!K72='Resultado da inspeção'!$W$3,0%,Ranking!W72)</f>
        <v>0.05</v>
      </c>
      <c r="AM72" s="50">
        <f>IF('Resultado da inspeção'!L72='Resultado da inspeção'!$W$3,0%,Ranking!X72)</f>
        <v>0.24</v>
      </c>
      <c r="AN72" s="50">
        <f>IF('Resultado da inspeção'!M72='Resultado da inspeção'!$W$3,0%,Ranking!Y72)</f>
        <v>0.05</v>
      </c>
      <c r="AO72" s="50">
        <f>IF('Resultado da inspeção'!N72='Resultado da inspeção'!$W$3,0%,Ranking!Z72)</f>
        <v>0.04</v>
      </c>
      <c r="AP72" s="50">
        <f>IF('Resultado da inspeção'!O72='Resultado da inspeção'!$W$3,0%,Ranking!AA72)</f>
        <v>0.06</v>
      </c>
      <c r="AQ72" s="50">
        <f>IF('Resultado da inspeção'!P72='Resultado da inspeção'!$W$3,0%,Ranking!AB72)</f>
        <v>0.08</v>
      </c>
      <c r="AR72" s="50">
        <f>IF('Resultado da inspeção'!Q72='Resultado da inspeção'!$W$3,0%,Ranking!AC72)</f>
        <v>0.05</v>
      </c>
      <c r="AS72" s="50">
        <f>IF('Resultado da inspeção'!R72='Resultado da inspeção'!$W$3,0%,Ranking!AD72)</f>
        <v>0.02</v>
      </c>
      <c r="AT72" s="50">
        <f>IF('Resultado da inspeção'!S72='Resultado da inspeção'!$W$3,0%,Ranking!AE72)</f>
        <v>0.02</v>
      </c>
      <c r="AU72" s="49">
        <f t="shared" si="36"/>
        <v>1</v>
      </c>
    </row>
    <row r="73" spans="2:47" x14ac:dyDescent="0.25">
      <c r="B73" s="48">
        <f>IF('Resultado da inspeção'!F73='Resultado da inspeção'!$W$4,0%,Ranking!B$5)</f>
        <v>0.02</v>
      </c>
      <c r="C73" s="48">
        <f>IF('Resultado da inspeção'!G73='Resultado da inspeção'!$W$4,0%,Ranking!C$5)</f>
        <v>0.03</v>
      </c>
      <c r="D73" s="48">
        <f>IF('Resultado da inspeção'!H73='Resultado da inspeção'!$W$4,0%,Ranking!D$5)</f>
        <v>0.03</v>
      </c>
      <c r="E73" s="48">
        <f>IF('Resultado da inspeção'!I73='Resultado da inspeção'!$W$4,0%,Ranking!E$5)</f>
        <v>0.1</v>
      </c>
      <c r="F73" s="48">
        <f>IF('Resultado da inspeção'!J73='Resultado da inspeção'!$W$4,0%,Ranking!F$5)</f>
        <v>0.21</v>
      </c>
      <c r="G73" s="48">
        <f>IF('Resultado da inspeção'!K73='Resultado da inspeção'!$W$4,0%,Ranking!G$5)</f>
        <v>0.05</v>
      </c>
      <c r="H73" s="48">
        <f>IF('Resultado da inspeção'!L73='Resultado da inspeção'!$W$4,0%,Ranking!H$5)</f>
        <v>0.24</v>
      </c>
      <c r="I73" s="48">
        <f>IF('Resultado da inspeção'!M73='Resultado da inspeção'!$W$4,0%,Ranking!I$5)</f>
        <v>0.05</v>
      </c>
      <c r="J73" s="48">
        <f>IF('Resultado da inspeção'!N73='Resultado da inspeção'!$W$4,0%,Ranking!J$5)</f>
        <v>0.04</v>
      </c>
      <c r="K73" s="48">
        <f>IF('Resultado da inspeção'!O73='Resultado da inspeção'!$W$4,0%,Ranking!K$5)</f>
        <v>0.06</v>
      </c>
      <c r="L73" s="48">
        <f>IF('Resultado da inspeção'!P73='Resultado da inspeção'!$W$4,0%,Ranking!L$5)</f>
        <v>0.08</v>
      </c>
      <c r="M73" s="48">
        <f>IF('Resultado da inspeção'!Q73='Resultado da inspeção'!$W$4,0%,Ranking!M$5)</f>
        <v>0.05</v>
      </c>
      <c r="N73" s="48">
        <f>IF('Resultado da inspeção'!R73='Resultado da inspeção'!$W$4,0%,Ranking!N$5)</f>
        <v>0.02</v>
      </c>
      <c r="O73" s="48">
        <f>IF('Resultado da inspeção'!S73='Resultado da inspeção'!$W$4,0%,Ranking!O$5)</f>
        <v>0.02</v>
      </c>
      <c r="P73" s="47">
        <f t="shared" si="19"/>
        <v>1</v>
      </c>
      <c r="Q73" s="49">
        <f t="shared" si="34"/>
        <v>0</v>
      </c>
      <c r="R73" s="50">
        <f t="shared" si="20"/>
        <v>0.02</v>
      </c>
      <c r="S73" s="50">
        <f t="shared" si="21"/>
        <v>0.03</v>
      </c>
      <c r="T73" s="50">
        <f t="shared" si="22"/>
        <v>0.03</v>
      </c>
      <c r="U73" s="50">
        <f t="shared" si="23"/>
        <v>0.1</v>
      </c>
      <c r="V73" s="50">
        <f t="shared" si="24"/>
        <v>0.21</v>
      </c>
      <c r="W73" s="50">
        <f t="shared" si="25"/>
        <v>0.05</v>
      </c>
      <c r="X73" s="50">
        <f t="shared" si="26"/>
        <v>0.24</v>
      </c>
      <c r="Y73" s="50">
        <f t="shared" si="27"/>
        <v>0.05</v>
      </c>
      <c r="Z73" s="50">
        <f t="shared" si="28"/>
        <v>0.04</v>
      </c>
      <c r="AA73" s="50">
        <f t="shared" si="29"/>
        <v>0.06</v>
      </c>
      <c r="AB73" s="50">
        <f t="shared" si="30"/>
        <v>0.08</v>
      </c>
      <c r="AC73" s="50">
        <f t="shared" si="31"/>
        <v>0.05</v>
      </c>
      <c r="AD73" s="50">
        <f t="shared" si="32"/>
        <v>0.02</v>
      </c>
      <c r="AE73" s="50">
        <f t="shared" si="33"/>
        <v>0.02</v>
      </c>
      <c r="AF73" s="47">
        <f t="shared" si="35"/>
        <v>1</v>
      </c>
      <c r="AG73" s="50">
        <f>IF('Resultado da inspeção'!F73='Resultado da inspeção'!$W$3,0%,Ranking!R73)</f>
        <v>0.02</v>
      </c>
      <c r="AH73" s="50">
        <f>IF('Resultado da inspeção'!G73='Resultado da inspeção'!$W$3,0%,Ranking!S73)</f>
        <v>0.03</v>
      </c>
      <c r="AI73" s="50">
        <f>IF('Resultado da inspeção'!H73='Resultado da inspeção'!$W$3,0%,Ranking!T73)</f>
        <v>0.03</v>
      </c>
      <c r="AJ73" s="50">
        <f>IF('Resultado da inspeção'!I73='Resultado da inspeção'!$W$3,0%,Ranking!U73)</f>
        <v>0.1</v>
      </c>
      <c r="AK73" s="50">
        <f>IF('Resultado da inspeção'!J73='Resultado da inspeção'!$W$3,0%,Ranking!V73)</f>
        <v>0.21</v>
      </c>
      <c r="AL73" s="50">
        <f>IF('Resultado da inspeção'!K73='Resultado da inspeção'!$W$3,0%,Ranking!W73)</f>
        <v>0.05</v>
      </c>
      <c r="AM73" s="50">
        <f>IF('Resultado da inspeção'!L73='Resultado da inspeção'!$W$3,0%,Ranking!X73)</f>
        <v>0.24</v>
      </c>
      <c r="AN73" s="50">
        <f>IF('Resultado da inspeção'!M73='Resultado da inspeção'!$W$3,0%,Ranking!Y73)</f>
        <v>0.05</v>
      </c>
      <c r="AO73" s="50">
        <f>IF('Resultado da inspeção'!N73='Resultado da inspeção'!$W$3,0%,Ranking!Z73)</f>
        <v>0.04</v>
      </c>
      <c r="AP73" s="50">
        <f>IF('Resultado da inspeção'!O73='Resultado da inspeção'!$W$3,0%,Ranking!AA73)</f>
        <v>0.06</v>
      </c>
      <c r="AQ73" s="50">
        <f>IF('Resultado da inspeção'!P73='Resultado da inspeção'!$W$3,0%,Ranking!AB73)</f>
        <v>0.08</v>
      </c>
      <c r="AR73" s="50">
        <f>IF('Resultado da inspeção'!Q73='Resultado da inspeção'!$W$3,0%,Ranking!AC73)</f>
        <v>0.05</v>
      </c>
      <c r="AS73" s="50">
        <f>IF('Resultado da inspeção'!R73='Resultado da inspeção'!$W$3,0%,Ranking!AD73)</f>
        <v>0.02</v>
      </c>
      <c r="AT73" s="50">
        <f>IF('Resultado da inspeção'!S73='Resultado da inspeção'!$W$3,0%,Ranking!AE73)</f>
        <v>0.02</v>
      </c>
      <c r="AU73" s="49">
        <f t="shared" si="36"/>
        <v>1</v>
      </c>
    </row>
    <row r="74" spans="2:47" x14ac:dyDescent="0.25">
      <c r="B74" s="48">
        <f>IF('Resultado da inspeção'!F74='Resultado da inspeção'!$W$4,0%,Ranking!B$5)</f>
        <v>0.02</v>
      </c>
      <c r="C74" s="48">
        <f>IF('Resultado da inspeção'!G74='Resultado da inspeção'!$W$4,0%,Ranking!C$5)</f>
        <v>0.03</v>
      </c>
      <c r="D74" s="48">
        <f>IF('Resultado da inspeção'!H74='Resultado da inspeção'!$W$4,0%,Ranking!D$5)</f>
        <v>0.03</v>
      </c>
      <c r="E74" s="48">
        <f>IF('Resultado da inspeção'!I74='Resultado da inspeção'!$W$4,0%,Ranking!E$5)</f>
        <v>0.1</v>
      </c>
      <c r="F74" s="48">
        <f>IF('Resultado da inspeção'!J74='Resultado da inspeção'!$W$4,0%,Ranking!F$5)</f>
        <v>0.21</v>
      </c>
      <c r="G74" s="48">
        <f>IF('Resultado da inspeção'!K74='Resultado da inspeção'!$W$4,0%,Ranking!G$5)</f>
        <v>0.05</v>
      </c>
      <c r="H74" s="48">
        <f>IF('Resultado da inspeção'!L74='Resultado da inspeção'!$W$4,0%,Ranking!H$5)</f>
        <v>0.24</v>
      </c>
      <c r="I74" s="48">
        <f>IF('Resultado da inspeção'!M74='Resultado da inspeção'!$W$4,0%,Ranking!I$5)</f>
        <v>0.05</v>
      </c>
      <c r="J74" s="48">
        <f>IF('Resultado da inspeção'!N74='Resultado da inspeção'!$W$4,0%,Ranking!J$5)</f>
        <v>0.04</v>
      </c>
      <c r="K74" s="48">
        <f>IF('Resultado da inspeção'!O74='Resultado da inspeção'!$W$4,0%,Ranking!K$5)</f>
        <v>0.06</v>
      </c>
      <c r="L74" s="48">
        <f>IF('Resultado da inspeção'!P74='Resultado da inspeção'!$W$4,0%,Ranking!L$5)</f>
        <v>0.08</v>
      </c>
      <c r="M74" s="48">
        <f>IF('Resultado da inspeção'!Q74='Resultado da inspeção'!$W$4,0%,Ranking!M$5)</f>
        <v>0.05</v>
      </c>
      <c r="N74" s="48">
        <f>IF('Resultado da inspeção'!R74='Resultado da inspeção'!$W$4,0%,Ranking!N$5)</f>
        <v>0.02</v>
      </c>
      <c r="O74" s="48">
        <f>IF('Resultado da inspeção'!S74='Resultado da inspeção'!$W$4,0%,Ranking!O$5)</f>
        <v>0.02</v>
      </c>
      <c r="P74" s="47">
        <f t="shared" si="19"/>
        <v>1</v>
      </c>
      <c r="Q74" s="49">
        <f t="shared" si="34"/>
        <v>0</v>
      </c>
      <c r="R74" s="50">
        <f t="shared" si="20"/>
        <v>0.02</v>
      </c>
      <c r="S74" s="50">
        <f t="shared" si="21"/>
        <v>0.03</v>
      </c>
      <c r="T74" s="50">
        <f t="shared" si="22"/>
        <v>0.03</v>
      </c>
      <c r="U74" s="50">
        <f t="shared" si="23"/>
        <v>0.1</v>
      </c>
      <c r="V74" s="50">
        <f t="shared" si="24"/>
        <v>0.21</v>
      </c>
      <c r="W74" s="50">
        <f t="shared" si="25"/>
        <v>0.05</v>
      </c>
      <c r="X74" s="50">
        <f t="shared" si="26"/>
        <v>0.24</v>
      </c>
      <c r="Y74" s="50">
        <f t="shared" si="27"/>
        <v>0.05</v>
      </c>
      <c r="Z74" s="50">
        <f t="shared" si="28"/>
        <v>0.04</v>
      </c>
      <c r="AA74" s="50">
        <f t="shared" si="29"/>
        <v>0.06</v>
      </c>
      <c r="AB74" s="50">
        <f t="shared" si="30"/>
        <v>0.08</v>
      </c>
      <c r="AC74" s="50">
        <f t="shared" si="31"/>
        <v>0.05</v>
      </c>
      <c r="AD74" s="50">
        <f t="shared" si="32"/>
        <v>0.02</v>
      </c>
      <c r="AE74" s="50">
        <f t="shared" si="33"/>
        <v>0.02</v>
      </c>
      <c r="AF74" s="47">
        <f t="shared" si="35"/>
        <v>1</v>
      </c>
      <c r="AG74" s="50">
        <f>IF('Resultado da inspeção'!F74='Resultado da inspeção'!$W$3,0%,Ranking!R74)</f>
        <v>0.02</v>
      </c>
      <c r="AH74" s="50">
        <f>IF('Resultado da inspeção'!G74='Resultado da inspeção'!$W$3,0%,Ranking!S74)</f>
        <v>0.03</v>
      </c>
      <c r="AI74" s="50">
        <f>IF('Resultado da inspeção'!H74='Resultado da inspeção'!$W$3,0%,Ranking!T74)</f>
        <v>0.03</v>
      </c>
      <c r="AJ74" s="50">
        <f>IF('Resultado da inspeção'!I74='Resultado da inspeção'!$W$3,0%,Ranking!U74)</f>
        <v>0.1</v>
      </c>
      <c r="AK74" s="50">
        <f>IF('Resultado da inspeção'!J74='Resultado da inspeção'!$W$3,0%,Ranking!V74)</f>
        <v>0.21</v>
      </c>
      <c r="AL74" s="50">
        <f>IF('Resultado da inspeção'!K74='Resultado da inspeção'!$W$3,0%,Ranking!W74)</f>
        <v>0.05</v>
      </c>
      <c r="AM74" s="50">
        <f>IF('Resultado da inspeção'!L74='Resultado da inspeção'!$W$3,0%,Ranking!X74)</f>
        <v>0.24</v>
      </c>
      <c r="AN74" s="50">
        <f>IF('Resultado da inspeção'!M74='Resultado da inspeção'!$W$3,0%,Ranking!Y74)</f>
        <v>0.05</v>
      </c>
      <c r="AO74" s="50">
        <f>IF('Resultado da inspeção'!N74='Resultado da inspeção'!$W$3,0%,Ranking!Z74)</f>
        <v>0.04</v>
      </c>
      <c r="AP74" s="50">
        <f>IF('Resultado da inspeção'!O74='Resultado da inspeção'!$W$3,0%,Ranking!AA74)</f>
        <v>0.06</v>
      </c>
      <c r="AQ74" s="50">
        <f>IF('Resultado da inspeção'!P74='Resultado da inspeção'!$W$3,0%,Ranking!AB74)</f>
        <v>0.08</v>
      </c>
      <c r="AR74" s="50">
        <f>IF('Resultado da inspeção'!Q74='Resultado da inspeção'!$W$3,0%,Ranking!AC74)</f>
        <v>0.05</v>
      </c>
      <c r="AS74" s="50">
        <f>IF('Resultado da inspeção'!R74='Resultado da inspeção'!$W$3,0%,Ranking!AD74)</f>
        <v>0.02</v>
      </c>
      <c r="AT74" s="50">
        <f>IF('Resultado da inspeção'!S74='Resultado da inspeção'!$W$3,0%,Ranking!AE74)</f>
        <v>0.02</v>
      </c>
      <c r="AU74" s="49">
        <f t="shared" si="36"/>
        <v>1</v>
      </c>
    </row>
    <row r="75" spans="2:47" x14ac:dyDescent="0.25">
      <c r="B75" s="48">
        <f>IF('Resultado da inspeção'!F75='Resultado da inspeção'!$W$4,0%,Ranking!B$5)</f>
        <v>0.02</v>
      </c>
      <c r="C75" s="48">
        <f>IF('Resultado da inspeção'!G75='Resultado da inspeção'!$W$4,0%,Ranking!C$5)</f>
        <v>0.03</v>
      </c>
      <c r="D75" s="48">
        <f>IF('Resultado da inspeção'!H75='Resultado da inspeção'!$W$4,0%,Ranking!D$5)</f>
        <v>0.03</v>
      </c>
      <c r="E75" s="48">
        <f>IF('Resultado da inspeção'!I75='Resultado da inspeção'!$W$4,0%,Ranking!E$5)</f>
        <v>0.1</v>
      </c>
      <c r="F75" s="48">
        <f>IF('Resultado da inspeção'!J75='Resultado da inspeção'!$W$4,0%,Ranking!F$5)</f>
        <v>0.21</v>
      </c>
      <c r="G75" s="48">
        <f>IF('Resultado da inspeção'!K75='Resultado da inspeção'!$W$4,0%,Ranking!G$5)</f>
        <v>0.05</v>
      </c>
      <c r="H75" s="48">
        <f>IF('Resultado da inspeção'!L75='Resultado da inspeção'!$W$4,0%,Ranking!H$5)</f>
        <v>0.24</v>
      </c>
      <c r="I75" s="48">
        <f>IF('Resultado da inspeção'!M75='Resultado da inspeção'!$W$4,0%,Ranking!I$5)</f>
        <v>0.05</v>
      </c>
      <c r="J75" s="48">
        <f>IF('Resultado da inspeção'!N75='Resultado da inspeção'!$W$4,0%,Ranking!J$5)</f>
        <v>0.04</v>
      </c>
      <c r="K75" s="48">
        <f>IF('Resultado da inspeção'!O75='Resultado da inspeção'!$W$4,0%,Ranking!K$5)</f>
        <v>0.06</v>
      </c>
      <c r="L75" s="48">
        <f>IF('Resultado da inspeção'!P75='Resultado da inspeção'!$W$4,0%,Ranking!L$5)</f>
        <v>0.08</v>
      </c>
      <c r="M75" s="48">
        <f>IF('Resultado da inspeção'!Q75='Resultado da inspeção'!$W$4,0%,Ranking!M$5)</f>
        <v>0.05</v>
      </c>
      <c r="N75" s="48">
        <f>IF('Resultado da inspeção'!R75='Resultado da inspeção'!$W$4,0%,Ranking!N$5)</f>
        <v>0.02</v>
      </c>
      <c r="O75" s="48">
        <f>IF('Resultado da inspeção'!S75='Resultado da inspeção'!$W$4,0%,Ranking!O$5)</f>
        <v>0.02</v>
      </c>
      <c r="P75" s="47">
        <f t="shared" si="19"/>
        <v>1</v>
      </c>
      <c r="Q75" s="49">
        <f t="shared" si="34"/>
        <v>0</v>
      </c>
      <c r="R75" s="50">
        <f t="shared" si="20"/>
        <v>0.02</v>
      </c>
      <c r="S75" s="50">
        <f t="shared" si="21"/>
        <v>0.03</v>
      </c>
      <c r="T75" s="50">
        <f t="shared" si="22"/>
        <v>0.03</v>
      </c>
      <c r="U75" s="50">
        <f t="shared" si="23"/>
        <v>0.1</v>
      </c>
      <c r="V75" s="50">
        <f t="shared" si="24"/>
        <v>0.21</v>
      </c>
      <c r="W75" s="50">
        <f t="shared" si="25"/>
        <v>0.05</v>
      </c>
      <c r="X75" s="50">
        <f t="shared" si="26"/>
        <v>0.24</v>
      </c>
      <c r="Y75" s="50">
        <f t="shared" si="27"/>
        <v>0.05</v>
      </c>
      <c r="Z75" s="50">
        <f t="shared" si="28"/>
        <v>0.04</v>
      </c>
      <c r="AA75" s="50">
        <f t="shared" si="29"/>
        <v>0.06</v>
      </c>
      <c r="AB75" s="50">
        <f t="shared" si="30"/>
        <v>0.08</v>
      </c>
      <c r="AC75" s="50">
        <f t="shared" si="31"/>
        <v>0.05</v>
      </c>
      <c r="AD75" s="50">
        <f t="shared" si="32"/>
        <v>0.02</v>
      </c>
      <c r="AE75" s="50">
        <f t="shared" si="33"/>
        <v>0.02</v>
      </c>
      <c r="AF75" s="47">
        <f t="shared" si="35"/>
        <v>1</v>
      </c>
      <c r="AG75" s="50">
        <f>IF('Resultado da inspeção'!F75='Resultado da inspeção'!$W$3,0%,Ranking!R75)</f>
        <v>0.02</v>
      </c>
      <c r="AH75" s="50">
        <f>IF('Resultado da inspeção'!G75='Resultado da inspeção'!$W$3,0%,Ranking!S75)</f>
        <v>0.03</v>
      </c>
      <c r="AI75" s="50">
        <f>IF('Resultado da inspeção'!H75='Resultado da inspeção'!$W$3,0%,Ranking!T75)</f>
        <v>0.03</v>
      </c>
      <c r="AJ75" s="50">
        <f>IF('Resultado da inspeção'!I75='Resultado da inspeção'!$W$3,0%,Ranking!U75)</f>
        <v>0.1</v>
      </c>
      <c r="AK75" s="50">
        <f>IF('Resultado da inspeção'!J75='Resultado da inspeção'!$W$3,0%,Ranking!V75)</f>
        <v>0.21</v>
      </c>
      <c r="AL75" s="50">
        <f>IF('Resultado da inspeção'!K75='Resultado da inspeção'!$W$3,0%,Ranking!W75)</f>
        <v>0.05</v>
      </c>
      <c r="AM75" s="50">
        <f>IF('Resultado da inspeção'!L75='Resultado da inspeção'!$W$3,0%,Ranking!X75)</f>
        <v>0.24</v>
      </c>
      <c r="AN75" s="50">
        <f>IF('Resultado da inspeção'!M75='Resultado da inspeção'!$W$3,0%,Ranking!Y75)</f>
        <v>0.05</v>
      </c>
      <c r="AO75" s="50">
        <f>IF('Resultado da inspeção'!N75='Resultado da inspeção'!$W$3,0%,Ranking!Z75)</f>
        <v>0.04</v>
      </c>
      <c r="AP75" s="50">
        <f>IF('Resultado da inspeção'!O75='Resultado da inspeção'!$W$3,0%,Ranking!AA75)</f>
        <v>0.06</v>
      </c>
      <c r="AQ75" s="50">
        <f>IF('Resultado da inspeção'!P75='Resultado da inspeção'!$W$3,0%,Ranking!AB75)</f>
        <v>0.08</v>
      </c>
      <c r="AR75" s="50">
        <f>IF('Resultado da inspeção'!Q75='Resultado da inspeção'!$W$3,0%,Ranking!AC75)</f>
        <v>0.05</v>
      </c>
      <c r="AS75" s="50">
        <f>IF('Resultado da inspeção'!R75='Resultado da inspeção'!$W$3,0%,Ranking!AD75)</f>
        <v>0.02</v>
      </c>
      <c r="AT75" s="50">
        <f>IF('Resultado da inspeção'!S75='Resultado da inspeção'!$W$3,0%,Ranking!AE75)</f>
        <v>0.02</v>
      </c>
      <c r="AU75" s="49">
        <f t="shared" si="36"/>
        <v>1</v>
      </c>
    </row>
    <row r="76" spans="2:47" x14ac:dyDescent="0.25">
      <c r="B76" s="48">
        <f>IF('Resultado da inspeção'!F76='Resultado da inspeção'!$W$4,0%,Ranking!B$5)</f>
        <v>0.02</v>
      </c>
      <c r="C76" s="48">
        <f>IF('Resultado da inspeção'!G76='Resultado da inspeção'!$W$4,0%,Ranking!C$5)</f>
        <v>0.03</v>
      </c>
      <c r="D76" s="48">
        <f>IF('Resultado da inspeção'!H76='Resultado da inspeção'!$W$4,0%,Ranking!D$5)</f>
        <v>0.03</v>
      </c>
      <c r="E76" s="48">
        <f>IF('Resultado da inspeção'!I76='Resultado da inspeção'!$W$4,0%,Ranking!E$5)</f>
        <v>0.1</v>
      </c>
      <c r="F76" s="48">
        <f>IF('Resultado da inspeção'!J76='Resultado da inspeção'!$W$4,0%,Ranking!F$5)</f>
        <v>0.21</v>
      </c>
      <c r="G76" s="48">
        <f>IF('Resultado da inspeção'!K76='Resultado da inspeção'!$W$4,0%,Ranking!G$5)</f>
        <v>0.05</v>
      </c>
      <c r="H76" s="48">
        <f>IF('Resultado da inspeção'!L76='Resultado da inspeção'!$W$4,0%,Ranking!H$5)</f>
        <v>0.24</v>
      </c>
      <c r="I76" s="48">
        <f>IF('Resultado da inspeção'!M76='Resultado da inspeção'!$W$4,0%,Ranking!I$5)</f>
        <v>0.05</v>
      </c>
      <c r="J76" s="48">
        <f>IF('Resultado da inspeção'!N76='Resultado da inspeção'!$W$4,0%,Ranking!J$5)</f>
        <v>0.04</v>
      </c>
      <c r="K76" s="48">
        <f>IF('Resultado da inspeção'!O76='Resultado da inspeção'!$W$4,0%,Ranking!K$5)</f>
        <v>0.06</v>
      </c>
      <c r="L76" s="48">
        <f>IF('Resultado da inspeção'!P76='Resultado da inspeção'!$W$4,0%,Ranking!L$5)</f>
        <v>0.08</v>
      </c>
      <c r="M76" s="48">
        <f>IF('Resultado da inspeção'!Q76='Resultado da inspeção'!$W$4,0%,Ranking!M$5)</f>
        <v>0.05</v>
      </c>
      <c r="N76" s="48">
        <f>IF('Resultado da inspeção'!R76='Resultado da inspeção'!$W$4,0%,Ranking!N$5)</f>
        <v>0.02</v>
      </c>
      <c r="O76" s="48">
        <f>IF('Resultado da inspeção'!S76='Resultado da inspeção'!$W$4,0%,Ranking!O$5)</f>
        <v>0.02</v>
      </c>
      <c r="P76" s="47">
        <f t="shared" si="19"/>
        <v>1</v>
      </c>
      <c r="Q76" s="49">
        <f t="shared" si="34"/>
        <v>0</v>
      </c>
      <c r="R76" s="50">
        <f t="shared" si="20"/>
        <v>0.02</v>
      </c>
      <c r="S76" s="50">
        <f t="shared" si="21"/>
        <v>0.03</v>
      </c>
      <c r="T76" s="50">
        <f t="shared" si="22"/>
        <v>0.03</v>
      </c>
      <c r="U76" s="50">
        <f t="shared" si="23"/>
        <v>0.1</v>
      </c>
      <c r="V76" s="50">
        <f t="shared" si="24"/>
        <v>0.21</v>
      </c>
      <c r="W76" s="50">
        <f t="shared" si="25"/>
        <v>0.05</v>
      </c>
      <c r="X76" s="50">
        <f t="shared" si="26"/>
        <v>0.24</v>
      </c>
      <c r="Y76" s="50">
        <f t="shared" si="27"/>
        <v>0.05</v>
      </c>
      <c r="Z76" s="50">
        <f t="shared" si="28"/>
        <v>0.04</v>
      </c>
      <c r="AA76" s="50">
        <f t="shared" si="29"/>
        <v>0.06</v>
      </c>
      <c r="AB76" s="50">
        <f t="shared" si="30"/>
        <v>0.08</v>
      </c>
      <c r="AC76" s="50">
        <f t="shared" si="31"/>
        <v>0.05</v>
      </c>
      <c r="AD76" s="50">
        <f t="shared" si="32"/>
        <v>0.02</v>
      </c>
      <c r="AE76" s="50">
        <f t="shared" si="33"/>
        <v>0.02</v>
      </c>
      <c r="AF76" s="47">
        <f t="shared" si="35"/>
        <v>1</v>
      </c>
      <c r="AG76" s="50">
        <f>IF('Resultado da inspeção'!F76='Resultado da inspeção'!$W$3,0%,Ranking!R76)</f>
        <v>0.02</v>
      </c>
      <c r="AH76" s="50">
        <f>IF('Resultado da inspeção'!G76='Resultado da inspeção'!$W$3,0%,Ranking!S76)</f>
        <v>0.03</v>
      </c>
      <c r="AI76" s="50">
        <f>IF('Resultado da inspeção'!H76='Resultado da inspeção'!$W$3,0%,Ranking!T76)</f>
        <v>0.03</v>
      </c>
      <c r="AJ76" s="50">
        <f>IF('Resultado da inspeção'!I76='Resultado da inspeção'!$W$3,0%,Ranking!U76)</f>
        <v>0.1</v>
      </c>
      <c r="AK76" s="50">
        <f>IF('Resultado da inspeção'!J76='Resultado da inspeção'!$W$3,0%,Ranking!V76)</f>
        <v>0.21</v>
      </c>
      <c r="AL76" s="50">
        <f>IF('Resultado da inspeção'!K76='Resultado da inspeção'!$W$3,0%,Ranking!W76)</f>
        <v>0.05</v>
      </c>
      <c r="AM76" s="50">
        <f>IF('Resultado da inspeção'!L76='Resultado da inspeção'!$W$3,0%,Ranking!X76)</f>
        <v>0.24</v>
      </c>
      <c r="AN76" s="50">
        <f>IF('Resultado da inspeção'!M76='Resultado da inspeção'!$W$3,0%,Ranking!Y76)</f>
        <v>0.05</v>
      </c>
      <c r="AO76" s="50">
        <f>IF('Resultado da inspeção'!N76='Resultado da inspeção'!$W$3,0%,Ranking!Z76)</f>
        <v>0.04</v>
      </c>
      <c r="AP76" s="50">
        <f>IF('Resultado da inspeção'!O76='Resultado da inspeção'!$W$3,0%,Ranking!AA76)</f>
        <v>0.06</v>
      </c>
      <c r="AQ76" s="50">
        <f>IF('Resultado da inspeção'!P76='Resultado da inspeção'!$W$3,0%,Ranking!AB76)</f>
        <v>0.08</v>
      </c>
      <c r="AR76" s="50">
        <f>IF('Resultado da inspeção'!Q76='Resultado da inspeção'!$W$3,0%,Ranking!AC76)</f>
        <v>0.05</v>
      </c>
      <c r="AS76" s="50">
        <f>IF('Resultado da inspeção'!R76='Resultado da inspeção'!$W$3,0%,Ranking!AD76)</f>
        <v>0.02</v>
      </c>
      <c r="AT76" s="50">
        <f>IF('Resultado da inspeção'!S76='Resultado da inspeção'!$W$3,0%,Ranking!AE76)</f>
        <v>0.02</v>
      </c>
      <c r="AU76" s="49">
        <f t="shared" si="36"/>
        <v>1</v>
      </c>
    </row>
    <row r="77" spans="2:47" x14ac:dyDescent="0.25">
      <c r="B77" s="48">
        <f>IF('Resultado da inspeção'!F77='Resultado da inspeção'!$W$4,0%,Ranking!B$5)</f>
        <v>0.02</v>
      </c>
      <c r="C77" s="48">
        <f>IF('Resultado da inspeção'!G77='Resultado da inspeção'!$W$4,0%,Ranking!C$5)</f>
        <v>0.03</v>
      </c>
      <c r="D77" s="48">
        <f>IF('Resultado da inspeção'!H77='Resultado da inspeção'!$W$4,0%,Ranking!D$5)</f>
        <v>0.03</v>
      </c>
      <c r="E77" s="48">
        <f>IF('Resultado da inspeção'!I77='Resultado da inspeção'!$W$4,0%,Ranking!E$5)</f>
        <v>0.1</v>
      </c>
      <c r="F77" s="48">
        <f>IF('Resultado da inspeção'!J77='Resultado da inspeção'!$W$4,0%,Ranking!F$5)</f>
        <v>0.21</v>
      </c>
      <c r="G77" s="48">
        <f>IF('Resultado da inspeção'!K77='Resultado da inspeção'!$W$4,0%,Ranking!G$5)</f>
        <v>0.05</v>
      </c>
      <c r="H77" s="48">
        <f>IF('Resultado da inspeção'!L77='Resultado da inspeção'!$W$4,0%,Ranking!H$5)</f>
        <v>0.24</v>
      </c>
      <c r="I77" s="48">
        <f>IF('Resultado da inspeção'!M77='Resultado da inspeção'!$W$4,0%,Ranking!I$5)</f>
        <v>0.05</v>
      </c>
      <c r="J77" s="48">
        <f>IF('Resultado da inspeção'!N77='Resultado da inspeção'!$W$4,0%,Ranking!J$5)</f>
        <v>0.04</v>
      </c>
      <c r="K77" s="48">
        <f>IF('Resultado da inspeção'!O77='Resultado da inspeção'!$W$4,0%,Ranking!K$5)</f>
        <v>0.06</v>
      </c>
      <c r="L77" s="48">
        <f>IF('Resultado da inspeção'!P77='Resultado da inspeção'!$W$4,0%,Ranking!L$5)</f>
        <v>0.08</v>
      </c>
      <c r="M77" s="48">
        <f>IF('Resultado da inspeção'!Q77='Resultado da inspeção'!$W$4,0%,Ranking!M$5)</f>
        <v>0.05</v>
      </c>
      <c r="N77" s="48">
        <f>IF('Resultado da inspeção'!R77='Resultado da inspeção'!$W$4,0%,Ranking!N$5)</f>
        <v>0.02</v>
      </c>
      <c r="O77" s="48">
        <f>IF('Resultado da inspeção'!S77='Resultado da inspeção'!$W$4,0%,Ranking!O$5)</f>
        <v>0.02</v>
      </c>
      <c r="P77" s="47">
        <f t="shared" si="19"/>
        <v>1</v>
      </c>
      <c r="Q77" s="49">
        <f t="shared" si="34"/>
        <v>0</v>
      </c>
      <c r="R77" s="50">
        <f t="shared" si="20"/>
        <v>0.02</v>
      </c>
      <c r="S77" s="50">
        <f t="shared" si="21"/>
        <v>0.03</v>
      </c>
      <c r="T77" s="50">
        <f t="shared" si="22"/>
        <v>0.03</v>
      </c>
      <c r="U77" s="50">
        <f t="shared" si="23"/>
        <v>0.1</v>
      </c>
      <c r="V77" s="50">
        <f t="shared" si="24"/>
        <v>0.21</v>
      </c>
      <c r="W77" s="50">
        <f t="shared" si="25"/>
        <v>0.05</v>
      </c>
      <c r="X77" s="50">
        <f t="shared" si="26"/>
        <v>0.24</v>
      </c>
      <c r="Y77" s="50">
        <f t="shared" si="27"/>
        <v>0.05</v>
      </c>
      <c r="Z77" s="50">
        <f t="shared" si="28"/>
        <v>0.04</v>
      </c>
      <c r="AA77" s="50">
        <f t="shared" si="29"/>
        <v>0.06</v>
      </c>
      <c r="AB77" s="50">
        <f t="shared" si="30"/>
        <v>0.08</v>
      </c>
      <c r="AC77" s="50">
        <f t="shared" si="31"/>
        <v>0.05</v>
      </c>
      <c r="AD77" s="50">
        <f t="shared" si="32"/>
        <v>0.02</v>
      </c>
      <c r="AE77" s="50">
        <f t="shared" si="33"/>
        <v>0.02</v>
      </c>
      <c r="AF77" s="47">
        <f t="shared" si="35"/>
        <v>1</v>
      </c>
      <c r="AG77" s="50">
        <f>IF('Resultado da inspeção'!F77='Resultado da inspeção'!$W$3,0%,Ranking!R77)</f>
        <v>0.02</v>
      </c>
      <c r="AH77" s="50">
        <f>IF('Resultado da inspeção'!G77='Resultado da inspeção'!$W$3,0%,Ranking!S77)</f>
        <v>0.03</v>
      </c>
      <c r="AI77" s="50">
        <f>IF('Resultado da inspeção'!H77='Resultado da inspeção'!$W$3,0%,Ranking!T77)</f>
        <v>0.03</v>
      </c>
      <c r="AJ77" s="50">
        <f>IF('Resultado da inspeção'!I77='Resultado da inspeção'!$W$3,0%,Ranking!U77)</f>
        <v>0.1</v>
      </c>
      <c r="AK77" s="50">
        <f>IF('Resultado da inspeção'!J77='Resultado da inspeção'!$W$3,0%,Ranking!V77)</f>
        <v>0.21</v>
      </c>
      <c r="AL77" s="50">
        <f>IF('Resultado da inspeção'!K77='Resultado da inspeção'!$W$3,0%,Ranking!W77)</f>
        <v>0.05</v>
      </c>
      <c r="AM77" s="50">
        <f>IF('Resultado da inspeção'!L77='Resultado da inspeção'!$W$3,0%,Ranking!X77)</f>
        <v>0.24</v>
      </c>
      <c r="AN77" s="50">
        <f>IF('Resultado da inspeção'!M77='Resultado da inspeção'!$W$3,0%,Ranking!Y77)</f>
        <v>0.05</v>
      </c>
      <c r="AO77" s="50">
        <f>IF('Resultado da inspeção'!N77='Resultado da inspeção'!$W$3,0%,Ranking!Z77)</f>
        <v>0.04</v>
      </c>
      <c r="AP77" s="50">
        <f>IF('Resultado da inspeção'!O77='Resultado da inspeção'!$W$3,0%,Ranking!AA77)</f>
        <v>0.06</v>
      </c>
      <c r="AQ77" s="50">
        <f>IF('Resultado da inspeção'!P77='Resultado da inspeção'!$W$3,0%,Ranking!AB77)</f>
        <v>0.08</v>
      </c>
      <c r="AR77" s="50">
        <f>IF('Resultado da inspeção'!Q77='Resultado da inspeção'!$W$3,0%,Ranking!AC77)</f>
        <v>0.05</v>
      </c>
      <c r="AS77" s="50">
        <f>IF('Resultado da inspeção'!R77='Resultado da inspeção'!$W$3,0%,Ranking!AD77)</f>
        <v>0.02</v>
      </c>
      <c r="AT77" s="50">
        <f>IF('Resultado da inspeção'!S77='Resultado da inspeção'!$W$3,0%,Ranking!AE77)</f>
        <v>0.02</v>
      </c>
      <c r="AU77" s="49">
        <f t="shared" si="36"/>
        <v>1</v>
      </c>
    </row>
    <row r="78" spans="2:47" x14ac:dyDescent="0.25">
      <c r="B78" s="48">
        <f>IF('Resultado da inspeção'!F78='Resultado da inspeção'!$W$4,0%,Ranking!B$5)</f>
        <v>0.02</v>
      </c>
      <c r="C78" s="48">
        <f>IF('Resultado da inspeção'!G78='Resultado da inspeção'!$W$4,0%,Ranking!C$5)</f>
        <v>0.03</v>
      </c>
      <c r="D78" s="48">
        <f>IF('Resultado da inspeção'!H78='Resultado da inspeção'!$W$4,0%,Ranking!D$5)</f>
        <v>0.03</v>
      </c>
      <c r="E78" s="48">
        <f>IF('Resultado da inspeção'!I78='Resultado da inspeção'!$W$4,0%,Ranking!E$5)</f>
        <v>0.1</v>
      </c>
      <c r="F78" s="48">
        <f>IF('Resultado da inspeção'!J78='Resultado da inspeção'!$W$4,0%,Ranking!F$5)</f>
        <v>0.21</v>
      </c>
      <c r="G78" s="48">
        <f>IF('Resultado da inspeção'!K78='Resultado da inspeção'!$W$4,0%,Ranking!G$5)</f>
        <v>0.05</v>
      </c>
      <c r="H78" s="48">
        <f>IF('Resultado da inspeção'!L78='Resultado da inspeção'!$W$4,0%,Ranking!H$5)</f>
        <v>0.24</v>
      </c>
      <c r="I78" s="48">
        <f>IF('Resultado da inspeção'!M78='Resultado da inspeção'!$W$4,0%,Ranking!I$5)</f>
        <v>0.05</v>
      </c>
      <c r="J78" s="48">
        <f>IF('Resultado da inspeção'!N78='Resultado da inspeção'!$W$4,0%,Ranking!J$5)</f>
        <v>0.04</v>
      </c>
      <c r="K78" s="48">
        <f>IF('Resultado da inspeção'!O78='Resultado da inspeção'!$W$4,0%,Ranking!K$5)</f>
        <v>0.06</v>
      </c>
      <c r="L78" s="48">
        <f>IF('Resultado da inspeção'!P78='Resultado da inspeção'!$W$4,0%,Ranking!L$5)</f>
        <v>0.08</v>
      </c>
      <c r="M78" s="48">
        <f>IF('Resultado da inspeção'!Q78='Resultado da inspeção'!$W$4,0%,Ranking!M$5)</f>
        <v>0.05</v>
      </c>
      <c r="N78" s="48">
        <f>IF('Resultado da inspeção'!R78='Resultado da inspeção'!$W$4,0%,Ranking!N$5)</f>
        <v>0.02</v>
      </c>
      <c r="O78" s="48">
        <f>IF('Resultado da inspeção'!S78='Resultado da inspeção'!$W$4,0%,Ranking!O$5)</f>
        <v>0.02</v>
      </c>
      <c r="P78" s="47">
        <f t="shared" si="19"/>
        <v>1</v>
      </c>
      <c r="Q78" s="49">
        <f t="shared" si="34"/>
        <v>0</v>
      </c>
      <c r="R78" s="50">
        <f t="shared" si="20"/>
        <v>0.02</v>
      </c>
      <c r="S78" s="50">
        <f t="shared" si="21"/>
        <v>0.03</v>
      </c>
      <c r="T78" s="50">
        <f t="shared" si="22"/>
        <v>0.03</v>
      </c>
      <c r="U78" s="50">
        <f t="shared" si="23"/>
        <v>0.1</v>
      </c>
      <c r="V78" s="50">
        <f t="shared" si="24"/>
        <v>0.21</v>
      </c>
      <c r="W78" s="50">
        <f t="shared" si="25"/>
        <v>0.05</v>
      </c>
      <c r="X78" s="50">
        <f t="shared" si="26"/>
        <v>0.24</v>
      </c>
      <c r="Y78" s="50">
        <f t="shared" si="27"/>
        <v>0.05</v>
      </c>
      <c r="Z78" s="50">
        <f t="shared" si="28"/>
        <v>0.04</v>
      </c>
      <c r="AA78" s="50">
        <f t="shared" si="29"/>
        <v>0.06</v>
      </c>
      <c r="AB78" s="50">
        <f t="shared" si="30"/>
        <v>0.08</v>
      </c>
      <c r="AC78" s="50">
        <f t="shared" si="31"/>
        <v>0.05</v>
      </c>
      <c r="AD78" s="50">
        <f t="shared" si="32"/>
        <v>0.02</v>
      </c>
      <c r="AE78" s="50">
        <f t="shared" si="33"/>
        <v>0.02</v>
      </c>
      <c r="AF78" s="47">
        <f t="shared" si="35"/>
        <v>1</v>
      </c>
      <c r="AG78" s="50">
        <f>IF('Resultado da inspeção'!F78='Resultado da inspeção'!$W$3,0%,Ranking!R78)</f>
        <v>0.02</v>
      </c>
      <c r="AH78" s="50">
        <f>IF('Resultado da inspeção'!G78='Resultado da inspeção'!$W$3,0%,Ranking!S78)</f>
        <v>0.03</v>
      </c>
      <c r="AI78" s="50">
        <f>IF('Resultado da inspeção'!H78='Resultado da inspeção'!$W$3,0%,Ranking!T78)</f>
        <v>0.03</v>
      </c>
      <c r="AJ78" s="50">
        <f>IF('Resultado da inspeção'!I78='Resultado da inspeção'!$W$3,0%,Ranking!U78)</f>
        <v>0.1</v>
      </c>
      <c r="AK78" s="50">
        <f>IF('Resultado da inspeção'!J78='Resultado da inspeção'!$W$3,0%,Ranking!V78)</f>
        <v>0.21</v>
      </c>
      <c r="AL78" s="50">
        <f>IF('Resultado da inspeção'!K78='Resultado da inspeção'!$W$3,0%,Ranking!W78)</f>
        <v>0.05</v>
      </c>
      <c r="AM78" s="50">
        <f>IF('Resultado da inspeção'!L78='Resultado da inspeção'!$W$3,0%,Ranking!X78)</f>
        <v>0.24</v>
      </c>
      <c r="AN78" s="50">
        <f>IF('Resultado da inspeção'!M78='Resultado da inspeção'!$W$3,0%,Ranking!Y78)</f>
        <v>0.05</v>
      </c>
      <c r="AO78" s="50">
        <f>IF('Resultado da inspeção'!N78='Resultado da inspeção'!$W$3,0%,Ranking!Z78)</f>
        <v>0.04</v>
      </c>
      <c r="AP78" s="50">
        <f>IF('Resultado da inspeção'!O78='Resultado da inspeção'!$W$3,0%,Ranking!AA78)</f>
        <v>0.06</v>
      </c>
      <c r="AQ78" s="50">
        <f>IF('Resultado da inspeção'!P78='Resultado da inspeção'!$W$3,0%,Ranking!AB78)</f>
        <v>0.08</v>
      </c>
      <c r="AR78" s="50">
        <f>IF('Resultado da inspeção'!Q78='Resultado da inspeção'!$W$3,0%,Ranking!AC78)</f>
        <v>0.05</v>
      </c>
      <c r="AS78" s="50">
        <f>IF('Resultado da inspeção'!R78='Resultado da inspeção'!$W$3,0%,Ranking!AD78)</f>
        <v>0.02</v>
      </c>
      <c r="AT78" s="50">
        <f>IF('Resultado da inspeção'!S78='Resultado da inspeção'!$W$3,0%,Ranking!AE78)</f>
        <v>0.02</v>
      </c>
      <c r="AU78" s="49">
        <f t="shared" si="36"/>
        <v>1</v>
      </c>
    </row>
    <row r="79" spans="2:47" x14ac:dyDescent="0.25">
      <c r="B79" s="48">
        <f>IF('Resultado da inspeção'!F79='Resultado da inspeção'!$W$4,0%,Ranking!B$5)</f>
        <v>0.02</v>
      </c>
      <c r="C79" s="48">
        <f>IF('Resultado da inspeção'!G79='Resultado da inspeção'!$W$4,0%,Ranking!C$5)</f>
        <v>0.03</v>
      </c>
      <c r="D79" s="48">
        <f>IF('Resultado da inspeção'!H79='Resultado da inspeção'!$W$4,0%,Ranking!D$5)</f>
        <v>0.03</v>
      </c>
      <c r="E79" s="48">
        <f>IF('Resultado da inspeção'!I79='Resultado da inspeção'!$W$4,0%,Ranking!E$5)</f>
        <v>0.1</v>
      </c>
      <c r="F79" s="48">
        <f>IF('Resultado da inspeção'!J79='Resultado da inspeção'!$W$4,0%,Ranking!F$5)</f>
        <v>0.21</v>
      </c>
      <c r="G79" s="48">
        <f>IF('Resultado da inspeção'!K79='Resultado da inspeção'!$W$4,0%,Ranking!G$5)</f>
        <v>0.05</v>
      </c>
      <c r="H79" s="48">
        <f>IF('Resultado da inspeção'!L79='Resultado da inspeção'!$W$4,0%,Ranking!H$5)</f>
        <v>0.24</v>
      </c>
      <c r="I79" s="48">
        <f>IF('Resultado da inspeção'!M79='Resultado da inspeção'!$W$4,0%,Ranking!I$5)</f>
        <v>0.05</v>
      </c>
      <c r="J79" s="48">
        <f>IF('Resultado da inspeção'!N79='Resultado da inspeção'!$W$4,0%,Ranking!J$5)</f>
        <v>0.04</v>
      </c>
      <c r="K79" s="48">
        <f>IF('Resultado da inspeção'!O79='Resultado da inspeção'!$W$4,0%,Ranking!K$5)</f>
        <v>0.06</v>
      </c>
      <c r="L79" s="48">
        <f>IF('Resultado da inspeção'!P79='Resultado da inspeção'!$W$4,0%,Ranking!L$5)</f>
        <v>0.08</v>
      </c>
      <c r="M79" s="48">
        <f>IF('Resultado da inspeção'!Q79='Resultado da inspeção'!$W$4,0%,Ranking!M$5)</f>
        <v>0.05</v>
      </c>
      <c r="N79" s="48">
        <f>IF('Resultado da inspeção'!R79='Resultado da inspeção'!$W$4,0%,Ranking!N$5)</f>
        <v>0.02</v>
      </c>
      <c r="O79" s="48">
        <f>IF('Resultado da inspeção'!S79='Resultado da inspeção'!$W$4,0%,Ranking!O$5)</f>
        <v>0.02</v>
      </c>
      <c r="P79" s="47">
        <f t="shared" si="19"/>
        <v>1</v>
      </c>
      <c r="Q79" s="49">
        <f t="shared" si="34"/>
        <v>0</v>
      </c>
      <c r="R79" s="50">
        <f t="shared" si="20"/>
        <v>0.02</v>
      </c>
      <c r="S79" s="50">
        <f t="shared" si="21"/>
        <v>0.03</v>
      </c>
      <c r="T79" s="50">
        <f t="shared" si="22"/>
        <v>0.03</v>
      </c>
      <c r="U79" s="50">
        <f t="shared" si="23"/>
        <v>0.1</v>
      </c>
      <c r="V79" s="50">
        <f t="shared" si="24"/>
        <v>0.21</v>
      </c>
      <c r="W79" s="50">
        <f t="shared" si="25"/>
        <v>0.05</v>
      </c>
      <c r="X79" s="50">
        <f t="shared" si="26"/>
        <v>0.24</v>
      </c>
      <c r="Y79" s="50">
        <f t="shared" si="27"/>
        <v>0.05</v>
      </c>
      <c r="Z79" s="50">
        <f t="shared" si="28"/>
        <v>0.04</v>
      </c>
      <c r="AA79" s="50">
        <f t="shared" si="29"/>
        <v>0.06</v>
      </c>
      <c r="AB79" s="50">
        <f t="shared" si="30"/>
        <v>0.08</v>
      </c>
      <c r="AC79" s="50">
        <f t="shared" si="31"/>
        <v>0.05</v>
      </c>
      <c r="AD79" s="50">
        <f t="shared" si="32"/>
        <v>0.02</v>
      </c>
      <c r="AE79" s="50">
        <f t="shared" si="33"/>
        <v>0.02</v>
      </c>
      <c r="AF79" s="47">
        <f t="shared" si="35"/>
        <v>1</v>
      </c>
      <c r="AG79" s="50">
        <f>IF('Resultado da inspeção'!F79='Resultado da inspeção'!$W$3,0%,Ranking!R79)</f>
        <v>0.02</v>
      </c>
      <c r="AH79" s="50">
        <f>IF('Resultado da inspeção'!G79='Resultado da inspeção'!$W$3,0%,Ranking!S79)</f>
        <v>0.03</v>
      </c>
      <c r="AI79" s="50">
        <f>IF('Resultado da inspeção'!H79='Resultado da inspeção'!$W$3,0%,Ranking!T79)</f>
        <v>0.03</v>
      </c>
      <c r="AJ79" s="50">
        <f>IF('Resultado da inspeção'!I79='Resultado da inspeção'!$W$3,0%,Ranking!U79)</f>
        <v>0.1</v>
      </c>
      <c r="AK79" s="50">
        <f>IF('Resultado da inspeção'!J79='Resultado da inspeção'!$W$3,0%,Ranking!V79)</f>
        <v>0.21</v>
      </c>
      <c r="AL79" s="50">
        <f>IF('Resultado da inspeção'!K79='Resultado da inspeção'!$W$3,0%,Ranking!W79)</f>
        <v>0.05</v>
      </c>
      <c r="AM79" s="50">
        <f>IF('Resultado da inspeção'!L79='Resultado da inspeção'!$W$3,0%,Ranking!X79)</f>
        <v>0.24</v>
      </c>
      <c r="AN79" s="50">
        <f>IF('Resultado da inspeção'!M79='Resultado da inspeção'!$W$3,0%,Ranking!Y79)</f>
        <v>0.05</v>
      </c>
      <c r="AO79" s="50">
        <f>IF('Resultado da inspeção'!N79='Resultado da inspeção'!$W$3,0%,Ranking!Z79)</f>
        <v>0.04</v>
      </c>
      <c r="AP79" s="50">
        <f>IF('Resultado da inspeção'!O79='Resultado da inspeção'!$W$3,0%,Ranking!AA79)</f>
        <v>0.06</v>
      </c>
      <c r="AQ79" s="50">
        <f>IF('Resultado da inspeção'!P79='Resultado da inspeção'!$W$3,0%,Ranking!AB79)</f>
        <v>0.08</v>
      </c>
      <c r="AR79" s="50">
        <f>IF('Resultado da inspeção'!Q79='Resultado da inspeção'!$W$3,0%,Ranking!AC79)</f>
        <v>0.05</v>
      </c>
      <c r="AS79" s="50">
        <f>IF('Resultado da inspeção'!R79='Resultado da inspeção'!$W$3,0%,Ranking!AD79)</f>
        <v>0.02</v>
      </c>
      <c r="AT79" s="50">
        <f>IF('Resultado da inspeção'!S79='Resultado da inspeção'!$W$3,0%,Ranking!AE79)</f>
        <v>0.02</v>
      </c>
      <c r="AU79" s="49">
        <f t="shared" si="36"/>
        <v>1</v>
      </c>
    </row>
    <row r="80" spans="2:47" x14ac:dyDescent="0.25">
      <c r="B80" s="48">
        <f>IF('Resultado da inspeção'!F80='Resultado da inspeção'!$W$4,0%,Ranking!B$5)</f>
        <v>0.02</v>
      </c>
      <c r="C80" s="48">
        <f>IF('Resultado da inspeção'!G80='Resultado da inspeção'!$W$4,0%,Ranking!C$5)</f>
        <v>0.03</v>
      </c>
      <c r="D80" s="48">
        <f>IF('Resultado da inspeção'!H80='Resultado da inspeção'!$W$4,0%,Ranking!D$5)</f>
        <v>0.03</v>
      </c>
      <c r="E80" s="48">
        <f>IF('Resultado da inspeção'!I80='Resultado da inspeção'!$W$4,0%,Ranking!E$5)</f>
        <v>0.1</v>
      </c>
      <c r="F80" s="48">
        <f>IF('Resultado da inspeção'!J80='Resultado da inspeção'!$W$4,0%,Ranking!F$5)</f>
        <v>0.21</v>
      </c>
      <c r="G80" s="48">
        <f>IF('Resultado da inspeção'!K80='Resultado da inspeção'!$W$4,0%,Ranking!G$5)</f>
        <v>0.05</v>
      </c>
      <c r="H80" s="48">
        <f>IF('Resultado da inspeção'!L80='Resultado da inspeção'!$W$4,0%,Ranking!H$5)</f>
        <v>0.24</v>
      </c>
      <c r="I80" s="48">
        <f>IF('Resultado da inspeção'!M80='Resultado da inspeção'!$W$4,0%,Ranking!I$5)</f>
        <v>0.05</v>
      </c>
      <c r="J80" s="48">
        <f>IF('Resultado da inspeção'!N80='Resultado da inspeção'!$W$4,0%,Ranking!J$5)</f>
        <v>0.04</v>
      </c>
      <c r="K80" s="48">
        <f>IF('Resultado da inspeção'!O80='Resultado da inspeção'!$W$4,0%,Ranking!K$5)</f>
        <v>0.06</v>
      </c>
      <c r="L80" s="48">
        <f>IF('Resultado da inspeção'!P80='Resultado da inspeção'!$W$4,0%,Ranking!L$5)</f>
        <v>0.08</v>
      </c>
      <c r="M80" s="48">
        <f>IF('Resultado da inspeção'!Q80='Resultado da inspeção'!$W$4,0%,Ranking!M$5)</f>
        <v>0.05</v>
      </c>
      <c r="N80" s="48">
        <f>IF('Resultado da inspeção'!R80='Resultado da inspeção'!$W$4,0%,Ranking!N$5)</f>
        <v>0.02</v>
      </c>
      <c r="O80" s="48">
        <f>IF('Resultado da inspeção'!S80='Resultado da inspeção'!$W$4,0%,Ranking!O$5)</f>
        <v>0.02</v>
      </c>
      <c r="P80" s="47">
        <f t="shared" si="19"/>
        <v>1</v>
      </c>
      <c r="Q80" s="49">
        <f t="shared" si="34"/>
        <v>0</v>
      </c>
      <c r="R80" s="50">
        <f t="shared" si="20"/>
        <v>0.02</v>
      </c>
      <c r="S80" s="50">
        <f t="shared" si="21"/>
        <v>0.03</v>
      </c>
      <c r="T80" s="50">
        <f t="shared" si="22"/>
        <v>0.03</v>
      </c>
      <c r="U80" s="50">
        <f t="shared" si="23"/>
        <v>0.1</v>
      </c>
      <c r="V80" s="50">
        <f t="shared" si="24"/>
        <v>0.21</v>
      </c>
      <c r="W80" s="50">
        <f t="shared" si="25"/>
        <v>0.05</v>
      </c>
      <c r="X80" s="50">
        <f t="shared" si="26"/>
        <v>0.24</v>
      </c>
      <c r="Y80" s="50">
        <f t="shared" si="27"/>
        <v>0.05</v>
      </c>
      <c r="Z80" s="50">
        <f t="shared" si="28"/>
        <v>0.04</v>
      </c>
      <c r="AA80" s="50">
        <f t="shared" si="29"/>
        <v>0.06</v>
      </c>
      <c r="AB80" s="50">
        <f t="shared" si="30"/>
        <v>0.08</v>
      </c>
      <c r="AC80" s="50">
        <f t="shared" si="31"/>
        <v>0.05</v>
      </c>
      <c r="AD80" s="50">
        <f t="shared" si="32"/>
        <v>0.02</v>
      </c>
      <c r="AE80" s="50">
        <f t="shared" si="33"/>
        <v>0.02</v>
      </c>
      <c r="AF80" s="47">
        <f t="shared" si="35"/>
        <v>1</v>
      </c>
      <c r="AG80" s="50">
        <f>IF('Resultado da inspeção'!F80='Resultado da inspeção'!$W$3,0%,Ranking!R80)</f>
        <v>0.02</v>
      </c>
      <c r="AH80" s="50">
        <f>IF('Resultado da inspeção'!G80='Resultado da inspeção'!$W$3,0%,Ranking!S80)</f>
        <v>0.03</v>
      </c>
      <c r="AI80" s="50">
        <f>IF('Resultado da inspeção'!H80='Resultado da inspeção'!$W$3,0%,Ranking!T80)</f>
        <v>0.03</v>
      </c>
      <c r="AJ80" s="50">
        <f>IF('Resultado da inspeção'!I80='Resultado da inspeção'!$W$3,0%,Ranking!U80)</f>
        <v>0.1</v>
      </c>
      <c r="AK80" s="50">
        <f>IF('Resultado da inspeção'!J80='Resultado da inspeção'!$W$3,0%,Ranking!V80)</f>
        <v>0.21</v>
      </c>
      <c r="AL80" s="50">
        <f>IF('Resultado da inspeção'!K80='Resultado da inspeção'!$W$3,0%,Ranking!W80)</f>
        <v>0.05</v>
      </c>
      <c r="AM80" s="50">
        <f>IF('Resultado da inspeção'!L80='Resultado da inspeção'!$W$3,0%,Ranking!X80)</f>
        <v>0.24</v>
      </c>
      <c r="AN80" s="50">
        <f>IF('Resultado da inspeção'!M80='Resultado da inspeção'!$W$3,0%,Ranking!Y80)</f>
        <v>0.05</v>
      </c>
      <c r="AO80" s="50">
        <f>IF('Resultado da inspeção'!N80='Resultado da inspeção'!$W$3,0%,Ranking!Z80)</f>
        <v>0.04</v>
      </c>
      <c r="AP80" s="50">
        <f>IF('Resultado da inspeção'!O80='Resultado da inspeção'!$W$3,0%,Ranking!AA80)</f>
        <v>0.06</v>
      </c>
      <c r="AQ80" s="50">
        <f>IF('Resultado da inspeção'!P80='Resultado da inspeção'!$W$3,0%,Ranking!AB80)</f>
        <v>0.08</v>
      </c>
      <c r="AR80" s="50">
        <f>IF('Resultado da inspeção'!Q80='Resultado da inspeção'!$W$3,0%,Ranking!AC80)</f>
        <v>0.05</v>
      </c>
      <c r="AS80" s="50">
        <f>IF('Resultado da inspeção'!R80='Resultado da inspeção'!$W$3,0%,Ranking!AD80)</f>
        <v>0.02</v>
      </c>
      <c r="AT80" s="50">
        <f>IF('Resultado da inspeção'!S80='Resultado da inspeção'!$W$3,0%,Ranking!AE80)</f>
        <v>0.02</v>
      </c>
      <c r="AU80" s="49">
        <f t="shared" si="36"/>
        <v>1</v>
      </c>
    </row>
    <row r="81" spans="2:47" x14ac:dyDescent="0.25">
      <c r="B81" s="48">
        <f>IF('Resultado da inspeção'!F81='Resultado da inspeção'!$W$4,0%,Ranking!B$5)</f>
        <v>0.02</v>
      </c>
      <c r="C81" s="48">
        <f>IF('Resultado da inspeção'!G81='Resultado da inspeção'!$W$4,0%,Ranking!C$5)</f>
        <v>0.03</v>
      </c>
      <c r="D81" s="48">
        <f>IF('Resultado da inspeção'!H81='Resultado da inspeção'!$W$4,0%,Ranking!D$5)</f>
        <v>0.03</v>
      </c>
      <c r="E81" s="48">
        <f>IF('Resultado da inspeção'!I81='Resultado da inspeção'!$W$4,0%,Ranking!E$5)</f>
        <v>0.1</v>
      </c>
      <c r="F81" s="48">
        <f>IF('Resultado da inspeção'!J81='Resultado da inspeção'!$W$4,0%,Ranking!F$5)</f>
        <v>0.21</v>
      </c>
      <c r="G81" s="48">
        <f>IF('Resultado da inspeção'!K81='Resultado da inspeção'!$W$4,0%,Ranking!G$5)</f>
        <v>0.05</v>
      </c>
      <c r="H81" s="48">
        <f>IF('Resultado da inspeção'!L81='Resultado da inspeção'!$W$4,0%,Ranking!H$5)</f>
        <v>0.24</v>
      </c>
      <c r="I81" s="48">
        <f>IF('Resultado da inspeção'!M81='Resultado da inspeção'!$W$4,0%,Ranking!I$5)</f>
        <v>0.05</v>
      </c>
      <c r="J81" s="48">
        <f>IF('Resultado da inspeção'!N81='Resultado da inspeção'!$W$4,0%,Ranking!J$5)</f>
        <v>0.04</v>
      </c>
      <c r="K81" s="48">
        <f>IF('Resultado da inspeção'!O81='Resultado da inspeção'!$W$4,0%,Ranking!K$5)</f>
        <v>0.06</v>
      </c>
      <c r="L81" s="48">
        <f>IF('Resultado da inspeção'!P81='Resultado da inspeção'!$W$4,0%,Ranking!L$5)</f>
        <v>0.08</v>
      </c>
      <c r="M81" s="48">
        <f>IF('Resultado da inspeção'!Q81='Resultado da inspeção'!$W$4,0%,Ranking!M$5)</f>
        <v>0.05</v>
      </c>
      <c r="N81" s="48">
        <f>IF('Resultado da inspeção'!R81='Resultado da inspeção'!$W$4,0%,Ranking!N$5)</f>
        <v>0.02</v>
      </c>
      <c r="O81" s="48">
        <f>IF('Resultado da inspeção'!S81='Resultado da inspeção'!$W$4,0%,Ranking!O$5)</f>
        <v>0.02</v>
      </c>
      <c r="P81" s="47">
        <f t="shared" si="19"/>
        <v>1</v>
      </c>
      <c r="Q81" s="49">
        <f t="shared" si="34"/>
        <v>0</v>
      </c>
      <c r="R81" s="50">
        <f t="shared" si="20"/>
        <v>0.02</v>
      </c>
      <c r="S81" s="50">
        <f t="shared" si="21"/>
        <v>0.03</v>
      </c>
      <c r="T81" s="50">
        <f t="shared" si="22"/>
        <v>0.03</v>
      </c>
      <c r="U81" s="50">
        <f t="shared" si="23"/>
        <v>0.1</v>
      </c>
      <c r="V81" s="50">
        <f t="shared" si="24"/>
        <v>0.21</v>
      </c>
      <c r="W81" s="50">
        <f t="shared" si="25"/>
        <v>0.05</v>
      </c>
      <c r="X81" s="50">
        <f t="shared" si="26"/>
        <v>0.24</v>
      </c>
      <c r="Y81" s="50">
        <f t="shared" si="27"/>
        <v>0.05</v>
      </c>
      <c r="Z81" s="50">
        <f t="shared" si="28"/>
        <v>0.04</v>
      </c>
      <c r="AA81" s="50">
        <f t="shared" si="29"/>
        <v>0.06</v>
      </c>
      <c r="AB81" s="50">
        <f t="shared" si="30"/>
        <v>0.08</v>
      </c>
      <c r="AC81" s="50">
        <f t="shared" si="31"/>
        <v>0.05</v>
      </c>
      <c r="AD81" s="50">
        <f t="shared" si="32"/>
        <v>0.02</v>
      </c>
      <c r="AE81" s="50">
        <f t="shared" si="33"/>
        <v>0.02</v>
      </c>
      <c r="AF81" s="47">
        <f t="shared" si="35"/>
        <v>1</v>
      </c>
      <c r="AG81" s="50">
        <f>IF('Resultado da inspeção'!F81='Resultado da inspeção'!$W$3,0%,Ranking!R81)</f>
        <v>0.02</v>
      </c>
      <c r="AH81" s="50">
        <f>IF('Resultado da inspeção'!G81='Resultado da inspeção'!$W$3,0%,Ranking!S81)</f>
        <v>0.03</v>
      </c>
      <c r="AI81" s="50">
        <f>IF('Resultado da inspeção'!H81='Resultado da inspeção'!$W$3,0%,Ranking!T81)</f>
        <v>0.03</v>
      </c>
      <c r="AJ81" s="50">
        <f>IF('Resultado da inspeção'!I81='Resultado da inspeção'!$W$3,0%,Ranking!U81)</f>
        <v>0.1</v>
      </c>
      <c r="AK81" s="50">
        <f>IF('Resultado da inspeção'!J81='Resultado da inspeção'!$W$3,0%,Ranking!V81)</f>
        <v>0.21</v>
      </c>
      <c r="AL81" s="50">
        <f>IF('Resultado da inspeção'!K81='Resultado da inspeção'!$W$3,0%,Ranking!W81)</f>
        <v>0.05</v>
      </c>
      <c r="AM81" s="50">
        <f>IF('Resultado da inspeção'!L81='Resultado da inspeção'!$W$3,0%,Ranking!X81)</f>
        <v>0.24</v>
      </c>
      <c r="AN81" s="50">
        <f>IF('Resultado da inspeção'!M81='Resultado da inspeção'!$W$3,0%,Ranking!Y81)</f>
        <v>0.05</v>
      </c>
      <c r="AO81" s="50">
        <f>IF('Resultado da inspeção'!N81='Resultado da inspeção'!$W$3,0%,Ranking!Z81)</f>
        <v>0.04</v>
      </c>
      <c r="AP81" s="50">
        <f>IF('Resultado da inspeção'!O81='Resultado da inspeção'!$W$3,0%,Ranking!AA81)</f>
        <v>0.06</v>
      </c>
      <c r="AQ81" s="50">
        <f>IF('Resultado da inspeção'!P81='Resultado da inspeção'!$W$3,0%,Ranking!AB81)</f>
        <v>0.08</v>
      </c>
      <c r="AR81" s="50">
        <f>IF('Resultado da inspeção'!Q81='Resultado da inspeção'!$W$3,0%,Ranking!AC81)</f>
        <v>0.05</v>
      </c>
      <c r="AS81" s="50">
        <f>IF('Resultado da inspeção'!R81='Resultado da inspeção'!$W$3,0%,Ranking!AD81)</f>
        <v>0.02</v>
      </c>
      <c r="AT81" s="50">
        <f>IF('Resultado da inspeção'!S81='Resultado da inspeção'!$W$3,0%,Ranking!AE81)</f>
        <v>0.02</v>
      </c>
      <c r="AU81" s="49">
        <f t="shared" si="36"/>
        <v>1</v>
      </c>
    </row>
    <row r="82" spans="2:47" x14ac:dyDescent="0.25">
      <c r="B82" s="48">
        <f>IF('Resultado da inspeção'!F82='Resultado da inspeção'!$W$4,0%,Ranking!B$5)</f>
        <v>0.02</v>
      </c>
      <c r="C82" s="48">
        <f>IF('Resultado da inspeção'!G82='Resultado da inspeção'!$W$4,0%,Ranking!C$5)</f>
        <v>0.03</v>
      </c>
      <c r="D82" s="48">
        <f>IF('Resultado da inspeção'!H82='Resultado da inspeção'!$W$4,0%,Ranking!D$5)</f>
        <v>0.03</v>
      </c>
      <c r="E82" s="48">
        <f>IF('Resultado da inspeção'!I82='Resultado da inspeção'!$W$4,0%,Ranking!E$5)</f>
        <v>0.1</v>
      </c>
      <c r="F82" s="48">
        <f>IF('Resultado da inspeção'!J82='Resultado da inspeção'!$W$4,0%,Ranking!F$5)</f>
        <v>0.21</v>
      </c>
      <c r="G82" s="48">
        <f>IF('Resultado da inspeção'!K82='Resultado da inspeção'!$W$4,0%,Ranking!G$5)</f>
        <v>0.05</v>
      </c>
      <c r="H82" s="48">
        <f>IF('Resultado da inspeção'!L82='Resultado da inspeção'!$W$4,0%,Ranking!H$5)</f>
        <v>0.24</v>
      </c>
      <c r="I82" s="48">
        <f>IF('Resultado da inspeção'!M82='Resultado da inspeção'!$W$4,0%,Ranking!I$5)</f>
        <v>0.05</v>
      </c>
      <c r="J82" s="48">
        <f>IF('Resultado da inspeção'!N82='Resultado da inspeção'!$W$4,0%,Ranking!J$5)</f>
        <v>0.04</v>
      </c>
      <c r="K82" s="48">
        <f>IF('Resultado da inspeção'!O82='Resultado da inspeção'!$W$4,0%,Ranking!K$5)</f>
        <v>0.06</v>
      </c>
      <c r="L82" s="48">
        <f>IF('Resultado da inspeção'!P82='Resultado da inspeção'!$W$4,0%,Ranking!L$5)</f>
        <v>0.08</v>
      </c>
      <c r="M82" s="48">
        <f>IF('Resultado da inspeção'!Q82='Resultado da inspeção'!$W$4,0%,Ranking!M$5)</f>
        <v>0.05</v>
      </c>
      <c r="N82" s="48">
        <f>IF('Resultado da inspeção'!R82='Resultado da inspeção'!$W$4,0%,Ranking!N$5)</f>
        <v>0.02</v>
      </c>
      <c r="O82" s="48">
        <f>IF('Resultado da inspeção'!S82='Resultado da inspeção'!$W$4,0%,Ranking!O$5)</f>
        <v>0.02</v>
      </c>
      <c r="P82" s="47">
        <f t="shared" si="19"/>
        <v>1</v>
      </c>
      <c r="Q82" s="49">
        <f t="shared" si="34"/>
        <v>0</v>
      </c>
      <c r="R82" s="50">
        <f t="shared" si="20"/>
        <v>0.02</v>
      </c>
      <c r="S82" s="50">
        <f t="shared" si="21"/>
        <v>0.03</v>
      </c>
      <c r="T82" s="50">
        <f t="shared" si="22"/>
        <v>0.03</v>
      </c>
      <c r="U82" s="50">
        <f t="shared" si="23"/>
        <v>0.1</v>
      </c>
      <c r="V82" s="50">
        <f t="shared" si="24"/>
        <v>0.21</v>
      </c>
      <c r="W82" s="50">
        <f t="shared" si="25"/>
        <v>0.05</v>
      </c>
      <c r="X82" s="50">
        <f t="shared" si="26"/>
        <v>0.24</v>
      </c>
      <c r="Y82" s="50">
        <f t="shared" si="27"/>
        <v>0.05</v>
      </c>
      <c r="Z82" s="50">
        <f t="shared" si="28"/>
        <v>0.04</v>
      </c>
      <c r="AA82" s="50">
        <f t="shared" si="29"/>
        <v>0.06</v>
      </c>
      <c r="AB82" s="50">
        <f t="shared" si="30"/>
        <v>0.08</v>
      </c>
      <c r="AC82" s="50">
        <f t="shared" si="31"/>
        <v>0.05</v>
      </c>
      <c r="AD82" s="50">
        <f t="shared" si="32"/>
        <v>0.02</v>
      </c>
      <c r="AE82" s="50">
        <f t="shared" si="33"/>
        <v>0.02</v>
      </c>
      <c r="AF82" s="47">
        <f t="shared" si="35"/>
        <v>1</v>
      </c>
      <c r="AG82" s="50">
        <f>IF('Resultado da inspeção'!F82='Resultado da inspeção'!$W$3,0%,Ranking!R82)</f>
        <v>0.02</v>
      </c>
      <c r="AH82" s="50">
        <f>IF('Resultado da inspeção'!G82='Resultado da inspeção'!$W$3,0%,Ranking!S82)</f>
        <v>0.03</v>
      </c>
      <c r="AI82" s="50">
        <f>IF('Resultado da inspeção'!H82='Resultado da inspeção'!$W$3,0%,Ranking!T82)</f>
        <v>0.03</v>
      </c>
      <c r="AJ82" s="50">
        <f>IF('Resultado da inspeção'!I82='Resultado da inspeção'!$W$3,0%,Ranking!U82)</f>
        <v>0.1</v>
      </c>
      <c r="AK82" s="50">
        <f>IF('Resultado da inspeção'!J82='Resultado da inspeção'!$W$3,0%,Ranking!V82)</f>
        <v>0.21</v>
      </c>
      <c r="AL82" s="50">
        <f>IF('Resultado da inspeção'!K82='Resultado da inspeção'!$W$3,0%,Ranking!W82)</f>
        <v>0.05</v>
      </c>
      <c r="AM82" s="50">
        <f>IF('Resultado da inspeção'!L82='Resultado da inspeção'!$W$3,0%,Ranking!X82)</f>
        <v>0.24</v>
      </c>
      <c r="AN82" s="50">
        <f>IF('Resultado da inspeção'!M82='Resultado da inspeção'!$W$3,0%,Ranking!Y82)</f>
        <v>0.05</v>
      </c>
      <c r="AO82" s="50">
        <f>IF('Resultado da inspeção'!N82='Resultado da inspeção'!$W$3,0%,Ranking!Z82)</f>
        <v>0.04</v>
      </c>
      <c r="AP82" s="50">
        <f>IF('Resultado da inspeção'!O82='Resultado da inspeção'!$W$3,0%,Ranking!AA82)</f>
        <v>0.06</v>
      </c>
      <c r="AQ82" s="50">
        <f>IF('Resultado da inspeção'!P82='Resultado da inspeção'!$W$3,0%,Ranking!AB82)</f>
        <v>0.08</v>
      </c>
      <c r="AR82" s="50">
        <f>IF('Resultado da inspeção'!Q82='Resultado da inspeção'!$W$3,0%,Ranking!AC82)</f>
        <v>0.05</v>
      </c>
      <c r="AS82" s="50">
        <f>IF('Resultado da inspeção'!R82='Resultado da inspeção'!$W$3,0%,Ranking!AD82)</f>
        <v>0.02</v>
      </c>
      <c r="AT82" s="50">
        <f>IF('Resultado da inspeção'!S82='Resultado da inspeção'!$W$3,0%,Ranking!AE82)</f>
        <v>0.02</v>
      </c>
      <c r="AU82" s="49">
        <f t="shared" si="36"/>
        <v>1</v>
      </c>
    </row>
    <row r="83" spans="2:47" x14ac:dyDescent="0.25">
      <c r="B83" s="48">
        <f>IF('Resultado da inspeção'!F83='Resultado da inspeção'!$W$4,0%,Ranking!B$5)</f>
        <v>0.02</v>
      </c>
      <c r="C83" s="48">
        <f>IF('Resultado da inspeção'!G83='Resultado da inspeção'!$W$4,0%,Ranking!C$5)</f>
        <v>0.03</v>
      </c>
      <c r="D83" s="48">
        <f>IF('Resultado da inspeção'!H83='Resultado da inspeção'!$W$4,0%,Ranking!D$5)</f>
        <v>0.03</v>
      </c>
      <c r="E83" s="48">
        <f>IF('Resultado da inspeção'!I83='Resultado da inspeção'!$W$4,0%,Ranking!E$5)</f>
        <v>0.1</v>
      </c>
      <c r="F83" s="48">
        <f>IF('Resultado da inspeção'!J83='Resultado da inspeção'!$W$4,0%,Ranking!F$5)</f>
        <v>0.21</v>
      </c>
      <c r="G83" s="48">
        <f>IF('Resultado da inspeção'!K83='Resultado da inspeção'!$W$4,0%,Ranking!G$5)</f>
        <v>0.05</v>
      </c>
      <c r="H83" s="48">
        <f>IF('Resultado da inspeção'!L83='Resultado da inspeção'!$W$4,0%,Ranking!H$5)</f>
        <v>0.24</v>
      </c>
      <c r="I83" s="48">
        <f>IF('Resultado da inspeção'!M83='Resultado da inspeção'!$W$4,0%,Ranking!I$5)</f>
        <v>0.05</v>
      </c>
      <c r="J83" s="48">
        <f>IF('Resultado da inspeção'!N83='Resultado da inspeção'!$W$4,0%,Ranking!J$5)</f>
        <v>0.04</v>
      </c>
      <c r="K83" s="48">
        <f>IF('Resultado da inspeção'!O83='Resultado da inspeção'!$W$4,0%,Ranking!K$5)</f>
        <v>0.06</v>
      </c>
      <c r="L83" s="48">
        <f>IF('Resultado da inspeção'!P83='Resultado da inspeção'!$W$4,0%,Ranking!L$5)</f>
        <v>0.08</v>
      </c>
      <c r="M83" s="48">
        <f>IF('Resultado da inspeção'!Q83='Resultado da inspeção'!$W$4,0%,Ranking!M$5)</f>
        <v>0.05</v>
      </c>
      <c r="N83" s="48">
        <f>IF('Resultado da inspeção'!R83='Resultado da inspeção'!$W$4,0%,Ranking!N$5)</f>
        <v>0.02</v>
      </c>
      <c r="O83" s="48">
        <f>IF('Resultado da inspeção'!S83='Resultado da inspeção'!$W$4,0%,Ranking!O$5)</f>
        <v>0.02</v>
      </c>
      <c r="P83" s="47">
        <f t="shared" si="19"/>
        <v>1</v>
      </c>
      <c r="Q83" s="49">
        <f t="shared" si="34"/>
        <v>0</v>
      </c>
      <c r="R83" s="50">
        <f t="shared" si="20"/>
        <v>0.02</v>
      </c>
      <c r="S83" s="50">
        <f t="shared" si="21"/>
        <v>0.03</v>
      </c>
      <c r="T83" s="50">
        <f t="shared" si="22"/>
        <v>0.03</v>
      </c>
      <c r="U83" s="50">
        <f t="shared" si="23"/>
        <v>0.1</v>
      </c>
      <c r="V83" s="50">
        <f t="shared" si="24"/>
        <v>0.21</v>
      </c>
      <c r="W83" s="50">
        <f t="shared" si="25"/>
        <v>0.05</v>
      </c>
      <c r="X83" s="50">
        <f t="shared" si="26"/>
        <v>0.24</v>
      </c>
      <c r="Y83" s="50">
        <f t="shared" si="27"/>
        <v>0.05</v>
      </c>
      <c r="Z83" s="50">
        <f t="shared" si="28"/>
        <v>0.04</v>
      </c>
      <c r="AA83" s="50">
        <f t="shared" si="29"/>
        <v>0.06</v>
      </c>
      <c r="AB83" s="50">
        <f t="shared" si="30"/>
        <v>0.08</v>
      </c>
      <c r="AC83" s="50">
        <f t="shared" si="31"/>
        <v>0.05</v>
      </c>
      <c r="AD83" s="50">
        <f t="shared" si="32"/>
        <v>0.02</v>
      </c>
      <c r="AE83" s="50">
        <f t="shared" si="33"/>
        <v>0.02</v>
      </c>
      <c r="AF83" s="47">
        <f t="shared" si="35"/>
        <v>1</v>
      </c>
      <c r="AG83" s="50">
        <f>IF('Resultado da inspeção'!F83='Resultado da inspeção'!$W$3,0%,Ranking!R83)</f>
        <v>0.02</v>
      </c>
      <c r="AH83" s="50">
        <f>IF('Resultado da inspeção'!G83='Resultado da inspeção'!$W$3,0%,Ranking!S83)</f>
        <v>0.03</v>
      </c>
      <c r="AI83" s="50">
        <f>IF('Resultado da inspeção'!H83='Resultado da inspeção'!$W$3,0%,Ranking!T83)</f>
        <v>0.03</v>
      </c>
      <c r="AJ83" s="50">
        <f>IF('Resultado da inspeção'!I83='Resultado da inspeção'!$W$3,0%,Ranking!U83)</f>
        <v>0.1</v>
      </c>
      <c r="AK83" s="50">
        <f>IF('Resultado da inspeção'!J83='Resultado da inspeção'!$W$3,0%,Ranking!V83)</f>
        <v>0.21</v>
      </c>
      <c r="AL83" s="50">
        <f>IF('Resultado da inspeção'!K83='Resultado da inspeção'!$W$3,0%,Ranking!W83)</f>
        <v>0.05</v>
      </c>
      <c r="AM83" s="50">
        <f>IF('Resultado da inspeção'!L83='Resultado da inspeção'!$W$3,0%,Ranking!X83)</f>
        <v>0.24</v>
      </c>
      <c r="AN83" s="50">
        <f>IF('Resultado da inspeção'!M83='Resultado da inspeção'!$W$3,0%,Ranking!Y83)</f>
        <v>0.05</v>
      </c>
      <c r="AO83" s="50">
        <f>IF('Resultado da inspeção'!N83='Resultado da inspeção'!$W$3,0%,Ranking!Z83)</f>
        <v>0.04</v>
      </c>
      <c r="AP83" s="50">
        <f>IF('Resultado da inspeção'!O83='Resultado da inspeção'!$W$3,0%,Ranking!AA83)</f>
        <v>0.06</v>
      </c>
      <c r="AQ83" s="50">
        <f>IF('Resultado da inspeção'!P83='Resultado da inspeção'!$W$3,0%,Ranking!AB83)</f>
        <v>0.08</v>
      </c>
      <c r="AR83" s="50">
        <f>IF('Resultado da inspeção'!Q83='Resultado da inspeção'!$W$3,0%,Ranking!AC83)</f>
        <v>0.05</v>
      </c>
      <c r="AS83" s="50">
        <f>IF('Resultado da inspeção'!R83='Resultado da inspeção'!$W$3,0%,Ranking!AD83)</f>
        <v>0.02</v>
      </c>
      <c r="AT83" s="50">
        <f>IF('Resultado da inspeção'!S83='Resultado da inspeção'!$W$3,0%,Ranking!AE83)</f>
        <v>0.02</v>
      </c>
      <c r="AU83" s="49">
        <f t="shared" si="36"/>
        <v>1</v>
      </c>
    </row>
    <row r="84" spans="2:47" x14ac:dyDescent="0.25">
      <c r="B84" s="48">
        <f>IF('Resultado da inspeção'!F84='Resultado da inspeção'!$W$4,0%,Ranking!B$5)</f>
        <v>0.02</v>
      </c>
      <c r="C84" s="48">
        <f>IF('Resultado da inspeção'!G84='Resultado da inspeção'!$W$4,0%,Ranking!C$5)</f>
        <v>0.03</v>
      </c>
      <c r="D84" s="48">
        <f>IF('Resultado da inspeção'!H84='Resultado da inspeção'!$W$4,0%,Ranking!D$5)</f>
        <v>0.03</v>
      </c>
      <c r="E84" s="48">
        <f>IF('Resultado da inspeção'!I84='Resultado da inspeção'!$W$4,0%,Ranking!E$5)</f>
        <v>0.1</v>
      </c>
      <c r="F84" s="48">
        <f>IF('Resultado da inspeção'!J84='Resultado da inspeção'!$W$4,0%,Ranking!F$5)</f>
        <v>0.21</v>
      </c>
      <c r="G84" s="48">
        <f>IF('Resultado da inspeção'!K84='Resultado da inspeção'!$W$4,0%,Ranking!G$5)</f>
        <v>0.05</v>
      </c>
      <c r="H84" s="48">
        <f>IF('Resultado da inspeção'!L84='Resultado da inspeção'!$W$4,0%,Ranking!H$5)</f>
        <v>0.24</v>
      </c>
      <c r="I84" s="48">
        <f>IF('Resultado da inspeção'!M84='Resultado da inspeção'!$W$4,0%,Ranking!I$5)</f>
        <v>0.05</v>
      </c>
      <c r="J84" s="48">
        <f>IF('Resultado da inspeção'!N84='Resultado da inspeção'!$W$4,0%,Ranking!J$5)</f>
        <v>0.04</v>
      </c>
      <c r="K84" s="48">
        <f>IF('Resultado da inspeção'!O84='Resultado da inspeção'!$W$4,0%,Ranking!K$5)</f>
        <v>0.06</v>
      </c>
      <c r="L84" s="48">
        <f>IF('Resultado da inspeção'!P84='Resultado da inspeção'!$W$4,0%,Ranking!L$5)</f>
        <v>0.08</v>
      </c>
      <c r="M84" s="48">
        <f>IF('Resultado da inspeção'!Q84='Resultado da inspeção'!$W$4,0%,Ranking!M$5)</f>
        <v>0.05</v>
      </c>
      <c r="N84" s="48">
        <f>IF('Resultado da inspeção'!R84='Resultado da inspeção'!$W$4,0%,Ranking!N$5)</f>
        <v>0.02</v>
      </c>
      <c r="O84" s="48">
        <f>IF('Resultado da inspeção'!S84='Resultado da inspeção'!$W$4,0%,Ranking!O$5)</f>
        <v>0.02</v>
      </c>
      <c r="P84" s="47">
        <f t="shared" si="19"/>
        <v>1</v>
      </c>
      <c r="Q84" s="49">
        <f t="shared" si="34"/>
        <v>0</v>
      </c>
      <c r="R84" s="50">
        <f t="shared" si="20"/>
        <v>0.02</v>
      </c>
      <c r="S84" s="50">
        <f t="shared" si="21"/>
        <v>0.03</v>
      </c>
      <c r="T84" s="50">
        <f t="shared" si="22"/>
        <v>0.03</v>
      </c>
      <c r="U84" s="50">
        <f t="shared" si="23"/>
        <v>0.1</v>
      </c>
      <c r="V84" s="50">
        <f t="shared" si="24"/>
        <v>0.21</v>
      </c>
      <c r="W84" s="50">
        <f t="shared" si="25"/>
        <v>0.05</v>
      </c>
      <c r="X84" s="50">
        <f t="shared" si="26"/>
        <v>0.24</v>
      </c>
      <c r="Y84" s="50">
        <f t="shared" si="27"/>
        <v>0.05</v>
      </c>
      <c r="Z84" s="50">
        <f t="shared" si="28"/>
        <v>0.04</v>
      </c>
      <c r="AA84" s="50">
        <f t="shared" si="29"/>
        <v>0.06</v>
      </c>
      <c r="AB84" s="50">
        <f t="shared" si="30"/>
        <v>0.08</v>
      </c>
      <c r="AC84" s="50">
        <f t="shared" si="31"/>
        <v>0.05</v>
      </c>
      <c r="AD84" s="50">
        <f t="shared" si="32"/>
        <v>0.02</v>
      </c>
      <c r="AE84" s="50">
        <f t="shared" si="33"/>
        <v>0.02</v>
      </c>
      <c r="AF84" s="47">
        <f t="shared" si="35"/>
        <v>1</v>
      </c>
      <c r="AG84" s="50">
        <f>IF('Resultado da inspeção'!F84='Resultado da inspeção'!$W$3,0%,Ranking!R84)</f>
        <v>0.02</v>
      </c>
      <c r="AH84" s="50">
        <f>IF('Resultado da inspeção'!G84='Resultado da inspeção'!$W$3,0%,Ranking!S84)</f>
        <v>0.03</v>
      </c>
      <c r="AI84" s="50">
        <f>IF('Resultado da inspeção'!H84='Resultado da inspeção'!$W$3,0%,Ranking!T84)</f>
        <v>0.03</v>
      </c>
      <c r="AJ84" s="50">
        <f>IF('Resultado da inspeção'!I84='Resultado da inspeção'!$W$3,0%,Ranking!U84)</f>
        <v>0.1</v>
      </c>
      <c r="AK84" s="50">
        <f>IF('Resultado da inspeção'!J84='Resultado da inspeção'!$W$3,0%,Ranking!V84)</f>
        <v>0.21</v>
      </c>
      <c r="AL84" s="50">
        <f>IF('Resultado da inspeção'!K84='Resultado da inspeção'!$W$3,0%,Ranking!W84)</f>
        <v>0.05</v>
      </c>
      <c r="AM84" s="50">
        <f>IF('Resultado da inspeção'!L84='Resultado da inspeção'!$W$3,0%,Ranking!X84)</f>
        <v>0.24</v>
      </c>
      <c r="AN84" s="50">
        <f>IF('Resultado da inspeção'!M84='Resultado da inspeção'!$W$3,0%,Ranking!Y84)</f>
        <v>0.05</v>
      </c>
      <c r="AO84" s="50">
        <f>IF('Resultado da inspeção'!N84='Resultado da inspeção'!$W$3,0%,Ranking!Z84)</f>
        <v>0.04</v>
      </c>
      <c r="AP84" s="50">
        <f>IF('Resultado da inspeção'!O84='Resultado da inspeção'!$W$3,0%,Ranking!AA84)</f>
        <v>0.06</v>
      </c>
      <c r="AQ84" s="50">
        <f>IF('Resultado da inspeção'!P84='Resultado da inspeção'!$W$3,0%,Ranking!AB84)</f>
        <v>0.08</v>
      </c>
      <c r="AR84" s="50">
        <f>IF('Resultado da inspeção'!Q84='Resultado da inspeção'!$W$3,0%,Ranking!AC84)</f>
        <v>0.05</v>
      </c>
      <c r="AS84" s="50">
        <f>IF('Resultado da inspeção'!R84='Resultado da inspeção'!$W$3,0%,Ranking!AD84)</f>
        <v>0.02</v>
      </c>
      <c r="AT84" s="50">
        <f>IF('Resultado da inspeção'!S84='Resultado da inspeção'!$W$3,0%,Ranking!AE84)</f>
        <v>0.02</v>
      </c>
      <c r="AU84" s="49">
        <f t="shared" si="36"/>
        <v>1</v>
      </c>
    </row>
    <row r="85" spans="2:47" x14ac:dyDescent="0.25">
      <c r="B85" s="48">
        <f>IF('Resultado da inspeção'!F85='Resultado da inspeção'!$W$4,0%,Ranking!B$5)</f>
        <v>0.02</v>
      </c>
      <c r="C85" s="48">
        <f>IF('Resultado da inspeção'!G85='Resultado da inspeção'!$W$4,0%,Ranking!C$5)</f>
        <v>0.03</v>
      </c>
      <c r="D85" s="48">
        <f>IF('Resultado da inspeção'!H85='Resultado da inspeção'!$W$4,0%,Ranking!D$5)</f>
        <v>0.03</v>
      </c>
      <c r="E85" s="48">
        <f>IF('Resultado da inspeção'!I85='Resultado da inspeção'!$W$4,0%,Ranking!E$5)</f>
        <v>0.1</v>
      </c>
      <c r="F85" s="48">
        <f>IF('Resultado da inspeção'!J85='Resultado da inspeção'!$W$4,0%,Ranking!F$5)</f>
        <v>0.21</v>
      </c>
      <c r="G85" s="48">
        <f>IF('Resultado da inspeção'!K85='Resultado da inspeção'!$W$4,0%,Ranking!G$5)</f>
        <v>0.05</v>
      </c>
      <c r="H85" s="48">
        <f>IF('Resultado da inspeção'!L85='Resultado da inspeção'!$W$4,0%,Ranking!H$5)</f>
        <v>0.24</v>
      </c>
      <c r="I85" s="48">
        <f>IF('Resultado da inspeção'!M85='Resultado da inspeção'!$W$4,0%,Ranking!I$5)</f>
        <v>0.05</v>
      </c>
      <c r="J85" s="48">
        <f>IF('Resultado da inspeção'!N85='Resultado da inspeção'!$W$4,0%,Ranking!J$5)</f>
        <v>0.04</v>
      </c>
      <c r="K85" s="48">
        <f>IF('Resultado da inspeção'!O85='Resultado da inspeção'!$W$4,0%,Ranking!K$5)</f>
        <v>0.06</v>
      </c>
      <c r="L85" s="48">
        <f>IF('Resultado da inspeção'!P85='Resultado da inspeção'!$W$4,0%,Ranking!L$5)</f>
        <v>0.08</v>
      </c>
      <c r="M85" s="48">
        <f>IF('Resultado da inspeção'!Q85='Resultado da inspeção'!$W$4,0%,Ranking!M$5)</f>
        <v>0.05</v>
      </c>
      <c r="N85" s="48">
        <f>IF('Resultado da inspeção'!R85='Resultado da inspeção'!$W$4,0%,Ranking!N$5)</f>
        <v>0.02</v>
      </c>
      <c r="O85" s="48">
        <f>IF('Resultado da inspeção'!S85='Resultado da inspeção'!$W$4,0%,Ranking!O$5)</f>
        <v>0.02</v>
      </c>
      <c r="P85" s="47">
        <f t="shared" si="19"/>
        <v>1</v>
      </c>
      <c r="Q85" s="49">
        <f t="shared" si="34"/>
        <v>0</v>
      </c>
      <c r="R85" s="50">
        <f t="shared" si="20"/>
        <v>0.02</v>
      </c>
      <c r="S85" s="50">
        <f t="shared" si="21"/>
        <v>0.03</v>
      </c>
      <c r="T85" s="50">
        <f t="shared" si="22"/>
        <v>0.03</v>
      </c>
      <c r="U85" s="50">
        <f t="shared" si="23"/>
        <v>0.1</v>
      </c>
      <c r="V85" s="50">
        <f t="shared" si="24"/>
        <v>0.21</v>
      </c>
      <c r="W85" s="50">
        <f t="shared" si="25"/>
        <v>0.05</v>
      </c>
      <c r="X85" s="50">
        <f t="shared" si="26"/>
        <v>0.24</v>
      </c>
      <c r="Y85" s="50">
        <f t="shared" si="27"/>
        <v>0.05</v>
      </c>
      <c r="Z85" s="50">
        <f t="shared" si="28"/>
        <v>0.04</v>
      </c>
      <c r="AA85" s="50">
        <f t="shared" si="29"/>
        <v>0.06</v>
      </c>
      <c r="AB85" s="50">
        <f t="shared" si="30"/>
        <v>0.08</v>
      </c>
      <c r="AC85" s="50">
        <f t="shared" si="31"/>
        <v>0.05</v>
      </c>
      <c r="AD85" s="50">
        <f t="shared" si="32"/>
        <v>0.02</v>
      </c>
      <c r="AE85" s="50">
        <f t="shared" si="33"/>
        <v>0.02</v>
      </c>
      <c r="AF85" s="47">
        <f t="shared" si="35"/>
        <v>1</v>
      </c>
      <c r="AG85" s="50">
        <f>IF('Resultado da inspeção'!F85='Resultado da inspeção'!$W$3,0%,Ranking!R85)</f>
        <v>0.02</v>
      </c>
      <c r="AH85" s="50">
        <f>IF('Resultado da inspeção'!G85='Resultado da inspeção'!$W$3,0%,Ranking!S85)</f>
        <v>0.03</v>
      </c>
      <c r="AI85" s="50">
        <f>IF('Resultado da inspeção'!H85='Resultado da inspeção'!$W$3,0%,Ranking!T85)</f>
        <v>0.03</v>
      </c>
      <c r="AJ85" s="50">
        <f>IF('Resultado da inspeção'!I85='Resultado da inspeção'!$W$3,0%,Ranking!U85)</f>
        <v>0.1</v>
      </c>
      <c r="AK85" s="50">
        <f>IF('Resultado da inspeção'!J85='Resultado da inspeção'!$W$3,0%,Ranking!V85)</f>
        <v>0.21</v>
      </c>
      <c r="AL85" s="50">
        <f>IF('Resultado da inspeção'!K85='Resultado da inspeção'!$W$3,0%,Ranking!W85)</f>
        <v>0.05</v>
      </c>
      <c r="AM85" s="50">
        <f>IF('Resultado da inspeção'!L85='Resultado da inspeção'!$W$3,0%,Ranking!X85)</f>
        <v>0.24</v>
      </c>
      <c r="AN85" s="50">
        <f>IF('Resultado da inspeção'!M85='Resultado da inspeção'!$W$3,0%,Ranking!Y85)</f>
        <v>0.05</v>
      </c>
      <c r="AO85" s="50">
        <f>IF('Resultado da inspeção'!N85='Resultado da inspeção'!$W$3,0%,Ranking!Z85)</f>
        <v>0.04</v>
      </c>
      <c r="AP85" s="50">
        <f>IF('Resultado da inspeção'!O85='Resultado da inspeção'!$W$3,0%,Ranking!AA85)</f>
        <v>0.06</v>
      </c>
      <c r="AQ85" s="50">
        <f>IF('Resultado da inspeção'!P85='Resultado da inspeção'!$W$3,0%,Ranking!AB85)</f>
        <v>0.08</v>
      </c>
      <c r="AR85" s="50">
        <f>IF('Resultado da inspeção'!Q85='Resultado da inspeção'!$W$3,0%,Ranking!AC85)</f>
        <v>0.05</v>
      </c>
      <c r="AS85" s="50">
        <f>IF('Resultado da inspeção'!R85='Resultado da inspeção'!$W$3,0%,Ranking!AD85)</f>
        <v>0.02</v>
      </c>
      <c r="AT85" s="50">
        <f>IF('Resultado da inspeção'!S85='Resultado da inspeção'!$W$3,0%,Ranking!AE85)</f>
        <v>0.02</v>
      </c>
      <c r="AU85" s="49">
        <f t="shared" si="36"/>
        <v>1</v>
      </c>
    </row>
    <row r="86" spans="2:47" x14ac:dyDescent="0.25">
      <c r="B86" s="48">
        <f>IF('Resultado da inspeção'!F86='Resultado da inspeção'!$W$4,0%,Ranking!B$5)</f>
        <v>0.02</v>
      </c>
      <c r="C86" s="48">
        <f>IF('Resultado da inspeção'!G86='Resultado da inspeção'!$W$4,0%,Ranking!C$5)</f>
        <v>0.03</v>
      </c>
      <c r="D86" s="48">
        <f>IF('Resultado da inspeção'!H86='Resultado da inspeção'!$W$4,0%,Ranking!D$5)</f>
        <v>0.03</v>
      </c>
      <c r="E86" s="48">
        <f>IF('Resultado da inspeção'!I86='Resultado da inspeção'!$W$4,0%,Ranking!E$5)</f>
        <v>0.1</v>
      </c>
      <c r="F86" s="48">
        <f>IF('Resultado da inspeção'!J86='Resultado da inspeção'!$W$4,0%,Ranking!F$5)</f>
        <v>0.21</v>
      </c>
      <c r="G86" s="48">
        <f>IF('Resultado da inspeção'!K86='Resultado da inspeção'!$W$4,0%,Ranking!G$5)</f>
        <v>0.05</v>
      </c>
      <c r="H86" s="48">
        <f>IF('Resultado da inspeção'!L86='Resultado da inspeção'!$W$4,0%,Ranking!H$5)</f>
        <v>0.24</v>
      </c>
      <c r="I86" s="48">
        <f>IF('Resultado da inspeção'!M86='Resultado da inspeção'!$W$4,0%,Ranking!I$5)</f>
        <v>0.05</v>
      </c>
      <c r="J86" s="48">
        <f>IF('Resultado da inspeção'!N86='Resultado da inspeção'!$W$4,0%,Ranking!J$5)</f>
        <v>0.04</v>
      </c>
      <c r="K86" s="48">
        <f>IF('Resultado da inspeção'!O86='Resultado da inspeção'!$W$4,0%,Ranking!K$5)</f>
        <v>0.06</v>
      </c>
      <c r="L86" s="48">
        <f>IF('Resultado da inspeção'!P86='Resultado da inspeção'!$W$4,0%,Ranking!L$5)</f>
        <v>0.08</v>
      </c>
      <c r="M86" s="48">
        <f>IF('Resultado da inspeção'!Q86='Resultado da inspeção'!$W$4,0%,Ranking!M$5)</f>
        <v>0.05</v>
      </c>
      <c r="N86" s="48">
        <f>IF('Resultado da inspeção'!R86='Resultado da inspeção'!$W$4,0%,Ranking!N$5)</f>
        <v>0.02</v>
      </c>
      <c r="O86" s="48">
        <f>IF('Resultado da inspeção'!S86='Resultado da inspeção'!$W$4,0%,Ranking!O$5)</f>
        <v>0.02</v>
      </c>
      <c r="P86" s="47">
        <f t="shared" si="19"/>
        <v>1</v>
      </c>
      <c r="Q86" s="49">
        <f t="shared" si="34"/>
        <v>0</v>
      </c>
      <c r="R86" s="50">
        <f t="shared" si="20"/>
        <v>0.02</v>
      </c>
      <c r="S86" s="50">
        <f t="shared" si="21"/>
        <v>0.03</v>
      </c>
      <c r="T86" s="50">
        <f t="shared" si="22"/>
        <v>0.03</v>
      </c>
      <c r="U86" s="50">
        <f t="shared" si="23"/>
        <v>0.1</v>
      </c>
      <c r="V86" s="50">
        <f t="shared" si="24"/>
        <v>0.21</v>
      </c>
      <c r="W86" s="50">
        <f t="shared" si="25"/>
        <v>0.05</v>
      </c>
      <c r="X86" s="50">
        <f t="shared" si="26"/>
        <v>0.24</v>
      </c>
      <c r="Y86" s="50">
        <f t="shared" si="27"/>
        <v>0.05</v>
      </c>
      <c r="Z86" s="50">
        <f t="shared" si="28"/>
        <v>0.04</v>
      </c>
      <c r="AA86" s="50">
        <f t="shared" si="29"/>
        <v>0.06</v>
      </c>
      <c r="AB86" s="50">
        <f t="shared" si="30"/>
        <v>0.08</v>
      </c>
      <c r="AC86" s="50">
        <f t="shared" si="31"/>
        <v>0.05</v>
      </c>
      <c r="AD86" s="50">
        <f t="shared" si="32"/>
        <v>0.02</v>
      </c>
      <c r="AE86" s="50">
        <f t="shared" si="33"/>
        <v>0.02</v>
      </c>
      <c r="AF86" s="47">
        <f t="shared" si="35"/>
        <v>1</v>
      </c>
      <c r="AG86" s="50">
        <f>IF('Resultado da inspeção'!F86='Resultado da inspeção'!$W$3,0%,Ranking!R86)</f>
        <v>0.02</v>
      </c>
      <c r="AH86" s="50">
        <f>IF('Resultado da inspeção'!G86='Resultado da inspeção'!$W$3,0%,Ranking!S86)</f>
        <v>0.03</v>
      </c>
      <c r="AI86" s="50">
        <f>IF('Resultado da inspeção'!H86='Resultado da inspeção'!$W$3,0%,Ranking!T86)</f>
        <v>0.03</v>
      </c>
      <c r="AJ86" s="50">
        <f>IF('Resultado da inspeção'!I86='Resultado da inspeção'!$W$3,0%,Ranking!U86)</f>
        <v>0.1</v>
      </c>
      <c r="AK86" s="50">
        <f>IF('Resultado da inspeção'!J86='Resultado da inspeção'!$W$3,0%,Ranking!V86)</f>
        <v>0.21</v>
      </c>
      <c r="AL86" s="50">
        <f>IF('Resultado da inspeção'!K86='Resultado da inspeção'!$W$3,0%,Ranking!W86)</f>
        <v>0.05</v>
      </c>
      <c r="AM86" s="50">
        <f>IF('Resultado da inspeção'!L86='Resultado da inspeção'!$W$3,0%,Ranking!X86)</f>
        <v>0.24</v>
      </c>
      <c r="AN86" s="50">
        <f>IF('Resultado da inspeção'!M86='Resultado da inspeção'!$W$3,0%,Ranking!Y86)</f>
        <v>0.05</v>
      </c>
      <c r="AO86" s="50">
        <f>IF('Resultado da inspeção'!N86='Resultado da inspeção'!$W$3,0%,Ranking!Z86)</f>
        <v>0.04</v>
      </c>
      <c r="AP86" s="50">
        <f>IF('Resultado da inspeção'!O86='Resultado da inspeção'!$W$3,0%,Ranking!AA86)</f>
        <v>0.06</v>
      </c>
      <c r="AQ86" s="50">
        <f>IF('Resultado da inspeção'!P86='Resultado da inspeção'!$W$3,0%,Ranking!AB86)</f>
        <v>0.08</v>
      </c>
      <c r="AR86" s="50">
        <f>IF('Resultado da inspeção'!Q86='Resultado da inspeção'!$W$3,0%,Ranking!AC86)</f>
        <v>0.05</v>
      </c>
      <c r="AS86" s="50">
        <f>IF('Resultado da inspeção'!R86='Resultado da inspeção'!$W$3,0%,Ranking!AD86)</f>
        <v>0.02</v>
      </c>
      <c r="AT86" s="50">
        <f>IF('Resultado da inspeção'!S86='Resultado da inspeção'!$W$3,0%,Ranking!AE86)</f>
        <v>0.02</v>
      </c>
      <c r="AU86" s="49">
        <f t="shared" si="36"/>
        <v>1</v>
      </c>
    </row>
    <row r="87" spans="2:47" x14ac:dyDescent="0.25">
      <c r="B87" s="48">
        <f>IF('Resultado da inspeção'!F87='Resultado da inspeção'!$W$4,0%,Ranking!B$5)</f>
        <v>0.02</v>
      </c>
      <c r="C87" s="48">
        <f>IF('Resultado da inspeção'!G87='Resultado da inspeção'!$W$4,0%,Ranking!C$5)</f>
        <v>0.03</v>
      </c>
      <c r="D87" s="48">
        <f>IF('Resultado da inspeção'!H87='Resultado da inspeção'!$W$4,0%,Ranking!D$5)</f>
        <v>0.03</v>
      </c>
      <c r="E87" s="48">
        <f>IF('Resultado da inspeção'!I87='Resultado da inspeção'!$W$4,0%,Ranking!E$5)</f>
        <v>0.1</v>
      </c>
      <c r="F87" s="48">
        <f>IF('Resultado da inspeção'!J87='Resultado da inspeção'!$W$4,0%,Ranking!F$5)</f>
        <v>0.21</v>
      </c>
      <c r="G87" s="48">
        <f>IF('Resultado da inspeção'!K87='Resultado da inspeção'!$W$4,0%,Ranking!G$5)</f>
        <v>0.05</v>
      </c>
      <c r="H87" s="48">
        <f>IF('Resultado da inspeção'!L87='Resultado da inspeção'!$W$4,0%,Ranking!H$5)</f>
        <v>0.24</v>
      </c>
      <c r="I87" s="48">
        <f>IF('Resultado da inspeção'!M87='Resultado da inspeção'!$W$4,0%,Ranking!I$5)</f>
        <v>0.05</v>
      </c>
      <c r="J87" s="48">
        <f>IF('Resultado da inspeção'!N87='Resultado da inspeção'!$W$4,0%,Ranking!J$5)</f>
        <v>0.04</v>
      </c>
      <c r="K87" s="48">
        <f>IF('Resultado da inspeção'!O87='Resultado da inspeção'!$W$4,0%,Ranking!K$5)</f>
        <v>0.06</v>
      </c>
      <c r="L87" s="48">
        <f>IF('Resultado da inspeção'!P87='Resultado da inspeção'!$W$4,0%,Ranking!L$5)</f>
        <v>0.08</v>
      </c>
      <c r="M87" s="48">
        <f>IF('Resultado da inspeção'!Q87='Resultado da inspeção'!$W$4,0%,Ranking!M$5)</f>
        <v>0.05</v>
      </c>
      <c r="N87" s="48">
        <f>IF('Resultado da inspeção'!R87='Resultado da inspeção'!$W$4,0%,Ranking!N$5)</f>
        <v>0.02</v>
      </c>
      <c r="O87" s="48">
        <f>IF('Resultado da inspeção'!S87='Resultado da inspeção'!$W$4,0%,Ranking!O$5)</f>
        <v>0.02</v>
      </c>
      <c r="P87" s="47">
        <f t="shared" si="19"/>
        <v>1</v>
      </c>
      <c r="Q87" s="49">
        <f t="shared" si="34"/>
        <v>0</v>
      </c>
      <c r="R87" s="50">
        <f t="shared" si="20"/>
        <v>0.02</v>
      </c>
      <c r="S87" s="50">
        <f t="shared" si="21"/>
        <v>0.03</v>
      </c>
      <c r="T87" s="50">
        <f t="shared" si="22"/>
        <v>0.03</v>
      </c>
      <c r="U87" s="50">
        <f t="shared" si="23"/>
        <v>0.1</v>
      </c>
      <c r="V87" s="50">
        <f t="shared" si="24"/>
        <v>0.21</v>
      </c>
      <c r="W87" s="50">
        <f t="shared" si="25"/>
        <v>0.05</v>
      </c>
      <c r="X87" s="50">
        <f t="shared" si="26"/>
        <v>0.24</v>
      </c>
      <c r="Y87" s="50">
        <f t="shared" si="27"/>
        <v>0.05</v>
      </c>
      <c r="Z87" s="50">
        <f t="shared" si="28"/>
        <v>0.04</v>
      </c>
      <c r="AA87" s="50">
        <f t="shared" si="29"/>
        <v>0.06</v>
      </c>
      <c r="AB87" s="50">
        <f t="shared" si="30"/>
        <v>0.08</v>
      </c>
      <c r="AC87" s="50">
        <f t="shared" si="31"/>
        <v>0.05</v>
      </c>
      <c r="AD87" s="50">
        <f t="shared" si="32"/>
        <v>0.02</v>
      </c>
      <c r="AE87" s="50">
        <f t="shared" si="33"/>
        <v>0.02</v>
      </c>
      <c r="AF87" s="47">
        <f t="shared" si="35"/>
        <v>1</v>
      </c>
      <c r="AG87" s="50">
        <f>IF('Resultado da inspeção'!F87='Resultado da inspeção'!$W$3,0%,Ranking!R87)</f>
        <v>0.02</v>
      </c>
      <c r="AH87" s="50">
        <f>IF('Resultado da inspeção'!G87='Resultado da inspeção'!$W$3,0%,Ranking!S87)</f>
        <v>0.03</v>
      </c>
      <c r="AI87" s="50">
        <f>IF('Resultado da inspeção'!H87='Resultado da inspeção'!$W$3,0%,Ranking!T87)</f>
        <v>0.03</v>
      </c>
      <c r="AJ87" s="50">
        <f>IF('Resultado da inspeção'!I87='Resultado da inspeção'!$W$3,0%,Ranking!U87)</f>
        <v>0.1</v>
      </c>
      <c r="AK87" s="50">
        <f>IF('Resultado da inspeção'!J87='Resultado da inspeção'!$W$3,0%,Ranking!V87)</f>
        <v>0.21</v>
      </c>
      <c r="AL87" s="50">
        <f>IF('Resultado da inspeção'!K87='Resultado da inspeção'!$W$3,0%,Ranking!W87)</f>
        <v>0.05</v>
      </c>
      <c r="AM87" s="50">
        <f>IF('Resultado da inspeção'!L87='Resultado da inspeção'!$W$3,0%,Ranking!X87)</f>
        <v>0.24</v>
      </c>
      <c r="AN87" s="50">
        <f>IF('Resultado da inspeção'!M87='Resultado da inspeção'!$W$3,0%,Ranking!Y87)</f>
        <v>0.05</v>
      </c>
      <c r="AO87" s="50">
        <f>IF('Resultado da inspeção'!N87='Resultado da inspeção'!$W$3,0%,Ranking!Z87)</f>
        <v>0.04</v>
      </c>
      <c r="AP87" s="50">
        <f>IF('Resultado da inspeção'!O87='Resultado da inspeção'!$W$3,0%,Ranking!AA87)</f>
        <v>0.06</v>
      </c>
      <c r="AQ87" s="50">
        <f>IF('Resultado da inspeção'!P87='Resultado da inspeção'!$W$3,0%,Ranking!AB87)</f>
        <v>0.08</v>
      </c>
      <c r="AR87" s="50">
        <f>IF('Resultado da inspeção'!Q87='Resultado da inspeção'!$W$3,0%,Ranking!AC87)</f>
        <v>0.05</v>
      </c>
      <c r="AS87" s="50">
        <f>IF('Resultado da inspeção'!R87='Resultado da inspeção'!$W$3,0%,Ranking!AD87)</f>
        <v>0.02</v>
      </c>
      <c r="AT87" s="50">
        <f>IF('Resultado da inspeção'!S87='Resultado da inspeção'!$W$3,0%,Ranking!AE87)</f>
        <v>0.02</v>
      </c>
      <c r="AU87" s="49">
        <f t="shared" si="36"/>
        <v>1</v>
      </c>
    </row>
    <row r="88" spans="2:47" x14ac:dyDescent="0.25">
      <c r="B88" s="48">
        <f>IF('Resultado da inspeção'!F88='Resultado da inspeção'!$W$4,0%,Ranking!B$5)</f>
        <v>0.02</v>
      </c>
      <c r="C88" s="48">
        <f>IF('Resultado da inspeção'!G88='Resultado da inspeção'!$W$4,0%,Ranking!C$5)</f>
        <v>0.03</v>
      </c>
      <c r="D88" s="48">
        <f>IF('Resultado da inspeção'!H88='Resultado da inspeção'!$W$4,0%,Ranking!D$5)</f>
        <v>0.03</v>
      </c>
      <c r="E88" s="48">
        <f>IF('Resultado da inspeção'!I88='Resultado da inspeção'!$W$4,0%,Ranking!E$5)</f>
        <v>0.1</v>
      </c>
      <c r="F88" s="48">
        <f>IF('Resultado da inspeção'!J88='Resultado da inspeção'!$W$4,0%,Ranking!F$5)</f>
        <v>0.21</v>
      </c>
      <c r="G88" s="48">
        <f>IF('Resultado da inspeção'!K88='Resultado da inspeção'!$W$4,0%,Ranking!G$5)</f>
        <v>0.05</v>
      </c>
      <c r="H88" s="48">
        <f>IF('Resultado da inspeção'!L88='Resultado da inspeção'!$W$4,0%,Ranking!H$5)</f>
        <v>0.24</v>
      </c>
      <c r="I88" s="48">
        <f>IF('Resultado da inspeção'!M88='Resultado da inspeção'!$W$4,0%,Ranking!I$5)</f>
        <v>0.05</v>
      </c>
      <c r="J88" s="48">
        <f>IF('Resultado da inspeção'!N88='Resultado da inspeção'!$W$4,0%,Ranking!J$5)</f>
        <v>0.04</v>
      </c>
      <c r="K88" s="48">
        <f>IF('Resultado da inspeção'!O88='Resultado da inspeção'!$W$4,0%,Ranking!K$5)</f>
        <v>0.06</v>
      </c>
      <c r="L88" s="48">
        <f>IF('Resultado da inspeção'!P88='Resultado da inspeção'!$W$4,0%,Ranking!L$5)</f>
        <v>0.08</v>
      </c>
      <c r="M88" s="48">
        <f>IF('Resultado da inspeção'!Q88='Resultado da inspeção'!$W$4,0%,Ranking!M$5)</f>
        <v>0.05</v>
      </c>
      <c r="N88" s="48">
        <f>IF('Resultado da inspeção'!R88='Resultado da inspeção'!$W$4,0%,Ranking!N$5)</f>
        <v>0.02</v>
      </c>
      <c r="O88" s="48">
        <f>IF('Resultado da inspeção'!S88='Resultado da inspeção'!$W$4,0%,Ranking!O$5)</f>
        <v>0.02</v>
      </c>
      <c r="P88" s="47">
        <f t="shared" si="19"/>
        <v>1</v>
      </c>
      <c r="Q88" s="49">
        <f t="shared" si="34"/>
        <v>0</v>
      </c>
      <c r="R88" s="50">
        <f t="shared" si="20"/>
        <v>0.02</v>
      </c>
      <c r="S88" s="50">
        <f t="shared" si="21"/>
        <v>0.03</v>
      </c>
      <c r="T88" s="50">
        <f t="shared" si="22"/>
        <v>0.03</v>
      </c>
      <c r="U88" s="50">
        <f t="shared" si="23"/>
        <v>0.1</v>
      </c>
      <c r="V88" s="50">
        <f t="shared" si="24"/>
        <v>0.21</v>
      </c>
      <c r="W88" s="50">
        <f t="shared" si="25"/>
        <v>0.05</v>
      </c>
      <c r="X88" s="50">
        <f t="shared" si="26"/>
        <v>0.24</v>
      </c>
      <c r="Y88" s="50">
        <f t="shared" si="27"/>
        <v>0.05</v>
      </c>
      <c r="Z88" s="50">
        <f t="shared" si="28"/>
        <v>0.04</v>
      </c>
      <c r="AA88" s="50">
        <f t="shared" si="29"/>
        <v>0.06</v>
      </c>
      <c r="AB88" s="50">
        <f t="shared" si="30"/>
        <v>0.08</v>
      </c>
      <c r="AC88" s="50">
        <f t="shared" si="31"/>
        <v>0.05</v>
      </c>
      <c r="AD88" s="50">
        <f t="shared" si="32"/>
        <v>0.02</v>
      </c>
      <c r="AE88" s="50">
        <f t="shared" si="33"/>
        <v>0.02</v>
      </c>
      <c r="AF88" s="47">
        <f t="shared" si="35"/>
        <v>1</v>
      </c>
      <c r="AG88" s="50">
        <f>IF('Resultado da inspeção'!F88='Resultado da inspeção'!$W$3,0%,Ranking!R88)</f>
        <v>0.02</v>
      </c>
      <c r="AH88" s="50">
        <f>IF('Resultado da inspeção'!G88='Resultado da inspeção'!$W$3,0%,Ranking!S88)</f>
        <v>0.03</v>
      </c>
      <c r="AI88" s="50">
        <f>IF('Resultado da inspeção'!H88='Resultado da inspeção'!$W$3,0%,Ranking!T88)</f>
        <v>0.03</v>
      </c>
      <c r="AJ88" s="50">
        <f>IF('Resultado da inspeção'!I88='Resultado da inspeção'!$W$3,0%,Ranking!U88)</f>
        <v>0.1</v>
      </c>
      <c r="AK88" s="50">
        <f>IF('Resultado da inspeção'!J88='Resultado da inspeção'!$W$3,0%,Ranking!V88)</f>
        <v>0.21</v>
      </c>
      <c r="AL88" s="50">
        <f>IF('Resultado da inspeção'!K88='Resultado da inspeção'!$W$3,0%,Ranking!W88)</f>
        <v>0.05</v>
      </c>
      <c r="AM88" s="50">
        <f>IF('Resultado da inspeção'!L88='Resultado da inspeção'!$W$3,0%,Ranking!X88)</f>
        <v>0.24</v>
      </c>
      <c r="AN88" s="50">
        <f>IF('Resultado da inspeção'!M88='Resultado da inspeção'!$W$3,0%,Ranking!Y88)</f>
        <v>0.05</v>
      </c>
      <c r="AO88" s="50">
        <f>IF('Resultado da inspeção'!N88='Resultado da inspeção'!$W$3,0%,Ranking!Z88)</f>
        <v>0.04</v>
      </c>
      <c r="AP88" s="50">
        <f>IF('Resultado da inspeção'!O88='Resultado da inspeção'!$W$3,0%,Ranking!AA88)</f>
        <v>0.06</v>
      </c>
      <c r="AQ88" s="50">
        <f>IF('Resultado da inspeção'!P88='Resultado da inspeção'!$W$3,0%,Ranking!AB88)</f>
        <v>0.08</v>
      </c>
      <c r="AR88" s="50">
        <f>IF('Resultado da inspeção'!Q88='Resultado da inspeção'!$W$3,0%,Ranking!AC88)</f>
        <v>0.05</v>
      </c>
      <c r="AS88" s="50">
        <f>IF('Resultado da inspeção'!R88='Resultado da inspeção'!$W$3,0%,Ranking!AD88)</f>
        <v>0.02</v>
      </c>
      <c r="AT88" s="50">
        <f>IF('Resultado da inspeção'!S88='Resultado da inspeção'!$W$3,0%,Ranking!AE88)</f>
        <v>0.02</v>
      </c>
      <c r="AU88" s="49">
        <f t="shared" si="36"/>
        <v>1</v>
      </c>
    </row>
    <row r="89" spans="2:47" x14ac:dyDescent="0.25">
      <c r="B89" s="48">
        <f>IF('Resultado da inspeção'!F89='Resultado da inspeção'!$W$4,0%,Ranking!B$5)</f>
        <v>0.02</v>
      </c>
      <c r="C89" s="48">
        <f>IF('Resultado da inspeção'!G89='Resultado da inspeção'!$W$4,0%,Ranking!C$5)</f>
        <v>0.03</v>
      </c>
      <c r="D89" s="48">
        <f>IF('Resultado da inspeção'!H89='Resultado da inspeção'!$W$4,0%,Ranking!D$5)</f>
        <v>0.03</v>
      </c>
      <c r="E89" s="48">
        <f>IF('Resultado da inspeção'!I89='Resultado da inspeção'!$W$4,0%,Ranking!E$5)</f>
        <v>0.1</v>
      </c>
      <c r="F89" s="48">
        <f>IF('Resultado da inspeção'!J89='Resultado da inspeção'!$W$4,0%,Ranking!F$5)</f>
        <v>0.21</v>
      </c>
      <c r="G89" s="48">
        <f>IF('Resultado da inspeção'!K89='Resultado da inspeção'!$W$4,0%,Ranking!G$5)</f>
        <v>0.05</v>
      </c>
      <c r="H89" s="48">
        <f>IF('Resultado da inspeção'!L89='Resultado da inspeção'!$W$4,0%,Ranking!H$5)</f>
        <v>0.24</v>
      </c>
      <c r="I89" s="48">
        <f>IF('Resultado da inspeção'!M89='Resultado da inspeção'!$W$4,0%,Ranking!I$5)</f>
        <v>0.05</v>
      </c>
      <c r="J89" s="48">
        <f>IF('Resultado da inspeção'!N89='Resultado da inspeção'!$W$4,0%,Ranking!J$5)</f>
        <v>0.04</v>
      </c>
      <c r="K89" s="48">
        <f>IF('Resultado da inspeção'!O89='Resultado da inspeção'!$W$4,0%,Ranking!K$5)</f>
        <v>0.06</v>
      </c>
      <c r="L89" s="48">
        <f>IF('Resultado da inspeção'!P89='Resultado da inspeção'!$W$4,0%,Ranking!L$5)</f>
        <v>0.08</v>
      </c>
      <c r="M89" s="48">
        <f>IF('Resultado da inspeção'!Q89='Resultado da inspeção'!$W$4,0%,Ranking!M$5)</f>
        <v>0.05</v>
      </c>
      <c r="N89" s="48">
        <f>IF('Resultado da inspeção'!R89='Resultado da inspeção'!$W$4,0%,Ranking!N$5)</f>
        <v>0.02</v>
      </c>
      <c r="O89" s="48">
        <f>IF('Resultado da inspeção'!S89='Resultado da inspeção'!$W$4,0%,Ranking!O$5)</f>
        <v>0.02</v>
      </c>
      <c r="P89" s="47">
        <f t="shared" si="19"/>
        <v>1</v>
      </c>
      <c r="Q89" s="49">
        <f t="shared" si="34"/>
        <v>0</v>
      </c>
      <c r="R89" s="50">
        <f t="shared" si="20"/>
        <v>0.02</v>
      </c>
      <c r="S89" s="50">
        <f t="shared" si="21"/>
        <v>0.03</v>
      </c>
      <c r="T89" s="50">
        <f t="shared" si="22"/>
        <v>0.03</v>
      </c>
      <c r="U89" s="50">
        <f t="shared" si="23"/>
        <v>0.1</v>
      </c>
      <c r="V89" s="50">
        <f t="shared" si="24"/>
        <v>0.21</v>
      </c>
      <c r="W89" s="50">
        <f t="shared" si="25"/>
        <v>0.05</v>
      </c>
      <c r="X89" s="50">
        <f t="shared" si="26"/>
        <v>0.24</v>
      </c>
      <c r="Y89" s="50">
        <f t="shared" si="27"/>
        <v>0.05</v>
      </c>
      <c r="Z89" s="50">
        <f t="shared" si="28"/>
        <v>0.04</v>
      </c>
      <c r="AA89" s="50">
        <f t="shared" si="29"/>
        <v>0.06</v>
      </c>
      <c r="AB89" s="50">
        <f t="shared" si="30"/>
        <v>0.08</v>
      </c>
      <c r="AC89" s="50">
        <f t="shared" si="31"/>
        <v>0.05</v>
      </c>
      <c r="AD89" s="50">
        <f t="shared" si="32"/>
        <v>0.02</v>
      </c>
      <c r="AE89" s="50">
        <f t="shared" si="33"/>
        <v>0.02</v>
      </c>
      <c r="AF89" s="47">
        <f t="shared" si="35"/>
        <v>1</v>
      </c>
      <c r="AG89" s="50">
        <f>IF('Resultado da inspeção'!F89='Resultado da inspeção'!$W$3,0%,Ranking!R89)</f>
        <v>0.02</v>
      </c>
      <c r="AH89" s="50">
        <f>IF('Resultado da inspeção'!G89='Resultado da inspeção'!$W$3,0%,Ranking!S89)</f>
        <v>0.03</v>
      </c>
      <c r="AI89" s="50">
        <f>IF('Resultado da inspeção'!H89='Resultado da inspeção'!$W$3,0%,Ranking!T89)</f>
        <v>0.03</v>
      </c>
      <c r="AJ89" s="50">
        <f>IF('Resultado da inspeção'!I89='Resultado da inspeção'!$W$3,0%,Ranking!U89)</f>
        <v>0.1</v>
      </c>
      <c r="AK89" s="50">
        <f>IF('Resultado da inspeção'!J89='Resultado da inspeção'!$W$3,0%,Ranking!V89)</f>
        <v>0.21</v>
      </c>
      <c r="AL89" s="50">
        <f>IF('Resultado da inspeção'!K89='Resultado da inspeção'!$W$3,0%,Ranking!W89)</f>
        <v>0.05</v>
      </c>
      <c r="AM89" s="50">
        <f>IF('Resultado da inspeção'!L89='Resultado da inspeção'!$W$3,0%,Ranking!X89)</f>
        <v>0.24</v>
      </c>
      <c r="AN89" s="50">
        <f>IF('Resultado da inspeção'!M89='Resultado da inspeção'!$W$3,0%,Ranking!Y89)</f>
        <v>0.05</v>
      </c>
      <c r="AO89" s="50">
        <f>IF('Resultado da inspeção'!N89='Resultado da inspeção'!$W$3,0%,Ranking!Z89)</f>
        <v>0.04</v>
      </c>
      <c r="AP89" s="50">
        <f>IF('Resultado da inspeção'!O89='Resultado da inspeção'!$W$3,0%,Ranking!AA89)</f>
        <v>0.06</v>
      </c>
      <c r="AQ89" s="50">
        <f>IF('Resultado da inspeção'!P89='Resultado da inspeção'!$W$3,0%,Ranking!AB89)</f>
        <v>0.08</v>
      </c>
      <c r="AR89" s="50">
        <f>IF('Resultado da inspeção'!Q89='Resultado da inspeção'!$W$3,0%,Ranking!AC89)</f>
        <v>0.05</v>
      </c>
      <c r="AS89" s="50">
        <f>IF('Resultado da inspeção'!R89='Resultado da inspeção'!$W$3,0%,Ranking!AD89)</f>
        <v>0.02</v>
      </c>
      <c r="AT89" s="50">
        <f>IF('Resultado da inspeção'!S89='Resultado da inspeção'!$W$3,0%,Ranking!AE89)</f>
        <v>0.02</v>
      </c>
      <c r="AU89" s="49">
        <f t="shared" si="36"/>
        <v>1</v>
      </c>
    </row>
    <row r="90" spans="2:47" x14ac:dyDescent="0.25">
      <c r="B90" s="48">
        <f>IF('Resultado da inspeção'!F90='Resultado da inspeção'!$W$4,0%,Ranking!B$5)</f>
        <v>0.02</v>
      </c>
      <c r="C90" s="48">
        <f>IF('Resultado da inspeção'!G90='Resultado da inspeção'!$W$4,0%,Ranking!C$5)</f>
        <v>0.03</v>
      </c>
      <c r="D90" s="48">
        <f>IF('Resultado da inspeção'!H90='Resultado da inspeção'!$W$4,0%,Ranking!D$5)</f>
        <v>0.03</v>
      </c>
      <c r="E90" s="48">
        <f>IF('Resultado da inspeção'!I90='Resultado da inspeção'!$W$4,0%,Ranking!E$5)</f>
        <v>0.1</v>
      </c>
      <c r="F90" s="48">
        <f>IF('Resultado da inspeção'!J90='Resultado da inspeção'!$W$4,0%,Ranking!F$5)</f>
        <v>0.21</v>
      </c>
      <c r="G90" s="48">
        <f>IF('Resultado da inspeção'!K90='Resultado da inspeção'!$W$4,0%,Ranking!G$5)</f>
        <v>0.05</v>
      </c>
      <c r="H90" s="48">
        <f>IF('Resultado da inspeção'!L90='Resultado da inspeção'!$W$4,0%,Ranking!H$5)</f>
        <v>0.24</v>
      </c>
      <c r="I90" s="48">
        <f>IF('Resultado da inspeção'!M90='Resultado da inspeção'!$W$4,0%,Ranking!I$5)</f>
        <v>0.05</v>
      </c>
      <c r="J90" s="48">
        <f>IF('Resultado da inspeção'!N90='Resultado da inspeção'!$W$4,0%,Ranking!J$5)</f>
        <v>0.04</v>
      </c>
      <c r="K90" s="48">
        <f>IF('Resultado da inspeção'!O90='Resultado da inspeção'!$W$4,0%,Ranking!K$5)</f>
        <v>0.06</v>
      </c>
      <c r="L90" s="48">
        <f>IF('Resultado da inspeção'!P90='Resultado da inspeção'!$W$4,0%,Ranking!L$5)</f>
        <v>0.08</v>
      </c>
      <c r="M90" s="48">
        <f>IF('Resultado da inspeção'!Q90='Resultado da inspeção'!$W$4,0%,Ranking!M$5)</f>
        <v>0.05</v>
      </c>
      <c r="N90" s="48">
        <f>IF('Resultado da inspeção'!R90='Resultado da inspeção'!$W$4,0%,Ranking!N$5)</f>
        <v>0.02</v>
      </c>
      <c r="O90" s="48">
        <f>IF('Resultado da inspeção'!S90='Resultado da inspeção'!$W$4,0%,Ranking!O$5)</f>
        <v>0.02</v>
      </c>
      <c r="P90" s="47">
        <f t="shared" si="19"/>
        <v>1</v>
      </c>
      <c r="Q90" s="49">
        <f t="shared" si="34"/>
        <v>0</v>
      </c>
      <c r="R90" s="50">
        <f t="shared" si="20"/>
        <v>0.02</v>
      </c>
      <c r="S90" s="50">
        <f t="shared" si="21"/>
        <v>0.03</v>
      </c>
      <c r="T90" s="50">
        <f t="shared" si="22"/>
        <v>0.03</v>
      </c>
      <c r="U90" s="50">
        <f t="shared" si="23"/>
        <v>0.1</v>
      </c>
      <c r="V90" s="50">
        <f t="shared" si="24"/>
        <v>0.21</v>
      </c>
      <c r="W90" s="50">
        <f t="shared" si="25"/>
        <v>0.05</v>
      </c>
      <c r="X90" s="50">
        <f t="shared" si="26"/>
        <v>0.24</v>
      </c>
      <c r="Y90" s="50">
        <f t="shared" si="27"/>
        <v>0.05</v>
      </c>
      <c r="Z90" s="50">
        <f t="shared" si="28"/>
        <v>0.04</v>
      </c>
      <c r="AA90" s="50">
        <f t="shared" si="29"/>
        <v>0.06</v>
      </c>
      <c r="AB90" s="50">
        <f t="shared" si="30"/>
        <v>0.08</v>
      </c>
      <c r="AC90" s="50">
        <f t="shared" si="31"/>
        <v>0.05</v>
      </c>
      <c r="AD90" s="50">
        <f t="shared" si="32"/>
        <v>0.02</v>
      </c>
      <c r="AE90" s="50">
        <f t="shared" si="33"/>
        <v>0.02</v>
      </c>
      <c r="AF90" s="47">
        <f t="shared" si="35"/>
        <v>1</v>
      </c>
      <c r="AG90" s="50">
        <f>IF('Resultado da inspeção'!F90='Resultado da inspeção'!$W$3,0%,Ranking!R90)</f>
        <v>0.02</v>
      </c>
      <c r="AH90" s="50">
        <f>IF('Resultado da inspeção'!G90='Resultado da inspeção'!$W$3,0%,Ranking!S90)</f>
        <v>0.03</v>
      </c>
      <c r="AI90" s="50">
        <f>IF('Resultado da inspeção'!H90='Resultado da inspeção'!$W$3,0%,Ranking!T90)</f>
        <v>0.03</v>
      </c>
      <c r="AJ90" s="50">
        <f>IF('Resultado da inspeção'!I90='Resultado da inspeção'!$W$3,0%,Ranking!U90)</f>
        <v>0.1</v>
      </c>
      <c r="AK90" s="50">
        <f>IF('Resultado da inspeção'!J90='Resultado da inspeção'!$W$3,0%,Ranking!V90)</f>
        <v>0.21</v>
      </c>
      <c r="AL90" s="50">
        <f>IF('Resultado da inspeção'!K90='Resultado da inspeção'!$W$3,0%,Ranking!W90)</f>
        <v>0.05</v>
      </c>
      <c r="AM90" s="50">
        <f>IF('Resultado da inspeção'!L90='Resultado da inspeção'!$W$3,0%,Ranking!X90)</f>
        <v>0.24</v>
      </c>
      <c r="AN90" s="50">
        <f>IF('Resultado da inspeção'!M90='Resultado da inspeção'!$W$3,0%,Ranking!Y90)</f>
        <v>0.05</v>
      </c>
      <c r="AO90" s="50">
        <f>IF('Resultado da inspeção'!N90='Resultado da inspeção'!$W$3,0%,Ranking!Z90)</f>
        <v>0.04</v>
      </c>
      <c r="AP90" s="50">
        <f>IF('Resultado da inspeção'!O90='Resultado da inspeção'!$W$3,0%,Ranking!AA90)</f>
        <v>0.06</v>
      </c>
      <c r="AQ90" s="50">
        <f>IF('Resultado da inspeção'!P90='Resultado da inspeção'!$W$3,0%,Ranking!AB90)</f>
        <v>0.08</v>
      </c>
      <c r="AR90" s="50">
        <f>IF('Resultado da inspeção'!Q90='Resultado da inspeção'!$W$3,0%,Ranking!AC90)</f>
        <v>0.05</v>
      </c>
      <c r="AS90" s="50">
        <f>IF('Resultado da inspeção'!R90='Resultado da inspeção'!$W$3,0%,Ranking!AD90)</f>
        <v>0.02</v>
      </c>
      <c r="AT90" s="50">
        <f>IF('Resultado da inspeção'!S90='Resultado da inspeção'!$W$3,0%,Ranking!AE90)</f>
        <v>0.02</v>
      </c>
      <c r="AU90" s="49">
        <f t="shared" si="36"/>
        <v>1</v>
      </c>
    </row>
    <row r="91" spans="2:47" x14ac:dyDescent="0.25">
      <c r="B91" s="48">
        <f>IF('Resultado da inspeção'!F91='Resultado da inspeção'!$W$4,0%,Ranking!B$5)</f>
        <v>0.02</v>
      </c>
      <c r="C91" s="48">
        <f>IF('Resultado da inspeção'!G91='Resultado da inspeção'!$W$4,0%,Ranking!C$5)</f>
        <v>0.03</v>
      </c>
      <c r="D91" s="48">
        <f>IF('Resultado da inspeção'!H91='Resultado da inspeção'!$W$4,0%,Ranking!D$5)</f>
        <v>0.03</v>
      </c>
      <c r="E91" s="48">
        <f>IF('Resultado da inspeção'!I91='Resultado da inspeção'!$W$4,0%,Ranking!E$5)</f>
        <v>0.1</v>
      </c>
      <c r="F91" s="48">
        <f>IF('Resultado da inspeção'!J91='Resultado da inspeção'!$W$4,0%,Ranking!F$5)</f>
        <v>0.21</v>
      </c>
      <c r="G91" s="48">
        <f>IF('Resultado da inspeção'!K91='Resultado da inspeção'!$W$4,0%,Ranking!G$5)</f>
        <v>0.05</v>
      </c>
      <c r="H91" s="48">
        <f>IF('Resultado da inspeção'!L91='Resultado da inspeção'!$W$4,0%,Ranking!H$5)</f>
        <v>0.24</v>
      </c>
      <c r="I91" s="48">
        <f>IF('Resultado da inspeção'!M91='Resultado da inspeção'!$W$4,0%,Ranking!I$5)</f>
        <v>0.05</v>
      </c>
      <c r="J91" s="48">
        <f>IF('Resultado da inspeção'!N91='Resultado da inspeção'!$W$4,0%,Ranking!J$5)</f>
        <v>0.04</v>
      </c>
      <c r="K91" s="48">
        <f>IF('Resultado da inspeção'!O91='Resultado da inspeção'!$W$4,0%,Ranking!K$5)</f>
        <v>0.06</v>
      </c>
      <c r="L91" s="48">
        <f>IF('Resultado da inspeção'!P91='Resultado da inspeção'!$W$4,0%,Ranking!L$5)</f>
        <v>0.08</v>
      </c>
      <c r="M91" s="48">
        <f>IF('Resultado da inspeção'!Q91='Resultado da inspeção'!$W$4,0%,Ranking!M$5)</f>
        <v>0.05</v>
      </c>
      <c r="N91" s="48">
        <f>IF('Resultado da inspeção'!R91='Resultado da inspeção'!$W$4,0%,Ranking!N$5)</f>
        <v>0.02</v>
      </c>
      <c r="O91" s="48">
        <f>IF('Resultado da inspeção'!S91='Resultado da inspeção'!$W$4,0%,Ranking!O$5)</f>
        <v>0.02</v>
      </c>
      <c r="P91" s="47">
        <f t="shared" si="19"/>
        <v>1</v>
      </c>
      <c r="Q91" s="49">
        <f t="shared" si="34"/>
        <v>0</v>
      </c>
      <c r="R91" s="50">
        <f t="shared" si="20"/>
        <v>0.02</v>
      </c>
      <c r="S91" s="50">
        <f t="shared" si="21"/>
        <v>0.03</v>
      </c>
      <c r="T91" s="50">
        <f t="shared" si="22"/>
        <v>0.03</v>
      </c>
      <c r="U91" s="50">
        <f t="shared" si="23"/>
        <v>0.1</v>
      </c>
      <c r="V91" s="50">
        <f t="shared" si="24"/>
        <v>0.21</v>
      </c>
      <c r="W91" s="50">
        <f t="shared" si="25"/>
        <v>0.05</v>
      </c>
      <c r="X91" s="50">
        <f t="shared" si="26"/>
        <v>0.24</v>
      </c>
      <c r="Y91" s="50">
        <f t="shared" si="27"/>
        <v>0.05</v>
      </c>
      <c r="Z91" s="50">
        <f t="shared" si="28"/>
        <v>0.04</v>
      </c>
      <c r="AA91" s="50">
        <f t="shared" si="29"/>
        <v>0.06</v>
      </c>
      <c r="AB91" s="50">
        <f t="shared" si="30"/>
        <v>0.08</v>
      </c>
      <c r="AC91" s="50">
        <f t="shared" si="31"/>
        <v>0.05</v>
      </c>
      <c r="AD91" s="50">
        <f t="shared" si="32"/>
        <v>0.02</v>
      </c>
      <c r="AE91" s="50">
        <f t="shared" si="33"/>
        <v>0.02</v>
      </c>
      <c r="AF91" s="47">
        <f t="shared" si="35"/>
        <v>1</v>
      </c>
      <c r="AG91" s="50">
        <f>IF('Resultado da inspeção'!F91='Resultado da inspeção'!$W$3,0%,Ranking!R91)</f>
        <v>0.02</v>
      </c>
      <c r="AH91" s="50">
        <f>IF('Resultado da inspeção'!G91='Resultado da inspeção'!$W$3,0%,Ranking!S91)</f>
        <v>0.03</v>
      </c>
      <c r="AI91" s="50">
        <f>IF('Resultado da inspeção'!H91='Resultado da inspeção'!$W$3,0%,Ranking!T91)</f>
        <v>0.03</v>
      </c>
      <c r="AJ91" s="50">
        <f>IF('Resultado da inspeção'!I91='Resultado da inspeção'!$W$3,0%,Ranking!U91)</f>
        <v>0.1</v>
      </c>
      <c r="AK91" s="50">
        <f>IF('Resultado da inspeção'!J91='Resultado da inspeção'!$W$3,0%,Ranking!V91)</f>
        <v>0.21</v>
      </c>
      <c r="AL91" s="50">
        <f>IF('Resultado da inspeção'!K91='Resultado da inspeção'!$W$3,0%,Ranking!W91)</f>
        <v>0.05</v>
      </c>
      <c r="AM91" s="50">
        <f>IF('Resultado da inspeção'!L91='Resultado da inspeção'!$W$3,0%,Ranking!X91)</f>
        <v>0.24</v>
      </c>
      <c r="AN91" s="50">
        <f>IF('Resultado da inspeção'!M91='Resultado da inspeção'!$W$3,0%,Ranking!Y91)</f>
        <v>0.05</v>
      </c>
      <c r="AO91" s="50">
        <f>IF('Resultado da inspeção'!N91='Resultado da inspeção'!$W$3,0%,Ranking!Z91)</f>
        <v>0.04</v>
      </c>
      <c r="AP91" s="50">
        <f>IF('Resultado da inspeção'!O91='Resultado da inspeção'!$W$3,0%,Ranking!AA91)</f>
        <v>0.06</v>
      </c>
      <c r="AQ91" s="50">
        <f>IF('Resultado da inspeção'!P91='Resultado da inspeção'!$W$3,0%,Ranking!AB91)</f>
        <v>0.08</v>
      </c>
      <c r="AR91" s="50">
        <f>IF('Resultado da inspeção'!Q91='Resultado da inspeção'!$W$3,0%,Ranking!AC91)</f>
        <v>0.05</v>
      </c>
      <c r="AS91" s="50">
        <f>IF('Resultado da inspeção'!R91='Resultado da inspeção'!$W$3,0%,Ranking!AD91)</f>
        <v>0.02</v>
      </c>
      <c r="AT91" s="50">
        <f>IF('Resultado da inspeção'!S91='Resultado da inspeção'!$W$3,0%,Ranking!AE91)</f>
        <v>0.02</v>
      </c>
      <c r="AU91" s="49">
        <f t="shared" si="36"/>
        <v>1</v>
      </c>
    </row>
    <row r="92" spans="2:47" x14ac:dyDescent="0.25">
      <c r="B92" s="48">
        <f>IF('Resultado da inspeção'!F92='Resultado da inspeção'!$W$4,0%,Ranking!B$5)</f>
        <v>0.02</v>
      </c>
      <c r="C92" s="48">
        <f>IF('Resultado da inspeção'!G92='Resultado da inspeção'!$W$4,0%,Ranking!C$5)</f>
        <v>0.03</v>
      </c>
      <c r="D92" s="48">
        <f>IF('Resultado da inspeção'!H92='Resultado da inspeção'!$W$4,0%,Ranking!D$5)</f>
        <v>0.03</v>
      </c>
      <c r="E92" s="48">
        <f>IF('Resultado da inspeção'!I92='Resultado da inspeção'!$W$4,0%,Ranking!E$5)</f>
        <v>0.1</v>
      </c>
      <c r="F92" s="48">
        <f>IF('Resultado da inspeção'!J92='Resultado da inspeção'!$W$4,0%,Ranking!F$5)</f>
        <v>0.21</v>
      </c>
      <c r="G92" s="48">
        <f>IF('Resultado da inspeção'!K92='Resultado da inspeção'!$W$4,0%,Ranking!G$5)</f>
        <v>0.05</v>
      </c>
      <c r="H92" s="48">
        <f>IF('Resultado da inspeção'!L92='Resultado da inspeção'!$W$4,0%,Ranking!H$5)</f>
        <v>0.24</v>
      </c>
      <c r="I92" s="48">
        <f>IF('Resultado da inspeção'!M92='Resultado da inspeção'!$W$4,0%,Ranking!I$5)</f>
        <v>0.05</v>
      </c>
      <c r="J92" s="48">
        <f>IF('Resultado da inspeção'!N92='Resultado da inspeção'!$W$4,0%,Ranking!J$5)</f>
        <v>0.04</v>
      </c>
      <c r="K92" s="48">
        <f>IF('Resultado da inspeção'!O92='Resultado da inspeção'!$W$4,0%,Ranking!K$5)</f>
        <v>0.06</v>
      </c>
      <c r="L92" s="48">
        <f>IF('Resultado da inspeção'!P92='Resultado da inspeção'!$W$4,0%,Ranking!L$5)</f>
        <v>0.08</v>
      </c>
      <c r="M92" s="48">
        <f>IF('Resultado da inspeção'!Q92='Resultado da inspeção'!$W$4,0%,Ranking!M$5)</f>
        <v>0.05</v>
      </c>
      <c r="N92" s="48">
        <f>IF('Resultado da inspeção'!R92='Resultado da inspeção'!$W$4,0%,Ranking!N$5)</f>
        <v>0.02</v>
      </c>
      <c r="O92" s="48">
        <f>IF('Resultado da inspeção'!S92='Resultado da inspeção'!$W$4,0%,Ranking!O$5)</f>
        <v>0.02</v>
      </c>
      <c r="P92" s="47">
        <f t="shared" si="19"/>
        <v>1</v>
      </c>
      <c r="Q92" s="49">
        <f t="shared" si="34"/>
        <v>0</v>
      </c>
      <c r="R92" s="50">
        <f t="shared" si="20"/>
        <v>0.02</v>
      </c>
      <c r="S92" s="50">
        <f t="shared" si="21"/>
        <v>0.03</v>
      </c>
      <c r="T92" s="50">
        <f t="shared" si="22"/>
        <v>0.03</v>
      </c>
      <c r="U92" s="50">
        <f t="shared" si="23"/>
        <v>0.1</v>
      </c>
      <c r="V92" s="50">
        <f t="shared" si="24"/>
        <v>0.21</v>
      </c>
      <c r="W92" s="50">
        <f t="shared" si="25"/>
        <v>0.05</v>
      </c>
      <c r="X92" s="50">
        <f t="shared" si="26"/>
        <v>0.24</v>
      </c>
      <c r="Y92" s="50">
        <f t="shared" si="27"/>
        <v>0.05</v>
      </c>
      <c r="Z92" s="50">
        <f t="shared" si="28"/>
        <v>0.04</v>
      </c>
      <c r="AA92" s="50">
        <f t="shared" si="29"/>
        <v>0.06</v>
      </c>
      <c r="AB92" s="50">
        <f t="shared" si="30"/>
        <v>0.08</v>
      </c>
      <c r="AC92" s="50">
        <f t="shared" si="31"/>
        <v>0.05</v>
      </c>
      <c r="AD92" s="50">
        <f t="shared" si="32"/>
        <v>0.02</v>
      </c>
      <c r="AE92" s="50">
        <f t="shared" si="33"/>
        <v>0.02</v>
      </c>
      <c r="AF92" s="47">
        <f t="shared" si="35"/>
        <v>1</v>
      </c>
      <c r="AG92" s="50">
        <f>IF('Resultado da inspeção'!F92='Resultado da inspeção'!$W$3,0%,Ranking!R92)</f>
        <v>0.02</v>
      </c>
      <c r="AH92" s="50">
        <f>IF('Resultado da inspeção'!G92='Resultado da inspeção'!$W$3,0%,Ranking!S92)</f>
        <v>0.03</v>
      </c>
      <c r="AI92" s="50">
        <f>IF('Resultado da inspeção'!H92='Resultado da inspeção'!$W$3,0%,Ranking!T92)</f>
        <v>0.03</v>
      </c>
      <c r="AJ92" s="50">
        <f>IF('Resultado da inspeção'!I92='Resultado da inspeção'!$W$3,0%,Ranking!U92)</f>
        <v>0.1</v>
      </c>
      <c r="AK92" s="50">
        <f>IF('Resultado da inspeção'!J92='Resultado da inspeção'!$W$3,0%,Ranking!V92)</f>
        <v>0.21</v>
      </c>
      <c r="AL92" s="50">
        <f>IF('Resultado da inspeção'!K92='Resultado da inspeção'!$W$3,0%,Ranking!W92)</f>
        <v>0.05</v>
      </c>
      <c r="AM92" s="50">
        <f>IF('Resultado da inspeção'!L92='Resultado da inspeção'!$W$3,0%,Ranking!X92)</f>
        <v>0.24</v>
      </c>
      <c r="AN92" s="50">
        <f>IF('Resultado da inspeção'!M92='Resultado da inspeção'!$W$3,0%,Ranking!Y92)</f>
        <v>0.05</v>
      </c>
      <c r="AO92" s="50">
        <f>IF('Resultado da inspeção'!N92='Resultado da inspeção'!$W$3,0%,Ranking!Z92)</f>
        <v>0.04</v>
      </c>
      <c r="AP92" s="50">
        <f>IF('Resultado da inspeção'!O92='Resultado da inspeção'!$W$3,0%,Ranking!AA92)</f>
        <v>0.06</v>
      </c>
      <c r="AQ92" s="50">
        <f>IF('Resultado da inspeção'!P92='Resultado da inspeção'!$W$3,0%,Ranking!AB92)</f>
        <v>0.08</v>
      </c>
      <c r="AR92" s="50">
        <f>IF('Resultado da inspeção'!Q92='Resultado da inspeção'!$W$3,0%,Ranking!AC92)</f>
        <v>0.05</v>
      </c>
      <c r="AS92" s="50">
        <f>IF('Resultado da inspeção'!R92='Resultado da inspeção'!$W$3,0%,Ranking!AD92)</f>
        <v>0.02</v>
      </c>
      <c r="AT92" s="50">
        <f>IF('Resultado da inspeção'!S92='Resultado da inspeção'!$W$3,0%,Ranking!AE92)</f>
        <v>0.02</v>
      </c>
      <c r="AU92" s="49">
        <f t="shared" si="36"/>
        <v>1</v>
      </c>
    </row>
    <row r="93" spans="2:47" x14ac:dyDescent="0.25">
      <c r="B93" s="48">
        <f>IF('Resultado da inspeção'!F93='Resultado da inspeção'!$W$4,0%,Ranking!B$5)</f>
        <v>0.02</v>
      </c>
      <c r="C93" s="48">
        <f>IF('Resultado da inspeção'!G93='Resultado da inspeção'!$W$4,0%,Ranking!C$5)</f>
        <v>0.03</v>
      </c>
      <c r="D93" s="48">
        <f>IF('Resultado da inspeção'!H93='Resultado da inspeção'!$W$4,0%,Ranking!D$5)</f>
        <v>0.03</v>
      </c>
      <c r="E93" s="48">
        <f>IF('Resultado da inspeção'!I93='Resultado da inspeção'!$W$4,0%,Ranking!E$5)</f>
        <v>0.1</v>
      </c>
      <c r="F93" s="48">
        <f>IF('Resultado da inspeção'!J93='Resultado da inspeção'!$W$4,0%,Ranking!F$5)</f>
        <v>0.21</v>
      </c>
      <c r="G93" s="48">
        <f>IF('Resultado da inspeção'!K93='Resultado da inspeção'!$W$4,0%,Ranking!G$5)</f>
        <v>0.05</v>
      </c>
      <c r="H93" s="48">
        <f>IF('Resultado da inspeção'!L93='Resultado da inspeção'!$W$4,0%,Ranking!H$5)</f>
        <v>0.24</v>
      </c>
      <c r="I93" s="48">
        <f>IF('Resultado da inspeção'!M93='Resultado da inspeção'!$W$4,0%,Ranking!I$5)</f>
        <v>0.05</v>
      </c>
      <c r="J93" s="48">
        <f>IF('Resultado da inspeção'!N93='Resultado da inspeção'!$W$4,0%,Ranking!J$5)</f>
        <v>0.04</v>
      </c>
      <c r="K93" s="48">
        <f>IF('Resultado da inspeção'!O93='Resultado da inspeção'!$W$4,0%,Ranking!K$5)</f>
        <v>0.06</v>
      </c>
      <c r="L93" s="48">
        <f>IF('Resultado da inspeção'!P93='Resultado da inspeção'!$W$4,0%,Ranking!L$5)</f>
        <v>0.08</v>
      </c>
      <c r="M93" s="48">
        <f>IF('Resultado da inspeção'!Q93='Resultado da inspeção'!$W$4,0%,Ranking!M$5)</f>
        <v>0.05</v>
      </c>
      <c r="N93" s="48">
        <f>IF('Resultado da inspeção'!R93='Resultado da inspeção'!$W$4,0%,Ranking!N$5)</f>
        <v>0.02</v>
      </c>
      <c r="O93" s="48">
        <f>IF('Resultado da inspeção'!S93='Resultado da inspeção'!$W$4,0%,Ranking!O$5)</f>
        <v>0.02</v>
      </c>
      <c r="P93" s="47">
        <f t="shared" si="19"/>
        <v>1</v>
      </c>
      <c r="Q93" s="49">
        <f t="shared" si="34"/>
        <v>0</v>
      </c>
      <c r="R93" s="50">
        <f t="shared" si="20"/>
        <v>0.02</v>
      </c>
      <c r="S93" s="50">
        <f t="shared" si="21"/>
        <v>0.03</v>
      </c>
      <c r="T93" s="50">
        <f t="shared" si="22"/>
        <v>0.03</v>
      </c>
      <c r="U93" s="50">
        <f t="shared" si="23"/>
        <v>0.1</v>
      </c>
      <c r="V93" s="50">
        <f t="shared" si="24"/>
        <v>0.21</v>
      </c>
      <c r="W93" s="50">
        <f t="shared" si="25"/>
        <v>0.05</v>
      </c>
      <c r="X93" s="50">
        <f t="shared" si="26"/>
        <v>0.24</v>
      </c>
      <c r="Y93" s="50">
        <f t="shared" si="27"/>
        <v>0.05</v>
      </c>
      <c r="Z93" s="50">
        <f t="shared" si="28"/>
        <v>0.04</v>
      </c>
      <c r="AA93" s="50">
        <f t="shared" si="29"/>
        <v>0.06</v>
      </c>
      <c r="AB93" s="50">
        <f t="shared" si="30"/>
        <v>0.08</v>
      </c>
      <c r="AC93" s="50">
        <f t="shared" si="31"/>
        <v>0.05</v>
      </c>
      <c r="AD93" s="50">
        <f t="shared" si="32"/>
        <v>0.02</v>
      </c>
      <c r="AE93" s="50">
        <f t="shared" si="33"/>
        <v>0.02</v>
      </c>
      <c r="AF93" s="47">
        <f t="shared" si="35"/>
        <v>1</v>
      </c>
      <c r="AG93" s="50">
        <f>IF('Resultado da inspeção'!F93='Resultado da inspeção'!$W$3,0%,Ranking!R93)</f>
        <v>0.02</v>
      </c>
      <c r="AH93" s="50">
        <f>IF('Resultado da inspeção'!G93='Resultado da inspeção'!$W$3,0%,Ranking!S93)</f>
        <v>0.03</v>
      </c>
      <c r="AI93" s="50">
        <f>IF('Resultado da inspeção'!H93='Resultado da inspeção'!$W$3,0%,Ranking!T93)</f>
        <v>0.03</v>
      </c>
      <c r="AJ93" s="50">
        <f>IF('Resultado da inspeção'!I93='Resultado da inspeção'!$W$3,0%,Ranking!U93)</f>
        <v>0.1</v>
      </c>
      <c r="AK93" s="50">
        <f>IF('Resultado da inspeção'!J93='Resultado da inspeção'!$W$3,0%,Ranking!V93)</f>
        <v>0.21</v>
      </c>
      <c r="AL93" s="50">
        <f>IF('Resultado da inspeção'!K93='Resultado da inspeção'!$W$3,0%,Ranking!W93)</f>
        <v>0.05</v>
      </c>
      <c r="AM93" s="50">
        <f>IF('Resultado da inspeção'!L93='Resultado da inspeção'!$W$3,0%,Ranking!X93)</f>
        <v>0.24</v>
      </c>
      <c r="AN93" s="50">
        <f>IF('Resultado da inspeção'!M93='Resultado da inspeção'!$W$3,0%,Ranking!Y93)</f>
        <v>0.05</v>
      </c>
      <c r="AO93" s="50">
        <f>IF('Resultado da inspeção'!N93='Resultado da inspeção'!$W$3,0%,Ranking!Z93)</f>
        <v>0.04</v>
      </c>
      <c r="AP93" s="50">
        <f>IF('Resultado da inspeção'!O93='Resultado da inspeção'!$W$3,0%,Ranking!AA93)</f>
        <v>0.06</v>
      </c>
      <c r="AQ93" s="50">
        <f>IF('Resultado da inspeção'!P93='Resultado da inspeção'!$W$3,0%,Ranking!AB93)</f>
        <v>0.08</v>
      </c>
      <c r="AR93" s="50">
        <f>IF('Resultado da inspeção'!Q93='Resultado da inspeção'!$W$3,0%,Ranking!AC93)</f>
        <v>0.05</v>
      </c>
      <c r="AS93" s="50">
        <f>IF('Resultado da inspeção'!R93='Resultado da inspeção'!$W$3,0%,Ranking!AD93)</f>
        <v>0.02</v>
      </c>
      <c r="AT93" s="50">
        <f>IF('Resultado da inspeção'!S93='Resultado da inspeção'!$W$3,0%,Ranking!AE93)</f>
        <v>0.02</v>
      </c>
      <c r="AU93" s="49">
        <f t="shared" si="36"/>
        <v>1</v>
      </c>
    </row>
    <row r="94" spans="2:47" x14ac:dyDescent="0.25">
      <c r="B94" s="48">
        <f>IF('Resultado da inspeção'!F94='Resultado da inspeção'!$W$4,0%,Ranking!B$5)</f>
        <v>0.02</v>
      </c>
      <c r="C94" s="48">
        <f>IF('Resultado da inspeção'!G94='Resultado da inspeção'!$W$4,0%,Ranking!C$5)</f>
        <v>0.03</v>
      </c>
      <c r="D94" s="48">
        <f>IF('Resultado da inspeção'!H94='Resultado da inspeção'!$W$4,0%,Ranking!D$5)</f>
        <v>0.03</v>
      </c>
      <c r="E94" s="48">
        <f>IF('Resultado da inspeção'!I94='Resultado da inspeção'!$W$4,0%,Ranking!E$5)</f>
        <v>0.1</v>
      </c>
      <c r="F94" s="48">
        <f>IF('Resultado da inspeção'!J94='Resultado da inspeção'!$W$4,0%,Ranking!F$5)</f>
        <v>0.21</v>
      </c>
      <c r="G94" s="48">
        <f>IF('Resultado da inspeção'!K94='Resultado da inspeção'!$W$4,0%,Ranking!G$5)</f>
        <v>0.05</v>
      </c>
      <c r="H94" s="48">
        <f>IF('Resultado da inspeção'!L94='Resultado da inspeção'!$W$4,0%,Ranking!H$5)</f>
        <v>0.24</v>
      </c>
      <c r="I94" s="48">
        <f>IF('Resultado da inspeção'!M94='Resultado da inspeção'!$W$4,0%,Ranking!I$5)</f>
        <v>0.05</v>
      </c>
      <c r="J94" s="48">
        <f>IF('Resultado da inspeção'!N94='Resultado da inspeção'!$W$4,0%,Ranking!J$5)</f>
        <v>0.04</v>
      </c>
      <c r="K94" s="48">
        <f>IF('Resultado da inspeção'!O94='Resultado da inspeção'!$W$4,0%,Ranking!K$5)</f>
        <v>0.06</v>
      </c>
      <c r="L94" s="48">
        <f>IF('Resultado da inspeção'!P94='Resultado da inspeção'!$W$4,0%,Ranking!L$5)</f>
        <v>0.08</v>
      </c>
      <c r="M94" s="48">
        <f>IF('Resultado da inspeção'!Q94='Resultado da inspeção'!$W$4,0%,Ranking!M$5)</f>
        <v>0.05</v>
      </c>
      <c r="N94" s="48">
        <f>IF('Resultado da inspeção'!R94='Resultado da inspeção'!$W$4,0%,Ranking!N$5)</f>
        <v>0.02</v>
      </c>
      <c r="O94" s="48">
        <f>IF('Resultado da inspeção'!S94='Resultado da inspeção'!$W$4,0%,Ranking!O$5)</f>
        <v>0.02</v>
      </c>
      <c r="P94" s="47">
        <f t="shared" si="19"/>
        <v>1</v>
      </c>
      <c r="Q94" s="49">
        <f t="shared" si="34"/>
        <v>0</v>
      </c>
      <c r="R94" s="50">
        <f t="shared" si="20"/>
        <v>0.02</v>
      </c>
      <c r="S94" s="50">
        <f t="shared" si="21"/>
        <v>0.03</v>
      </c>
      <c r="T94" s="50">
        <f t="shared" si="22"/>
        <v>0.03</v>
      </c>
      <c r="U94" s="50">
        <f t="shared" si="23"/>
        <v>0.1</v>
      </c>
      <c r="V94" s="50">
        <f t="shared" si="24"/>
        <v>0.21</v>
      </c>
      <c r="W94" s="50">
        <f t="shared" si="25"/>
        <v>0.05</v>
      </c>
      <c r="X94" s="50">
        <f t="shared" si="26"/>
        <v>0.24</v>
      </c>
      <c r="Y94" s="50">
        <f t="shared" si="27"/>
        <v>0.05</v>
      </c>
      <c r="Z94" s="50">
        <f t="shared" si="28"/>
        <v>0.04</v>
      </c>
      <c r="AA94" s="50">
        <f t="shared" si="29"/>
        <v>0.06</v>
      </c>
      <c r="AB94" s="50">
        <f t="shared" si="30"/>
        <v>0.08</v>
      </c>
      <c r="AC94" s="50">
        <f t="shared" si="31"/>
        <v>0.05</v>
      </c>
      <c r="AD94" s="50">
        <f t="shared" si="32"/>
        <v>0.02</v>
      </c>
      <c r="AE94" s="50">
        <f t="shared" si="33"/>
        <v>0.02</v>
      </c>
      <c r="AF94" s="47">
        <f t="shared" si="35"/>
        <v>1</v>
      </c>
      <c r="AG94" s="50">
        <f>IF('Resultado da inspeção'!F94='Resultado da inspeção'!$W$3,0%,Ranking!R94)</f>
        <v>0.02</v>
      </c>
      <c r="AH94" s="50">
        <f>IF('Resultado da inspeção'!G94='Resultado da inspeção'!$W$3,0%,Ranking!S94)</f>
        <v>0.03</v>
      </c>
      <c r="AI94" s="50">
        <f>IF('Resultado da inspeção'!H94='Resultado da inspeção'!$W$3,0%,Ranking!T94)</f>
        <v>0.03</v>
      </c>
      <c r="AJ94" s="50">
        <f>IF('Resultado da inspeção'!I94='Resultado da inspeção'!$W$3,0%,Ranking!U94)</f>
        <v>0.1</v>
      </c>
      <c r="AK94" s="50">
        <f>IF('Resultado da inspeção'!J94='Resultado da inspeção'!$W$3,0%,Ranking!V94)</f>
        <v>0.21</v>
      </c>
      <c r="AL94" s="50">
        <f>IF('Resultado da inspeção'!K94='Resultado da inspeção'!$W$3,0%,Ranking!W94)</f>
        <v>0.05</v>
      </c>
      <c r="AM94" s="50">
        <f>IF('Resultado da inspeção'!L94='Resultado da inspeção'!$W$3,0%,Ranking!X94)</f>
        <v>0.24</v>
      </c>
      <c r="AN94" s="50">
        <f>IF('Resultado da inspeção'!M94='Resultado da inspeção'!$W$3,0%,Ranking!Y94)</f>
        <v>0.05</v>
      </c>
      <c r="AO94" s="50">
        <f>IF('Resultado da inspeção'!N94='Resultado da inspeção'!$W$3,0%,Ranking!Z94)</f>
        <v>0.04</v>
      </c>
      <c r="AP94" s="50">
        <f>IF('Resultado da inspeção'!O94='Resultado da inspeção'!$W$3,0%,Ranking!AA94)</f>
        <v>0.06</v>
      </c>
      <c r="AQ94" s="50">
        <f>IF('Resultado da inspeção'!P94='Resultado da inspeção'!$W$3,0%,Ranking!AB94)</f>
        <v>0.08</v>
      </c>
      <c r="AR94" s="50">
        <f>IF('Resultado da inspeção'!Q94='Resultado da inspeção'!$W$3,0%,Ranking!AC94)</f>
        <v>0.05</v>
      </c>
      <c r="AS94" s="50">
        <f>IF('Resultado da inspeção'!R94='Resultado da inspeção'!$W$3,0%,Ranking!AD94)</f>
        <v>0.02</v>
      </c>
      <c r="AT94" s="50">
        <f>IF('Resultado da inspeção'!S94='Resultado da inspeção'!$W$3,0%,Ranking!AE94)</f>
        <v>0.02</v>
      </c>
      <c r="AU94" s="49">
        <f t="shared" si="36"/>
        <v>1</v>
      </c>
    </row>
    <row r="95" spans="2:47" x14ac:dyDescent="0.25">
      <c r="B95" s="48">
        <f>IF('Resultado da inspeção'!F95='Resultado da inspeção'!$W$4,0%,Ranking!B$5)</f>
        <v>0.02</v>
      </c>
      <c r="C95" s="48">
        <f>IF('Resultado da inspeção'!G95='Resultado da inspeção'!$W$4,0%,Ranking!C$5)</f>
        <v>0.03</v>
      </c>
      <c r="D95" s="48">
        <f>IF('Resultado da inspeção'!H95='Resultado da inspeção'!$W$4,0%,Ranking!D$5)</f>
        <v>0.03</v>
      </c>
      <c r="E95" s="48">
        <f>IF('Resultado da inspeção'!I95='Resultado da inspeção'!$W$4,0%,Ranking!E$5)</f>
        <v>0.1</v>
      </c>
      <c r="F95" s="48">
        <f>IF('Resultado da inspeção'!J95='Resultado da inspeção'!$W$4,0%,Ranking!F$5)</f>
        <v>0.21</v>
      </c>
      <c r="G95" s="48">
        <f>IF('Resultado da inspeção'!K95='Resultado da inspeção'!$W$4,0%,Ranking!G$5)</f>
        <v>0.05</v>
      </c>
      <c r="H95" s="48">
        <f>IF('Resultado da inspeção'!L95='Resultado da inspeção'!$W$4,0%,Ranking!H$5)</f>
        <v>0.24</v>
      </c>
      <c r="I95" s="48">
        <f>IF('Resultado da inspeção'!M95='Resultado da inspeção'!$W$4,0%,Ranking!I$5)</f>
        <v>0.05</v>
      </c>
      <c r="J95" s="48">
        <f>IF('Resultado da inspeção'!N95='Resultado da inspeção'!$W$4,0%,Ranking!J$5)</f>
        <v>0.04</v>
      </c>
      <c r="K95" s="48">
        <f>IF('Resultado da inspeção'!O95='Resultado da inspeção'!$W$4,0%,Ranking!K$5)</f>
        <v>0.06</v>
      </c>
      <c r="L95" s="48">
        <f>IF('Resultado da inspeção'!P95='Resultado da inspeção'!$W$4,0%,Ranking!L$5)</f>
        <v>0.08</v>
      </c>
      <c r="M95" s="48">
        <f>IF('Resultado da inspeção'!Q95='Resultado da inspeção'!$W$4,0%,Ranking!M$5)</f>
        <v>0.05</v>
      </c>
      <c r="N95" s="48">
        <f>IF('Resultado da inspeção'!R95='Resultado da inspeção'!$W$4,0%,Ranking!N$5)</f>
        <v>0.02</v>
      </c>
      <c r="O95" s="48">
        <f>IF('Resultado da inspeção'!S95='Resultado da inspeção'!$W$4,0%,Ranking!O$5)</f>
        <v>0.02</v>
      </c>
      <c r="P95" s="47">
        <f t="shared" si="19"/>
        <v>1</v>
      </c>
      <c r="Q95" s="49">
        <f t="shared" si="34"/>
        <v>0</v>
      </c>
      <c r="R95" s="50">
        <f t="shared" si="20"/>
        <v>0.02</v>
      </c>
      <c r="S95" s="50">
        <f t="shared" si="21"/>
        <v>0.03</v>
      </c>
      <c r="T95" s="50">
        <f t="shared" si="22"/>
        <v>0.03</v>
      </c>
      <c r="U95" s="50">
        <f t="shared" si="23"/>
        <v>0.1</v>
      </c>
      <c r="V95" s="50">
        <f t="shared" si="24"/>
        <v>0.21</v>
      </c>
      <c r="W95" s="50">
        <f t="shared" si="25"/>
        <v>0.05</v>
      </c>
      <c r="X95" s="50">
        <f t="shared" si="26"/>
        <v>0.24</v>
      </c>
      <c r="Y95" s="50">
        <f t="shared" si="27"/>
        <v>0.05</v>
      </c>
      <c r="Z95" s="50">
        <f t="shared" si="28"/>
        <v>0.04</v>
      </c>
      <c r="AA95" s="50">
        <f t="shared" si="29"/>
        <v>0.06</v>
      </c>
      <c r="AB95" s="50">
        <f t="shared" si="30"/>
        <v>0.08</v>
      </c>
      <c r="AC95" s="50">
        <f t="shared" si="31"/>
        <v>0.05</v>
      </c>
      <c r="AD95" s="50">
        <f t="shared" si="32"/>
        <v>0.02</v>
      </c>
      <c r="AE95" s="50">
        <f t="shared" si="33"/>
        <v>0.02</v>
      </c>
      <c r="AF95" s="47">
        <f t="shared" si="35"/>
        <v>1</v>
      </c>
      <c r="AG95" s="50">
        <f>IF('Resultado da inspeção'!F95='Resultado da inspeção'!$W$3,0%,Ranking!R95)</f>
        <v>0.02</v>
      </c>
      <c r="AH95" s="50">
        <f>IF('Resultado da inspeção'!G95='Resultado da inspeção'!$W$3,0%,Ranking!S95)</f>
        <v>0.03</v>
      </c>
      <c r="AI95" s="50">
        <f>IF('Resultado da inspeção'!H95='Resultado da inspeção'!$W$3,0%,Ranking!T95)</f>
        <v>0.03</v>
      </c>
      <c r="AJ95" s="50">
        <f>IF('Resultado da inspeção'!I95='Resultado da inspeção'!$W$3,0%,Ranking!U95)</f>
        <v>0.1</v>
      </c>
      <c r="AK95" s="50">
        <f>IF('Resultado da inspeção'!J95='Resultado da inspeção'!$W$3,0%,Ranking!V95)</f>
        <v>0.21</v>
      </c>
      <c r="AL95" s="50">
        <f>IF('Resultado da inspeção'!K95='Resultado da inspeção'!$W$3,0%,Ranking!W95)</f>
        <v>0.05</v>
      </c>
      <c r="AM95" s="50">
        <f>IF('Resultado da inspeção'!L95='Resultado da inspeção'!$W$3,0%,Ranking!X95)</f>
        <v>0.24</v>
      </c>
      <c r="AN95" s="50">
        <f>IF('Resultado da inspeção'!M95='Resultado da inspeção'!$W$3,0%,Ranking!Y95)</f>
        <v>0.05</v>
      </c>
      <c r="AO95" s="50">
        <f>IF('Resultado da inspeção'!N95='Resultado da inspeção'!$W$3,0%,Ranking!Z95)</f>
        <v>0.04</v>
      </c>
      <c r="AP95" s="50">
        <f>IF('Resultado da inspeção'!O95='Resultado da inspeção'!$W$3,0%,Ranking!AA95)</f>
        <v>0.06</v>
      </c>
      <c r="AQ95" s="50">
        <f>IF('Resultado da inspeção'!P95='Resultado da inspeção'!$W$3,0%,Ranking!AB95)</f>
        <v>0.08</v>
      </c>
      <c r="AR95" s="50">
        <f>IF('Resultado da inspeção'!Q95='Resultado da inspeção'!$W$3,0%,Ranking!AC95)</f>
        <v>0.05</v>
      </c>
      <c r="AS95" s="50">
        <f>IF('Resultado da inspeção'!R95='Resultado da inspeção'!$W$3,0%,Ranking!AD95)</f>
        <v>0.02</v>
      </c>
      <c r="AT95" s="50">
        <f>IF('Resultado da inspeção'!S95='Resultado da inspeção'!$W$3,0%,Ranking!AE95)</f>
        <v>0.02</v>
      </c>
      <c r="AU95" s="49">
        <f t="shared" si="36"/>
        <v>1</v>
      </c>
    </row>
    <row r="96" spans="2:47" x14ac:dyDescent="0.25">
      <c r="B96" s="48">
        <f>IF('Resultado da inspeção'!F96='Resultado da inspeção'!$W$4,0%,Ranking!B$5)</f>
        <v>0.02</v>
      </c>
      <c r="C96" s="48">
        <f>IF('Resultado da inspeção'!G96='Resultado da inspeção'!$W$4,0%,Ranking!C$5)</f>
        <v>0.03</v>
      </c>
      <c r="D96" s="48">
        <f>IF('Resultado da inspeção'!H96='Resultado da inspeção'!$W$4,0%,Ranking!D$5)</f>
        <v>0.03</v>
      </c>
      <c r="E96" s="48">
        <f>IF('Resultado da inspeção'!I96='Resultado da inspeção'!$W$4,0%,Ranking!E$5)</f>
        <v>0.1</v>
      </c>
      <c r="F96" s="48">
        <f>IF('Resultado da inspeção'!J96='Resultado da inspeção'!$W$4,0%,Ranking!F$5)</f>
        <v>0.21</v>
      </c>
      <c r="G96" s="48">
        <f>IF('Resultado da inspeção'!K96='Resultado da inspeção'!$W$4,0%,Ranking!G$5)</f>
        <v>0.05</v>
      </c>
      <c r="H96" s="48">
        <f>IF('Resultado da inspeção'!L96='Resultado da inspeção'!$W$4,0%,Ranking!H$5)</f>
        <v>0.24</v>
      </c>
      <c r="I96" s="48">
        <f>IF('Resultado da inspeção'!M96='Resultado da inspeção'!$W$4,0%,Ranking!I$5)</f>
        <v>0.05</v>
      </c>
      <c r="J96" s="48">
        <f>IF('Resultado da inspeção'!N96='Resultado da inspeção'!$W$4,0%,Ranking!J$5)</f>
        <v>0.04</v>
      </c>
      <c r="K96" s="48">
        <f>IF('Resultado da inspeção'!O96='Resultado da inspeção'!$W$4,0%,Ranking!K$5)</f>
        <v>0.06</v>
      </c>
      <c r="L96" s="48">
        <f>IF('Resultado da inspeção'!P96='Resultado da inspeção'!$W$4,0%,Ranking!L$5)</f>
        <v>0.08</v>
      </c>
      <c r="M96" s="48">
        <f>IF('Resultado da inspeção'!Q96='Resultado da inspeção'!$W$4,0%,Ranking!M$5)</f>
        <v>0.05</v>
      </c>
      <c r="N96" s="48">
        <f>IF('Resultado da inspeção'!R96='Resultado da inspeção'!$W$4,0%,Ranking!N$5)</f>
        <v>0.02</v>
      </c>
      <c r="O96" s="48">
        <f>IF('Resultado da inspeção'!S96='Resultado da inspeção'!$W$4,0%,Ranking!O$5)</f>
        <v>0.02</v>
      </c>
      <c r="P96" s="47">
        <f t="shared" si="19"/>
        <v>1</v>
      </c>
      <c r="Q96" s="49">
        <f t="shared" si="34"/>
        <v>0</v>
      </c>
      <c r="R96" s="50">
        <f t="shared" si="20"/>
        <v>0.02</v>
      </c>
      <c r="S96" s="50">
        <f t="shared" si="21"/>
        <v>0.03</v>
      </c>
      <c r="T96" s="50">
        <f t="shared" si="22"/>
        <v>0.03</v>
      </c>
      <c r="U96" s="50">
        <f t="shared" si="23"/>
        <v>0.1</v>
      </c>
      <c r="V96" s="50">
        <f t="shared" si="24"/>
        <v>0.21</v>
      </c>
      <c r="W96" s="50">
        <f t="shared" si="25"/>
        <v>0.05</v>
      </c>
      <c r="X96" s="50">
        <f t="shared" si="26"/>
        <v>0.24</v>
      </c>
      <c r="Y96" s="50">
        <f t="shared" si="27"/>
        <v>0.05</v>
      </c>
      <c r="Z96" s="50">
        <f t="shared" si="28"/>
        <v>0.04</v>
      </c>
      <c r="AA96" s="50">
        <f t="shared" si="29"/>
        <v>0.06</v>
      </c>
      <c r="AB96" s="50">
        <f t="shared" si="30"/>
        <v>0.08</v>
      </c>
      <c r="AC96" s="50">
        <f t="shared" si="31"/>
        <v>0.05</v>
      </c>
      <c r="AD96" s="50">
        <f t="shared" si="32"/>
        <v>0.02</v>
      </c>
      <c r="AE96" s="50">
        <f t="shared" si="33"/>
        <v>0.02</v>
      </c>
      <c r="AF96" s="47">
        <f t="shared" si="35"/>
        <v>1</v>
      </c>
      <c r="AG96" s="50">
        <f>IF('Resultado da inspeção'!F96='Resultado da inspeção'!$W$3,0%,Ranking!R96)</f>
        <v>0.02</v>
      </c>
      <c r="AH96" s="50">
        <f>IF('Resultado da inspeção'!G96='Resultado da inspeção'!$W$3,0%,Ranking!S96)</f>
        <v>0.03</v>
      </c>
      <c r="AI96" s="50">
        <f>IF('Resultado da inspeção'!H96='Resultado da inspeção'!$W$3,0%,Ranking!T96)</f>
        <v>0.03</v>
      </c>
      <c r="AJ96" s="50">
        <f>IF('Resultado da inspeção'!I96='Resultado da inspeção'!$W$3,0%,Ranking!U96)</f>
        <v>0.1</v>
      </c>
      <c r="AK96" s="50">
        <f>IF('Resultado da inspeção'!J96='Resultado da inspeção'!$W$3,0%,Ranking!V96)</f>
        <v>0.21</v>
      </c>
      <c r="AL96" s="50">
        <f>IF('Resultado da inspeção'!K96='Resultado da inspeção'!$W$3,0%,Ranking!W96)</f>
        <v>0.05</v>
      </c>
      <c r="AM96" s="50">
        <f>IF('Resultado da inspeção'!L96='Resultado da inspeção'!$W$3,0%,Ranking!X96)</f>
        <v>0.24</v>
      </c>
      <c r="AN96" s="50">
        <f>IF('Resultado da inspeção'!M96='Resultado da inspeção'!$W$3,0%,Ranking!Y96)</f>
        <v>0.05</v>
      </c>
      <c r="AO96" s="50">
        <f>IF('Resultado da inspeção'!N96='Resultado da inspeção'!$W$3,0%,Ranking!Z96)</f>
        <v>0.04</v>
      </c>
      <c r="AP96" s="50">
        <f>IF('Resultado da inspeção'!O96='Resultado da inspeção'!$W$3,0%,Ranking!AA96)</f>
        <v>0.06</v>
      </c>
      <c r="AQ96" s="50">
        <f>IF('Resultado da inspeção'!P96='Resultado da inspeção'!$W$3,0%,Ranking!AB96)</f>
        <v>0.08</v>
      </c>
      <c r="AR96" s="50">
        <f>IF('Resultado da inspeção'!Q96='Resultado da inspeção'!$W$3,0%,Ranking!AC96)</f>
        <v>0.05</v>
      </c>
      <c r="AS96" s="50">
        <f>IF('Resultado da inspeção'!R96='Resultado da inspeção'!$W$3,0%,Ranking!AD96)</f>
        <v>0.02</v>
      </c>
      <c r="AT96" s="50">
        <f>IF('Resultado da inspeção'!S96='Resultado da inspeção'!$W$3,0%,Ranking!AE96)</f>
        <v>0.02</v>
      </c>
      <c r="AU96" s="49">
        <f t="shared" si="36"/>
        <v>1</v>
      </c>
    </row>
    <row r="97" spans="2:47" x14ac:dyDescent="0.25">
      <c r="B97" s="48">
        <f>IF('Resultado da inspeção'!F97='Resultado da inspeção'!$W$4,0%,Ranking!B$5)</f>
        <v>0.02</v>
      </c>
      <c r="C97" s="48">
        <f>IF('Resultado da inspeção'!G97='Resultado da inspeção'!$W$4,0%,Ranking!C$5)</f>
        <v>0.03</v>
      </c>
      <c r="D97" s="48">
        <f>IF('Resultado da inspeção'!H97='Resultado da inspeção'!$W$4,0%,Ranking!D$5)</f>
        <v>0.03</v>
      </c>
      <c r="E97" s="48">
        <f>IF('Resultado da inspeção'!I97='Resultado da inspeção'!$W$4,0%,Ranking!E$5)</f>
        <v>0.1</v>
      </c>
      <c r="F97" s="48">
        <f>IF('Resultado da inspeção'!J97='Resultado da inspeção'!$W$4,0%,Ranking!F$5)</f>
        <v>0.21</v>
      </c>
      <c r="G97" s="48">
        <f>IF('Resultado da inspeção'!K97='Resultado da inspeção'!$W$4,0%,Ranking!G$5)</f>
        <v>0.05</v>
      </c>
      <c r="H97" s="48">
        <f>IF('Resultado da inspeção'!L97='Resultado da inspeção'!$W$4,0%,Ranking!H$5)</f>
        <v>0.24</v>
      </c>
      <c r="I97" s="48">
        <f>IF('Resultado da inspeção'!M97='Resultado da inspeção'!$W$4,0%,Ranking!I$5)</f>
        <v>0.05</v>
      </c>
      <c r="J97" s="48">
        <f>IF('Resultado da inspeção'!N97='Resultado da inspeção'!$W$4,0%,Ranking!J$5)</f>
        <v>0.04</v>
      </c>
      <c r="K97" s="48">
        <f>IF('Resultado da inspeção'!O97='Resultado da inspeção'!$W$4,0%,Ranking!K$5)</f>
        <v>0.06</v>
      </c>
      <c r="L97" s="48">
        <f>IF('Resultado da inspeção'!P97='Resultado da inspeção'!$W$4,0%,Ranking!L$5)</f>
        <v>0.08</v>
      </c>
      <c r="M97" s="48">
        <f>IF('Resultado da inspeção'!Q97='Resultado da inspeção'!$W$4,0%,Ranking!M$5)</f>
        <v>0.05</v>
      </c>
      <c r="N97" s="48">
        <f>IF('Resultado da inspeção'!R97='Resultado da inspeção'!$W$4,0%,Ranking!N$5)</f>
        <v>0.02</v>
      </c>
      <c r="O97" s="48">
        <f>IF('Resultado da inspeção'!S97='Resultado da inspeção'!$W$4,0%,Ranking!O$5)</f>
        <v>0.02</v>
      </c>
      <c r="P97" s="47">
        <f t="shared" si="19"/>
        <v>1</v>
      </c>
      <c r="Q97" s="49">
        <f t="shared" si="34"/>
        <v>0</v>
      </c>
      <c r="R97" s="50">
        <f t="shared" si="20"/>
        <v>0.02</v>
      </c>
      <c r="S97" s="50">
        <f t="shared" si="21"/>
        <v>0.03</v>
      </c>
      <c r="T97" s="50">
        <f t="shared" si="22"/>
        <v>0.03</v>
      </c>
      <c r="U97" s="50">
        <f t="shared" si="23"/>
        <v>0.1</v>
      </c>
      <c r="V97" s="50">
        <f t="shared" si="24"/>
        <v>0.21</v>
      </c>
      <c r="W97" s="50">
        <f t="shared" si="25"/>
        <v>0.05</v>
      </c>
      <c r="X97" s="50">
        <f t="shared" si="26"/>
        <v>0.24</v>
      </c>
      <c r="Y97" s="50">
        <f t="shared" si="27"/>
        <v>0.05</v>
      </c>
      <c r="Z97" s="50">
        <f t="shared" si="28"/>
        <v>0.04</v>
      </c>
      <c r="AA97" s="50">
        <f t="shared" si="29"/>
        <v>0.06</v>
      </c>
      <c r="AB97" s="50">
        <f t="shared" si="30"/>
        <v>0.08</v>
      </c>
      <c r="AC97" s="50">
        <f t="shared" si="31"/>
        <v>0.05</v>
      </c>
      <c r="AD97" s="50">
        <f t="shared" si="32"/>
        <v>0.02</v>
      </c>
      <c r="AE97" s="50">
        <f t="shared" si="33"/>
        <v>0.02</v>
      </c>
      <c r="AF97" s="47">
        <f t="shared" si="35"/>
        <v>1</v>
      </c>
      <c r="AG97" s="50">
        <f>IF('Resultado da inspeção'!F97='Resultado da inspeção'!$W$3,0%,Ranking!R97)</f>
        <v>0.02</v>
      </c>
      <c r="AH97" s="50">
        <f>IF('Resultado da inspeção'!G97='Resultado da inspeção'!$W$3,0%,Ranking!S97)</f>
        <v>0.03</v>
      </c>
      <c r="AI97" s="50">
        <f>IF('Resultado da inspeção'!H97='Resultado da inspeção'!$W$3,0%,Ranking!T97)</f>
        <v>0.03</v>
      </c>
      <c r="AJ97" s="50">
        <f>IF('Resultado da inspeção'!I97='Resultado da inspeção'!$W$3,0%,Ranking!U97)</f>
        <v>0.1</v>
      </c>
      <c r="AK97" s="50">
        <f>IF('Resultado da inspeção'!J97='Resultado da inspeção'!$W$3,0%,Ranking!V97)</f>
        <v>0.21</v>
      </c>
      <c r="AL97" s="50">
        <f>IF('Resultado da inspeção'!K97='Resultado da inspeção'!$W$3,0%,Ranking!W97)</f>
        <v>0.05</v>
      </c>
      <c r="AM97" s="50">
        <f>IF('Resultado da inspeção'!L97='Resultado da inspeção'!$W$3,0%,Ranking!X97)</f>
        <v>0.24</v>
      </c>
      <c r="AN97" s="50">
        <f>IF('Resultado da inspeção'!M97='Resultado da inspeção'!$W$3,0%,Ranking!Y97)</f>
        <v>0.05</v>
      </c>
      <c r="AO97" s="50">
        <f>IF('Resultado da inspeção'!N97='Resultado da inspeção'!$W$3,0%,Ranking!Z97)</f>
        <v>0.04</v>
      </c>
      <c r="AP97" s="50">
        <f>IF('Resultado da inspeção'!O97='Resultado da inspeção'!$W$3,0%,Ranking!AA97)</f>
        <v>0.06</v>
      </c>
      <c r="AQ97" s="50">
        <f>IF('Resultado da inspeção'!P97='Resultado da inspeção'!$W$3,0%,Ranking!AB97)</f>
        <v>0.08</v>
      </c>
      <c r="AR97" s="50">
        <f>IF('Resultado da inspeção'!Q97='Resultado da inspeção'!$W$3,0%,Ranking!AC97)</f>
        <v>0.05</v>
      </c>
      <c r="AS97" s="50">
        <f>IF('Resultado da inspeção'!R97='Resultado da inspeção'!$W$3,0%,Ranking!AD97)</f>
        <v>0.02</v>
      </c>
      <c r="AT97" s="50">
        <f>IF('Resultado da inspeção'!S97='Resultado da inspeção'!$W$3,0%,Ranking!AE97)</f>
        <v>0.02</v>
      </c>
      <c r="AU97" s="49">
        <f t="shared" si="36"/>
        <v>1</v>
      </c>
    </row>
    <row r="98" spans="2:47" x14ac:dyDescent="0.25">
      <c r="B98" s="48">
        <f>IF('Resultado da inspeção'!F98='Resultado da inspeção'!$W$4,0%,Ranking!B$5)</f>
        <v>0.02</v>
      </c>
      <c r="C98" s="48">
        <f>IF('Resultado da inspeção'!G98='Resultado da inspeção'!$W$4,0%,Ranking!C$5)</f>
        <v>0.03</v>
      </c>
      <c r="D98" s="48">
        <f>IF('Resultado da inspeção'!H98='Resultado da inspeção'!$W$4,0%,Ranking!D$5)</f>
        <v>0.03</v>
      </c>
      <c r="E98" s="48">
        <f>IF('Resultado da inspeção'!I98='Resultado da inspeção'!$W$4,0%,Ranking!E$5)</f>
        <v>0.1</v>
      </c>
      <c r="F98" s="48">
        <f>IF('Resultado da inspeção'!J98='Resultado da inspeção'!$W$4,0%,Ranking!F$5)</f>
        <v>0.21</v>
      </c>
      <c r="G98" s="48">
        <f>IF('Resultado da inspeção'!K98='Resultado da inspeção'!$W$4,0%,Ranking!G$5)</f>
        <v>0.05</v>
      </c>
      <c r="H98" s="48">
        <f>IF('Resultado da inspeção'!L98='Resultado da inspeção'!$W$4,0%,Ranking!H$5)</f>
        <v>0.24</v>
      </c>
      <c r="I98" s="48">
        <f>IF('Resultado da inspeção'!M98='Resultado da inspeção'!$W$4,0%,Ranking!I$5)</f>
        <v>0.05</v>
      </c>
      <c r="J98" s="48">
        <f>IF('Resultado da inspeção'!N98='Resultado da inspeção'!$W$4,0%,Ranking!J$5)</f>
        <v>0.04</v>
      </c>
      <c r="K98" s="48">
        <f>IF('Resultado da inspeção'!O98='Resultado da inspeção'!$W$4,0%,Ranking!K$5)</f>
        <v>0.06</v>
      </c>
      <c r="L98" s="48">
        <f>IF('Resultado da inspeção'!P98='Resultado da inspeção'!$W$4,0%,Ranking!L$5)</f>
        <v>0.08</v>
      </c>
      <c r="M98" s="48">
        <f>IF('Resultado da inspeção'!Q98='Resultado da inspeção'!$W$4,0%,Ranking!M$5)</f>
        <v>0.05</v>
      </c>
      <c r="N98" s="48">
        <f>IF('Resultado da inspeção'!R98='Resultado da inspeção'!$W$4,0%,Ranking!N$5)</f>
        <v>0.02</v>
      </c>
      <c r="O98" s="48">
        <f>IF('Resultado da inspeção'!S98='Resultado da inspeção'!$W$4,0%,Ranking!O$5)</f>
        <v>0.02</v>
      </c>
      <c r="P98" s="47">
        <f t="shared" si="19"/>
        <v>1</v>
      </c>
      <c r="Q98" s="49">
        <f t="shared" si="34"/>
        <v>0</v>
      </c>
      <c r="R98" s="50">
        <f t="shared" si="20"/>
        <v>0.02</v>
      </c>
      <c r="S98" s="50">
        <f t="shared" si="21"/>
        <v>0.03</v>
      </c>
      <c r="T98" s="50">
        <f t="shared" si="22"/>
        <v>0.03</v>
      </c>
      <c r="U98" s="50">
        <f t="shared" si="23"/>
        <v>0.1</v>
      </c>
      <c r="V98" s="50">
        <f t="shared" si="24"/>
        <v>0.21</v>
      </c>
      <c r="W98" s="50">
        <f t="shared" si="25"/>
        <v>0.05</v>
      </c>
      <c r="X98" s="50">
        <f t="shared" si="26"/>
        <v>0.24</v>
      </c>
      <c r="Y98" s="50">
        <f t="shared" si="27"/>
        <v>0.05</v>
      </c>
      <c r="Z98" s="50">
        <f t="shared" si="28"/>
        <v>0.04</v>
      </c>
      <c r="AA98" s="50">
        <f t="shared" si="29"/>
        <v>0.06</v>
      </c>
      <c r="AB98" s="50">
        <f t="shared" si="30"/>
        <v>0.08</v>
      </c>
      <c r="AC98" s="50">
        <f t="shared" si="31"/>
        <v>0.05</v>
      </c>
      <c r="AD98" s="50">
        <f t="shared" si="32"/>
        <v>0.02</v>
      </c>
      <c r="AE98" s="50">
        <f t="shared" si="33"/>
        <v>0.02</v>
      </c>
      <c r="AF98" s="47">
        <f t="shared" si="35"/>
        <v>1</v>
      </c>
      <c r="AG98" s="50">
        <f>IF('Resultado da inspeção'!F98='Resultado da inspeção'!$W$3,0%,Ranking!R98)</f>
        <v>0.02</v>
      </c>
      <c r="AH98" s="50">
        <f>IF('Resultado da inspeção'!G98='Resultado da inspeção'!$W$3,0%,Ranking!S98)</f>
        <v>0.03</v>
      </c>
      <c r="AI98" s="50">
        <f>IF('Resultado da inspeção'!H98='Resultado da inspeção'!$W$3,0%,Ranking!T98)</f>
        <v>0.03</v>
      </c>
      <c r="AJ98" s="50">
        <f>IF('Resultado da inspeção'!I98='Resultado da inspeção'!$W$3,0%,Ranking!U98)</f>
        <v>0.1</v>
      </c>
      <c r="AK98" s="50">
        <f>IF('Resultado da inspeção'!J98='Resultado da inspeção'!$W$3,0%,Ranking!V98)</f>
        <v>0.21</v>
      </c>
      <c r="AL98" s="50">
        <f>IF('Resultado da inspeção'!K98='Resultado da inspeção'!$W$3,0%,Ranking!W98)</f>
        <v>0.05</v>
      </c>
      <c r="AM98" s="50">
        <f>IF('Resultado da inspeção'!L98='Resultado da inspeção'!$W$3,0%,Ranking!X98)</f>
        <v>0.24</v>
      </c>
      <c r="AN98" s="50">
        <f>IF('Resultado da inspeção'!M98='Resultado da inspeção'!$W$3,0%,Ranking!Y98)</f>
        <v>0.05</v>
      </c>
      <c r="AO98" s="50">
        <f>IF('Resultado da inspeção'!N98='Resultado da inspeção'!$W$3,0%,Ranking!Z98)</f>
        <v>0.04</v>
      </c>
      <c r="AP98" s="50">
        <f>IF('Resultado da inspeção'!O98='Resultado da inspeção'!$W$3,0%,Ranking!AA98)</f>
        <v>0.06</v>
      </c>
      <c r="AQ98" s="50">
        <f>IF('Resultado da inspeção'!P98='Resultado da inspeção'!$W$3,0%,Ranking!AB98)</f>
        <v>0.08</v>
      </c>
      <c r="AR98" s="50">
        <f>IF('Resultado da inspeção'!Q98='Resultado da inspeção'!$W$3,0%,Ranking!AC98)</f>
        <v>0.05</v>
      </c>
      <c r="AS98" s="50">
        <f>IF('Resultado da inspeção'!R98='Resultado da inspeção'!$W$3,0%,Ranking!AD98)</f>
        <v>0.02</v>
      </c>
      <c r="AT98" s="50">
        <f>IF('Resultado da inspeção'!S98='Resultado da inspeção'!$W$3,0%,Ranking!AE98)</f>
        <v>0.02</v>
      </c>
      <c r="AU98" s="49">
        <f t="shared" si="36"/>
        <v>1</v>
      </c>
    </row>
    <row r="99" spans="2:47" x14ac:dyDescent="0.25">
      <c r="B99" s="48">
        <f>IF('Resultado da inspeção'!F99='Resultado da inspeção'!$W$4,0%,Ranking!B$5)</f>
        <v>0.02</v>
      </c>
      <c r="C99" s="48">
        <f>IF('Resultado da inspeção'!G99='Resultado da inspeção'!$W$4,0%,Ranking!C$5)</f>
        <v>0.03</v>
      </c>
      <c r="D99" s="48">
        <f>IF('Resultado da inspeção'!H99='Resultado da inspeção'!$W$4,0%,Ranking!D$5)</f>
        <v>0.03</v>
      </c>
      <c r="E99" s="48">
        <f>IF('Resultado da inspeção'!I99='Resultado da inspeção'!$W$4,0%,Ranking!E$5)</f>
        <v>0.1</v>
      </c>
      <c r="F99" s="48">
        <f>IF('Resultado da inspeção'!J99='Resultado da inspeção'!$W$4,0%,Ranking!F$5)</f>
        <v>0.21</v>
      </c>
      <c r="G99" s="48">
        <f>IF('Resultado da inspeção'!K99='Resultado da inspeção'!$W$4,0%,Ranking!G$5)</f>
        <v>0.05</v>
      </c>
      <c r="H99" s="48">
        <f>IF('Resultado da inspeção'!L99='Resultado da inspeção'!$W$4,0%,Ranking!H$5)</f>
        <v>0.24</v>
      </c>
      <c r="I99" s="48">
        <f>IF('Resultado da inspeção'!M99='Resultado da inspeção'!$W$4,0%,Ranking!I$5)</f>
        <v>0.05</v>
      </c>
      <c r="J99" s="48">
        <f>IF('Resultado da inspeção'!N99='Resultado da inspeção'!$W$4,0%,Ranking!J$5)</f>
        <v>0.04</v>
      </c>
      <c r="K99" s="48">
        <f>IF('Resultado da inspeção'!O99='Resultado da inspeção'!$W$4,0%,Ranking!K$5)</f>
        <v>0.06</v>
      </c>
      <c r="L99" s="48">
        <f>IF('Resultado da inspeção'!P99='Resultado da inspeção'!$W$4,0%,Ranking!L$5)</f>
        <v>0.08</v>
      </c>
      <c r="M99" s="48">
        <f>IF('Resultado da inspeção'!Q99='Resultado da inspeção'!$W$4,0%,Ranking!M$5)</f>
        <v>0.05</v>
      </c>
      <c r="N99" s="48">
        <f>IF('Resultado da inspeção'!R99='Resultado da inspeção'!$W$4,0%,Ranking!N$5)</f>
        <v>0.02</v>
      </c>
      <c r="O99" s="48">
        <f>IF('Resultado da inspeção'!S99='Resultado da inspeção'!$W$4,0%,Ranking!O$5)</f>
        <v>0.02</v>
      </c>
      <c r="P99" s="47">
        <f t="shared" si="19"/>
        <v>1</v>
      </c>
      <c r="Q99" s="49">
        <f t="shared" si="34"/>
        <v>0</v>
      </c>
      <c r="R99" s="50">
        <f t="shared" si="20"/>
        <v>0.02</v>
      </c>
      <c r="S99" s="50">
        <f t="shared" si="21"/>
        <v>0.03</v>
      </c>
      <c r="T99" s="50">
        <f t="shared" si="22"/>
        <v>0.03</v>
      </c>
      <c r="U99" s="50">
        <f t="shared" si="23"/>
        <v>0.1</v>
      </c>
      <c r="V99" s="50">
        <f t="shared" si="24"/>
        <v>0.21</v>
      </c>
      <c r="W99" s="50">
        <f t="shared" si="25"/>
        <v>0.05</v>
      </c>
      <c r="X99" s="50">
        <f t="shared" si="26"/>
        <v>0.24</v>
      </c>
      <c r="Y99" s="50">
        <f t="shared" si="27"/>
        <v>0.05</v>
      </c>
      <c r="Z99" s="50">
        <f t="shared" si="28"/>
        <v>0.04</v>
      </c>
      <c r="AA99" s="50">
        <f t="shared" si="29"/>
        <v>0.06</v>
      </c>
      <c r="AB99" s="50">
        <f t="shared" si="30"/>
        <v>0.08</v>
      </c>
      <c r="AC99" s="50">
        <f t="shared" si="31"/>
        <v>0.05</v>
      </c>
      <c r="AD99" s="50">
        <f t="shared" si="32"/>
        <v>0.02</v>
      </c>
      <c r="AE99" s="50">
        <f t="shared" si="33"/>
        <v>0.02</v>
      </c>
      <c r="AF99" s="47">
        <f t="shared" si="35"/>
        <v>1</v>
      </c>
      <c r="AG99" s="50">
        <f>IF('Resultado da inspeção'!F99='Resultado da inspeção'!$W$3,0%,Ranking!R99)</f>
        <v>0.02</v>
      </c>
      <c r="AH99" s="50">
        <f>IF('Resultado da inspeção'!G99='Resultado da inspeção'!$W$3,0%,Ranking!S99)</f>
        <v>0.03</v>
      </c>
      <c r="AI99" s="50">
        <f>IF('Resultado da inspeção'!H99='Resultado da inspeção'!$W$3,0%,Ranking!T99)</f>
        <v>0.03</v>
      </c>
      <c r="AJ99" s="50">
        <f>IF('Resultado da inspeção'!I99='Resultado da inspeção'!$W$3,0%,Ranking!U99)</f>
        <v>0.1</v>
      </c>
      <c r="AK99" s="50">
        <f>IF('Resultado da inspeção'!J99='Resultado da inspeção'!$W$3,0%,Ranking!V99)</f>
        <v>0.21</v>
      </c>
      <c r="AL99" s="50">
        <f>IF('Resultado da inspeção'!K99='Resultado da inspeção'!$W$3,0%,Ranking!W99)</f>
        <v>0.05</v>
      </c>
      <c r="AM99" s="50">
        <f>IF('Resultado da inspeção'!L99='Resultado da inspeção'!$W$3,0%,Ranking!X99)</f>
        <v>0.24</v>
      </c>
      <c r="AN99" s="50">
        <f>IF('Resultado da inspeção'!M99='Resultado da inspeção'!$W$3,0%,Ranking!Y99)</f>
        <v>0.05</v>
      </c>
      <c r="AO99" s="50">
        <f>IF('Resultado da inspeção'!N99='Resultado da inspeção'!$W$3,0%,Ranking!Z99)</f>
        <v>0.04</v>
      </c>
      <c r="AP99" s="50">
        <f>IF('Resultado da inspeção'!O99='Resultado da inspeção'!$W$3,0%,Ranking!AA99)</f>
        <v>0.06</v>
      </c>
      <c r="AQ99" s="50">
        <f>IF('Resultado da inspeção'!P99='Resultado da inspeção'!$W$3,0%,Ranking!AB99)</f>
        <v>0.08</v>
      </c>
      <c r="AR99" s="50">
        <f>IF('Resultado da inspeção'!Q99='Resultado da inspeção'!$W$3,0%,Ranking!AC99)</f>
        <v>0.05</v>
      </c>
      <c r="AS99" s="50">
        <f>IF('Resultado da inspeção'!R99='Resultado da inspeção'!$W$3,0%,Ranking!AD99)</f>
        <v>0.02</v>
      </c>
      <c r="AT99" s="50">
        <f>IF('Resultado da inspeção'!S99='Resultado da inspeção'!$W$3,0%,Ranking!AE99)</f>
        <v>0.02</v>
      </c>
      <c r="AU99" s="49">
        <f t="shared" si="36"/>
        <v>1</v>
      </c>
    </row>
    <row r="100" spans="2:47" x14ac:dyDescent="0.25">
      <c r="B100" s="48">
        <f>IF('Resultado da inspeção'!F100='Resultado da inspeção'!$W$4,0%,Ranking!B$5)</f>
        <v>0.02</v>
      </c>
      <c r="C100" s="48">
        <f>IF('Resultado da inspeção'!G100='Resultado da inspeção'!$W$4,0%,Ranking!C$5)</f>
        <v>0.03</v>
      </c>
      <c r="D100" s="48">
        <f>IF('Resultado da inspeção'!H100='Resultado da inspeção'!$W$4,0%,Ranking!D$5)</f>
        <v>0.03</v>
      </c>
      <c r="E100" s="48">
        <f>IF('Resultado da inspeção'!I100='Resultado da inspeção'!$W$4,0%,Ranking!E$5)</f>
        <v>0.1</v>
      </c>
      <c r="F100" s="48">
        <f>IF('Resultado da inspeção'!J100='Resultado da inspeção'!$W$4,0%,Ranking!F$5)</f>
        <v>0.21</v>
      </c>
      <c r="G100" s="48">
        <f>IF('Resultado da inspeção'!K100='Resultado da inspeção'!$W$4,0%,Ranking!G$5)</f>
        <v>0.05</v>
      </c>
      <c r="H100" s="48">
        <f>IF('Resultado da inspeção'!L100='Resultado da inspeção'!$W$4,0%,Ranking!H$5)</f>
        <v>0.24</v>
      </c>
      <c r="I100" s="48">
        <f>IF('Resultado da inspeção'!M100='Resultado da inspeção'!$W$4,0%,Ranking!I$5)</f>
        <v>0.05</v>
      </c>
      <c r="J100" s="48">
        <f>IF('Resultado da inspeção'!N100='Resultado da inspeção'!$W$4,0%,Ranking!J$5)</f>
        <v>0.04</v>
      </c>
      <c r="K100" s="48">
        <f>IF('Resultado da inspeção'!O100='Resultado da inspeção'!$W$4,0%,Ranking!K$5)</f>
        <v>0.06</v>
      </c>
      <c r="L100" s="48">
        <f>IF('Resultado da inspeção'!P100='Resultado da inspeção'!$W$4,0%,Ranking!L$5)</f>
        <v>0.08</v>
      </c>
      <c r="M100" s="48">
        <f>IF('Resultado da inspeção'!Q100='Resultado da inspeção'!$W$4,0%,Ranking!M$5)</f>
        <v>0.05</v>
      </c>
      <c r="N100" s="48">
        <f>IF('Resultado da inspeção'!R100='Resultado da inspeção'!$W$4,0%,Ranking!N$5)</f>
        <v>0.02</v>
      </c>
      <c r="O100" s="48">
        <f>IF('Resultado da inspeção'!S100='Resultado da inspeção'!$W$4,0%,Ranking!O$5)</f>
        <v>0.02</v>
      </c>
      <c r="P100" s="47">
        <f t="shared" si="19"/>
        <v>1</v>
      </c>
      <c r="Q100" s="49">
        <f t="shared" si="34"/>
        <v>0</v>
      </c>
      <c r="R100" s="50">
        <f t="shared" si="20"/>
        <v>0.02</v>
      </c>
      <c r="S100" s="50">
        <f t="shared" si="21"/>
        <v>0.03</v>
      </c>
      <c r="T100" s="50">
        <f t="shared" si="22"/>
        <v>0.03</v>
      </c>
      <c r="U100" s="50">
        <f t="shared" si="23"/>
        <v>0.1</v>
      </c>
      <c r="V100" s="50">
        <f t="shared" si="24"/>
        <v>0.21</v>
      </c>
      <c r="W100" s="50">
        <f t="shared" si="25"/>
        <v>0.05</v>
      </c>
      <c r="X100" s="50">
        <f t="shared" si="26"/>
        <v>0.24</v>
      </c>
      <c r="Y100" s="50">
        <f t="shared" si="27"/>
        <v>0.05</v>
      </c>
      <c r="Z100" s="50">
        <f t="shared" si="28"/>
        <v>0.04</v>
      </c>
      <c r="AA100" s="50">
        <f t="shared" si="29"/>
        <v>0.06</v>
      </c>
      <c r="AB100" s="50">
        <f t="shared" si="30"/>
        <v>0.08</v>
      </c>
      <c r="AC100" s="50">
        <f t="shared" si="31"/>
        <v>0.05</v>
      </c>
      <c r="AD100" s="50">
        <f t="shared" si="32"/>
        <v>0.02</v>
      </c>
      <c r="AE100" s="50">
        <f t="shared" si="33"/>
        <v>0.02</v>
      </c>
      <c r="AF100" s="47">
        <f t="shared" si="35"/>
        <v>1</v>
      </c>
      <c r="AG100" s="50">
        <f>IF('Resultado da inspeção'!F100='Resultado da inspeção'!$W$3,0%,Ranking!R100)</f>
        <v>0.02</v>
      </c>
      <c r="AH100" s="50">
        <f>IF('Resultado da inspeção'!G100='Resultado da inspeção'!$W$3,0%,Ranking!S100)</f>
        <v>0.03</v>
      </c>
      <c r="AI100" s="50">
        <f>IF('Resultado da inspeção'!H100='Resultado da inspeção'!$W$3,0%,Ranking!T100)</f>
        <v>0.03</v>
      </c>
      <c r="AJ100" s="50">
        <f>IF('Resultado da inspeção'!I100='Resultado da inspeção'!$W$3,0%,Ranking!U100)</f>
        <v>0.1</v>
      </c>
      <c r="AK100" s="50">
        <f>IF('Resultado da inspeção'!J100='Resultado da inspeção'!$W$3,0%,Ranking!V100)</f>
        <v>0.21</v>
      </c>
      <c r="AL100" s="50">
        <f>IF('Resultado da inspeção'!K100='Resultado da inspeção'!$W$3,0%,Ranking!W100)</f>
        <v>0.05</v>
      </c>
      <c r="AM100" s="50">
        <f>IF('Resultado da inspeção'!L100='Resultado da inspeção'!$W$3,0%,Ranking!X100)</f>
        <v>0.24</v>
      </c>
      <c r="AN100" s="50">
        <f>IF('Resultado da inspeção'!M100='Resultado da inspeção'!$W$3,0%,Ranking!Y100)</f>
        <v>0.05</v>
      </c>
      <c r="AO100" s="50">
        <f>IF('Resultado da inspeção'!N100='Resultado da inspeção'!$W$3,0%,Ranking!Z100)</f>
        <v>0.04</v>
      </c>
      <c r="AP100" s="50">
        <f>IF('Resultado da inspeção'!O100='Resultado da inspeção'!$W$3,0%,Ranking!AA100)</f>
        <v>0.06</v>
      </c>
      <c r="AQ100" s="50">
        <f>IF('Resultado da inspeção'!P100='Resultado da inspeção'!$W$3,0%,Ranking!AB100)</f>
        <v>0.08</v>
      </c>
      <c r="AR100" s="50">
        <f>IF('Resultado da inspeção'!Q100='Resultado da inspeção'!$W$3,0%,Ranking!AC100)</f>
        <v>0.05</v>
      </c>
      <c r="AS100" s="50">
        <f>IF('Resultado da inspeção'!R100='Resultado da inspeção'!$W$3,0%,Ranking!AD100)</f>
        <v>0.02</v>
      </c>
      <c r="AT100" s="50">
        <f>IF('Resultado da inspeção'!S100='Resultado da inspeção'!$W$3,0%,Ranking!AE100)</f>
        <v>0.02</v>
      </c>
      <c r="AU100" s="49">
        <f t="shared" si="36"/>
        <v>1</v>
      </c>
    </row>
    <row r="101" spans="2:47" x14ac:dyDescent="0.25">
      <c r="B101" s="48">
        <f>IF('Resultado da inspeção'!F101='Resultado da inspeção'!$W$4,0%,Ranking!B$5)</f>
        <v>0.02</v>
      </c>
      <c r="C101" s="48">
        <f>IF('Resultado da inspeção'!G101='Resultado da inspeção'!$W$4,0%,Ranking!C$5)</f>
        <v>0.03</v>
      </c>
      <c r="D101" s="48">
        <f>IF('Resultado da inspeção'!H101='Resultado da inspeção'!$W$4,0%,Ranking!D$5)</f>
        <v>0.03</v>
      </c>
      <c r="E101" s="48">
        <f>IF('Resultado da inspeção'!I101='Resultado da inspeção'!$W$4,0%,Ranking!E$5)</f>
        <v>0.1</v>
      </c>
      <c r="F101" s="48">
        <f>IF('Resultado da inspeção'!J101='Resultado da inspeção'!$W$4,0%,Ranking!F$5)</f>
        <v>0.21</v>
      </c>
      <c r="G101" s="48">
        <f>IF('Resultado da inspeção'!K101='Resultado da inspeção'!$W$4,0%,Ranking!G$5)</f>
        <v>0.05</v>
      </c>
      <c r="H101" s="48">
        <f>IF('Resultado da inspeção'!L101='Resultado da inspeção'!$W$4,0%,Ranking!H$5)</f>
        <v>0.24</v>
      </c>
      <c r="I101" s="48">
        <f>IF('Resultado da inspeção'!M101='Resultado da inspeção'!$W$4,0%,Ranking!I$5)</f>
        <v>0.05</v>
      </c>
      <c r="J101" s="48">
        <f>IF('Resultado da inspeção'!N101='Resultado da inspeção'!$W$4,0%,Ranking!J$5)</f>
        <v>0.04</v>
      </c>
      <c r="K101" s="48">
        <f>IF('Resultado da inspeção'!O101='Resultado da inspeção'!$W$4,0%,Ranking!K$5)</f>
        <v>0.06</v>
      </c>
      <c r="L101" s="48">
        <f>IF('Resultado da inspeção'!P101='Resultado da inspeção'!$W$4,0%,Ranking!L$5)</f>
        <v>0.08</v>
      </c>
      <c r="M101" s="48">
        <f>IF('Resultado da inspeção'!Q101='Resultado da inspeção'!$W$4,0%,Ranking!M$5)</f>
        <v>0.05</v>
      </c>
      <c r="N101" s="48">
        <f>IF('Resultado da inspeção'!R101='Resultado da inspeção'!$W$4,0%,Ranking!N$5)</f>
        <v>0.02</v>
      </c>
      <c r="O101" s="48">
        <f>IF('Resultado da inspeção'!S101='Resultado da inspeção'!$W$4,0%,Ranking!O$5)</f>
        <v>0.02</v>
      </c>
      <c r="P101" s="47">
        <f t="shared" si="19"/>
        <v>1</v>
      </c>
      <c r="Q101" s="49">
        <f t="shared" si="34"/>
        <v>0</v>
      </c>
      <c r="R101" s="50">
        <f t="shared" si="20"/>
        <v>0.02</v>
      </c>
      <c r="S101" s="50">
        <f t="shared" si="21"/>
        <v>0.03</v>
      </c>
      <c r="T101" s="50">
        <f t="shared" si="22"/>
        <v>0.03</v>
      </c>
      <c r="U101" s="50">
        <f t="shared" si="23"/>
        <v>0.1</v>
      </c>
      <c r="V101" s="50">
        <f t="shared" si="24"/>
        <v>0.21</v>
      </c>
      <c r="W101" s="50">
        <f t="shared" si="25"/>
        <v>0.05</v>
      </c>
      <c r="X101" s="50">
        <f t="shared" si="26"/>
        <v>0.24</v>
      </c>
      <c r="Y101" s="50">
        <f t="shared" si="27"/>
        <v>0.05</v>
      </c>
      <c r="Z101" s="50">
        <f t="shared" si="28"/>
        <v>0.04</v>
      </c>
      <c r="AA101" s="50">
        <f t="shared" si="29"/>
        <v>0.06</v>
      </c>
      <c r="AB101" s="50">
        <f t="shared" si="30"/>
        <v>0.08</v>
      </c>
      <c r="AC101" s="50">
        <f t="shared" si="31"/>
        <v>0.05</v>
      </c>
      <c r="AD101" s="50">
        <f t="shared" si="32"/>
        <v>0.02</v>
      </c>
      <c r="AE101" s="50">
        <f t="shared" si="33"/>
        <v>0.02</v>
      </c>
      <c r="AF101" s="47">
        <f t="shared" si="35"/>
        <v>1</v>
      </c>
      <c r="AG101" s="50">
        <f>IF('Resultado da inspeção'!F101='Resultado da inspeção'!$W$3,0%,Ranking!R101)</f>
        <v>0.02</v>
      </c>
      <c r="AH101" s="50">
        <f>IF('Resultado da inspeção'!G101='Resultado da inspeção'!$W$3,0%,Ranking!S101)</f>
        <v>0.03</v>
      </c>
      <c r="AI101" s="50">
        <f>IF('Resultado da inspeção'!H101='Resultado da inspeção'!$W$3,0%,Ranking!T101)</f>
        <v>0.03</v>
      </c>
      <c r="AJ101" s="50">
        <f>IF('Resultado da inspeção'!I101='Resultado da inspeção'!$W$3,0%,Ranking!U101)</f>
        <v>0.1</v>
      </c>
      <c r="AK101" s="50">
        <f>IF('Resultado da inspeção'!J101='Resultado da inspeção'!$W$3,0%,Ranking!V101)</f>
        <v>0.21</v>
      </c>
      <c r="AL101" s="50">
        <f>IF('Resultado da inspeção'!K101='Resultado da inspeção'!$W$3,0%,Ranking!W101)</f>
        <v>0.05</v>
      </c>
      <c r="AM101" s="50">
        <f>IF('Resultado da inspeção'!L101='Resultado da inspeção'!$W$3,0%,Ranking!X101)</f>
        <v>0.24</v>
      </c>
      <c r="AN101" s="50">
        <f>IF('Resultado da inspeção'!M101='Resultado da inspeção'!$W$3,0%,Ranking!Y101)</f>
        <v>0.05</v>
      </c>
      <c r="AO101" s="50">
        <f>IF('Resultado da inspeção'!N101='Resultado da inspeção'!$W$3,0%,Ranking!Z101)</f>
        <v>0.04</v>
      </c>
      <c r="AP101" s="50">
        <f>IF('Resultado da inspeção'!O101='Resultado da inspeção'!$W$3,0%,Ranking!AA101)</f>
        <v>0.06</v>
      </c>
      <c r="AQ101" s="50">
        <f>IF('Resultado da inspeção'!P101='Resultado da inspeção'!$W$3,0%,Ranking!AB101)</f>
        <v>0.08</v>
      </c>
      <c r="AR101" s="50">
        <f>IF('Resultado da inspeção'!Q101='Resultado da inspeção'!$W$3,0%,Ranking!AC101)</f>
        <v>0.05</v>
      </c>
      <c r="AS101" s="50">
        <f>IF('Resultado da inspeção'!R101='Resultado da inspeção'!$W$3,0%,Ranking!AD101)</f>
        <v>0.02</v>
      </c>
      <c r="AT101" s="50">
        <f>IF('Resultado da inspeção'!S101='Resultado da inspeção'!$W$3,0%,Ranking!AE101)</f>
        <v>0.02</v>
      </c>
      <c r="AU101" s="49">
        <f t="shared" si="36"/>
        <v>1</v>
      </c>
    </row>
    <row r="102" spans="2:47" x14ac:dyDescent="0.25">
      <c r="B102" s="48">
        <f>IF('Resultado da inspeção'!F102='Resultado da inspeção'!$W$4,0%,Ranking!B$5)</f>
        <v>0.02</v>
      </c>
      <c r="C102" s="48">
        <f>IF('Resultado da inspeção'!G102='Resultado da inspeção'!$W$4,0%,Ranking!C$5)</f>
        <v>0.03</v>
      </c>
      <c r="D102" s="48">
        <f>IF('Resultado da inspeção'!H102='Resultado da inspeção'!$W$4,0%,Ranking!D$5)</f>
        <v>0.03</v>
      </c>
      <c r="E102" s="48">
        <f>IF('Resultado da inspeção'!I102='Resultado da inspeção'!$W$4,0%,Ranking!E$5)</f>
        <v>0.1</v>
      </c>
      <c r="F102" s="48">
        <f>IF('Resultado da inspeção'!J102='Resultado da inspeção'!$W$4,0%,Ranking!F$5)</f>
        <v>0.21</v>
      </c>
      <c r="G102" s="48">
        <f>IF('Resultado da inspeção'!K102='Resultado da inspeção'!$W$4,0%,Ranking!G$5)</f>
        <v>0.05</v>
      </c>
      <c r="H102" s="48">
        <f>IF('Resultado da inspeção'!L102='Resultado da inspeção'!$W$4,0%,Ranking!H$5)</f>
        <v>0.24</v>
      </c>
      <c r="I102" s="48">
        <f>IF('Resultado da inspeção'!M102='Resultado da inspeção'!$W$4,0%,Ranking!I$5)</f>
        <v>0.05</v>
      </c>
      <c r="J102" s="48">
        <f>IF('Resultado da inspeção'!N102='Resultado da inspeção'!$W$4,0%,Ranking!J$5)</f>
        <v>0.04</v>
      </c>
      <c r="K102" s="48">
        <f>IF('Resultado da inspeção'!O102='Resultado da inspeção'!$W$4,0%,Ranking!K$5)</f>
        <v>0.06</v>
      </c>
      <c r="L102" s="48">
        <f>IF('Resultado da inspeção'!P102='Resultado da inspeção'!$W$4,0%,Ranking!L$5)</f>
        <v>0.08</v>
      </c>
      <c r="M102" s="48">
        <f>IF('Resultado da inspeção'!Q102='Resultado da inspeção'!$W$4,0%,Ranking!M$5)</f>
        <v>0.05</v>
      </c>
      <c r="N102" s="48">
        <f>IF('Resultado da inspeção'!R102='Resultado da inspeção'!$W$4,0%,Ranking!N$5)</f>
        <v>0.02</v>
      </c>
      <c r="O102" s="48">
        <f>IF('Resultado da inspeção'!S102='Resultado da inspeção'!$W$4,0%,Ranking!O$5)</f>
        <v>0.02</v>
      </c>
      <c r="P102" s="47">
        <f t="shared" si="19"/>
        <v>1</v>
      </c>
      <c r="Q102" s="49">
        <f t="shared" si="34"/>
        <v>0</v>
      </c>
      <c r="R102" s="50">
        <f t="shared" si="20"/>
        <v>0.02</v>
      </c>
      <c r="S102" s="50">
        <f t="shared" si="21"/>
        <v>0.03</v>
      </c>
      <c r="T102" s="50">
        <f t="shared" si="22"/>
        <v>0.03</v>
      </c>
      <c r="U102" s="50">
        <f t="shared" si="23"/>
        <v>0.1</v>
      </c>
      <c r="V102" s="50">
        <f t="shared" si="24"/>
        <v>0.21</v>
      </c>
      <c r="W102" s="50">
        <f t="shared" si="25"/>
        <v>0.05</v>
      </c>
      <c r="X102" s="50">
        <f t="shared" si="26"/>
        <v>0.24</v>
      </c>
      <c r="Y102" s="50">
        <f t="shared" si="27"/>
        <v>0.05</v>
      </c>
      <c r="Z102" s="50">
        <f t="shared" si="28"/>
        <v>0.04</v>
      </c>
      <c r="AA102" s="50">
        <f t="shared" si="29"/>
        <v>0.06</v>
      </c>
      <c r="AB102" s="50">
        <f t="shared" si="30"/>
        <v>0.08</v>
      </c>
      <c r="AC102" s="50">
        <f t="shared" si="31"/>
        <v>0.05</v>
      </c>
      <c r="AD102" s="50">
        <f t="shared" si="32"/>
        <v>0.02</v>
      </c>
      <c r="AE102" s="50">
        <f t="shared" si="33"/>
        <v>0.02</v>
      </c>
      <c r="AF102" s="47">
        <f t="shared" si="35"/>
        <v>1</v>
      </c>
      <c r="AG102" s="50">
        <f>IF('Resultado da inspeção'!F102='Resultado da inspeção'!$W$3,0%,Ranking!R102)</f>
        <v>0.02</v>
      </c>
      <c r="AH102" s="50">
        <f>IF('Resultado da inspeção'!G102='Resultado da inspeção'!$W$3,0%,Ranking!S102)</f>
        <v>0.03</v>
      </c>
      <c r="AI102" s="50">
        <f>IF('Resultado da inspeção'!H102='Resultado da inspeção'!$W$3,0%,Ranking!T102)</f>
        <v>0.03</v>
      </c>
      <c r="AJ102" s="50">
        <f>IF('Resultado da inspeção'!I102='Resultado da inspeção'!$W$3,0%,Ranking!U102)</f>
        <v>0.1</v>
      </c>
      <c r="AK102" s="50">
        <f>IF('Resultado da inspeção'!J102='Resultado da inspeção'!$W$3,0%,Ranking!V102)</f>
        <v>0.21</v>
      </c>
      <c r="AL102" s="50">
        <f>IF('Resultado da inspeção'!K102='Resultado da inspeção'!$W$3,0%,Ranking!W102)</f>
        <v>0.05</v>
      </c>
      <c r="AM102" s="50">
        <f>IF('Resultado da inspeção'!L102='Resultado da inspeção'!$W$3,0%,Ranking!X102)</f>
        <v>0.24</v>
      </c>
      <c r="AN102" s="50">
        <f>IF('Resultado da inspeção'!M102='Resultado da inspeção'!$W$3,0%,Ranking!Y102)</f>
        <v>0.05</v>
      </c>
      <c r="AO102" s="50">
        <f>IF('Resultado da inspeção'!N102='Resultado da inspeção'!$W$3,0%,Ranking!Z102)</f>
        <v>0.04</v>
      </c>
      <c r="AP102" s="50">
        <f>IF('Resultado da inspeção'!O102='Resultado da inspeção'!$W$3,0%,Ranking!AA102)</f>
        <v>0.06</v>
      </c>
      <c r="AQ102" s="50">
        <f>IF('Resultado da inspeção'!P102='Resultado da inspeção'!$W$3,0%,Ranking!AB102)</f>
        <v>0.08</v>
      </c>
      <c r="AR102" s="50">
        <f>IF('Resultado da inspeção'!Q102='Resultado da inspeção'!$W$3,0%,Ranking!AC102)</f>
        <v>0.05</v>
      </c>
      <c r="AS102" s="50">
        <f>IF('Resultado da inspeção'!R102='Resultado da inspeção'!$W$3,0%,Ranking!AD102)</f>
        <v>0.02</v>
      </c>
      <c r="AT102" s="50">
        <f>IF('Resultado da inspeção'!S102='Resultado da inspeção'!$W$3,0%,Ranking!AE102)</f>
        <v>0.02</v>
      </c>
      <c r="AU102" s="49">
        <f t="shared" si="36"/>
        <v>1</v>
      </c>
    </row>
    <row r="103" spans="2:47" x14ac:dyDescent="0.25">
      <c r="B103" s="48">
        <f>IF('Resultado da inspeção'!F103='Resultado da inspeção'!$W$4,0%,Ranking!B$5)</f>
        <v>0.02</v>
      </c>
      <c r="C103" s="48">
        <f>IF('Resultado da inspeção'!G103='Resultado da inspeção'!$W$4,0%,Ranking!C$5)</f>
        <v>0.03</v>
      </c>
      <c r="D103" s="48">
        <f>IF('Resultado da inspeção'!H103='Resultado da inspeção'!$W$4,0%,Ranking!D$5)</f>
        <v>0.03</v>
      </c>
      <c r="E103" s="48">
        <f>IF('Resultado da inspeção'!I103='Resultado da inspeção'!$W$4,0%,Ranking!E$5)</f>
        <v>0.1</v>
      </c>
      <c r="F103" s="48">
        <f>IF('Resultado da inspeção'!J103='Resultado da inspeção'!$W$4,0%,Ranking!F$5)</f>
        <v>0.21</v>
      </c>
      <c r="G103" s="48">
        <f>IF('Resultado da inspeção'!K103='Resultado da inspeção'!$W$4,0%,Ranking!G$5)</f>
        <v>0.05</v>
      </c>
      <c r="H103" s="48">
        <f>IF('Resultado da inspeção'!L103='Resultado da inspeção'!$W$4,0%,Ranking!H$5)</f>
        <v>0.24</v>
      </c>
      <c r="I103" s="48">
        <f>IF('Resultado da inspeção'!M103='Resultado da inspeção'!$W$4,0%,Ranking!I$5)</f>
        <v>0.05</v>
      </c>
      <c r="J103" s="48">
        <f>IF('Resultado da inspeção'!N103='Resultado da inspeção'!$W$4,0%,Ranking!J$5)</f>
        <v>0.04</v>
      </c>
      <c r="K103" s="48">
        <f>IF('Resultado da inspeção'!O103='Resultado da inspeção'!$W$4,0%,Ranking!K$5)</f>
        <v>0.06</v>
      </c>
      <c r="L103" s="48">
        <f>IF('Resultado da inspeção'!P103='Resultado da inspeção'!$W$4,0%,Ranking!L$5)</f>
        <v>0.08</v>
      </c>
      <c r="M103" s="48">
        <f>IF('Resultado da inspeção'!Q103='Resultado da inspeção'!$W$4,0%,Ranking!M$5)</f>
        <v>0.05</v>
      </c>
      <c r="N103" s="48">
        <f>IF('Resultado da inspeção'!R103='Resultado da inspeção'!$W$4,0%,Ranking!N$5)</f>
        <v>0.02</v>
      </c>
      <c r="O103" s="48">
        <f>IF('Resultado da inspeção'!S103='Resultado da inspeção'!$W$4,0%,Ranking!O$5)</f>
        <v>0.02</v>
      </c>
      <c r="P103" s="47">
        <f t="shared" si="19"/>
        <v>1</v>
      </c>
      <c r="Q103" s="49">
        <f t="shared" si="34"/>
        <v>0</v>
      </c>
      <c r="R103" s="50">
        <f t="shared" si="20"/>
        <v>0.02</v>
      </c>
      <c r="S103" s="50">
        <f t="shared" si="21"/>
        <v>0.03</v>
      </c>
      <c r="T103" s="50">
        <f t="shared" si="22"/>
        <v>0.03</v>
      </c>
      <c r="U103" s="50">
        <f t="shared" si="23"/>
        <v>0.1</v>
      </c>
      <c r="V103" s="50">
        <f t="shared" si="24"/>
        <v>0.21</v>
      </c>
      <c r="W103" s="50">
        <f t="shared" si="25"/>
        <v>0.05</v>
      </c>
      <c r="X103" s="50">
        <f t="shared" si="26"/>
        <v>0.24</v>
      </c>
      <c r="Y103" s="50">
        <f t="shared" si="27"/>
        <v>0.05</v>
      </c>
      <c r="Z103" s="50">
        <f t="shared" si="28"/>
        <v>0.04</v>
      </c>
      <c r="AA103" s="50">
        <f t="shared" si="29"/>
        <v>0.06</v>
      </c>
      <c r="AB103" s="50">
        <f t="shared" si="30"/>
        <v>0.08</v>
      </c>
      <c r="AC103" s="50">
        <f t="shared" si="31"/>
        <v>0.05</v>
      </c>
      <c r="AD103" s="50">
        <f t="shared" si="32"/>
        <v>0.02</v>
      </c>
      <c r="AE103" s="50">
        <f t="shared" si="33"/>
        <v>0.02</v>
      </c>
      <c r="AF103" s="47">
        <f t="shared" si="35"/>
        <v>1</v>
      </c>
      <c r="AG103" s="50">
        <f>IF('Resultado da inspeção'!F103='Resultado da inspeção'!$W$3,0%,Ranking!R103)</f>
        <v>0.02</v>
      </c>
      <c r="AH103" s="50">
        <f>IF('Resultado da inspeção'!G103='Resultado da inspeção'!$W$3,0%,Ranking!S103)</f>
        <v>0.03</v>
      </c>
      <c r="AI103" s="50">
        <f>IF('Resultado da inspeção'!H103='Resultado da inspeção'!$W$3,0%,Ranking!T103)</f>
        <v>0.03</v>
      </c>
      <c r="AJ103" s="50">
        <f>IF('Resultado da inspeção'!I103='Resultado da inspeção'!$W$3,0%,Ranking!U103)</f>
        <v>0.1</v>
      </c>
      <c r="AK103" s="50">
        <f>IF('Resultado da inspeção'!J103='Resultado da inspeção'!$W$3,0%,Ranking!V103)</f>
        <v>0.21</v>
      </c>
      <c r="AL103" s="50">
        <f>IF('Resultado da inspeção'!K103='Resultado da inspeção'!$W$3,0%,Ranking!W103)</f>
        <v>0.05</v>
      </c>
      <c r="AM103" s="50">
        <f>IF('Resultado da inspeção'!L103='Resultado da inspeção'!$W$3,0%,Ranking!X103)</f>
        <v>0.24</v>
      </c>
      <c r="AN103" s="50">
        <f>IF('Resultado da inspeção'!M103='Resultado da inspeção'!$W$3,0%,Ranking!Y103)</f>
        <v>0.05</v>
      </c>
      <c r="AO103" s="50">
        <f>IF('Resultado da inspeção'!N103='Resultado da inspeção'!$W$3,0%,Ranking!Z103)</f>
        <v>0.04</v>
      </c>
      <c r="AP103" s="50">
        <f>IF('Resultado da inspeção'!O103='Resultado da inspeção'!$W$3,0%,Ranking!AA103)</f>
        <v>0.06</v>
      </c>
      <c r="AQ103" s="50">
        <f>IF('Resultado da inspeção'!P103='Resultado da inspeção'!$W$3,0%,Ranking!AB103)</f>
        <v>0.08</v>
      </c>
      <c r="AR103" s="50">
        <f>IF('Resultado da inspeção'!Q103='Resultado da inspeção'!$W$3,0%,Ranking!AC103)</f>
        <v>0.05</v>
      </c>
      <c r="AS103" s="50">
        <f>IF('Resultado da inspeção'!R103='Resultado da inspeção'!$W$3,0%,Ranking!AD103)</f>
        <v>0.02</v>
      </c>
      <c r="AT103" s="50">
        <f>IF('Resultado da inspeção'!S103='Resultado da inspeção'!$W$3,0%,Ranking!AE103)</f>
        <v>0.02</v>
      </c>
      <c r="AU103" s="49">
        <f t="shared" si="36"/>
        <v>1</v>
      </c>
    </row>
    <row r="104" spans="2:47" x14ac:dyDescent="0.25">
      <c r="B104" s="48">
        <f>IF('Resultado da inspeção'!F104='Resultado da inspeção'!$W$4,0%,Ranking!B$5)</f>
        <v>0.02</v>
      </c>
      <c r="C104" s="48">
        <f>IF('Resultado da inspeção'!G104='Resultado da inspeção'!$W$4,0%,Ranking!C$5)</f>
        <v>0.03</v>
      </c>
      <c r="D104" s="48">
        <f>IF('Resultado da inspeção'!H104='Resultado da inspeção'!$W$4,0%,Ranking!D$5)</f>
        <v>0.03</v>
      </c>
      <c r="E104" s="48">
        <f>IF('Resultado da inspeção'!I104='Resultado da inspeção'!$W$4,0%,Ranking!E$5)</f>
        <v>0.1</v>
      </c>
      <c r="F104" s="48">
        <f>IF('Resultado da inspeção'!J104='Resultado da inspeção'!$W$4,0%,Ranking!F$5)</f>
        <v>0.21</v>
      </c>
      <c r="G104" s="48">
        <f>IF('Resultado da inspeção'!K104='Resultado da inspeção'!$W$4,0%,Ranking!G$5)</f>
        <v>0.05</v>
      </c>
      <c r="H104" s="48">
        <f>IF('Resultado da inspeção'!L104='Resultado da inspeção'!$W$4,0%,Ranking!H$5)</f>
        <v>0.24</v>
      </c>
      <c r="I104" s="48">
        <f>IF('Resultado da inspeção'!M104='Resultado da inspeção'!$W$4,0%,Ranking!I$5)</f>
        <v>0.05</v>
      </c>
      <c r="J104" s="48">
        <f>IF('Resultado da inspeção'!N104='Resultado da inspeção'!$W$4,0%,Ranking!J$5)</f>
        <v>0.04</v>
      </c>
      <c r="K104" s="48">
        <f>IF('Resultado da inspeção'!O104='Resultado da inspeção'!$W$4,0%,Ranking!K$5)</f>
        <v>0.06</v>
      </c>
      <c r="L104" s="48">
        <f>IF('Resultado da inspeção'!P104='Resultado da inspeção'!$W$4,0%,Ranking!L$5)</f>
        <v>0.08</v>
      </c>
      <c r="M104" s="48">
        <f>IF('Resultado da inspeção'!Q104='Resultado da inspeção'!$W$4,0%,Ranking!M$5)</f>
        <v>0.05</v>
      </c>
      <c r="N104" s="48">
        <f>IF('Resultado da inspeção'!R104='Resultado da inspeção'!$W$4,0%,Ranking!N$5)</f>
        <v>0.02</v>
      </c>
      <c r="O104" s="48">
        <f>IF('Resultado da inspeção'!S104='Resultado da inspeção'!$W$4,0%,Ranking!O$5)</f>
        <v>0.02</v>
      </c>
      <c r="P104" s="47">
        <f t="shared" si="19"/>
        <v>1</v>
      </c>
      <c r="Q104" s="49">
        <f t="shared" si="34"/>
        <v>0</v>
      </c>
      <c r="R104" s="50">
        <f t="shared" si="20"/>
        <v>0.02</v>
      </c>
      <c r="S104" s="50">
        <f t="shared" si="21"/>
        <v>0.03</v>
      </c>
      <c r="T104" s="50">
        <f t="shared" si="22"/>
        <v>0.03</v>
      </c>
      <c r="U104" s="50">
        <f t="shared" si="23"/>
        <v>0.1</v>
      </c>
      <c r="V104" s="50">
        <f t="shared" si="24"/>
        <v>0.21</v>
      </c>
      <c r="W104" s="50">
        <f t="shared" si="25"/>
        <v>0.05</v>
      </c>
      <c r="X104" s="50">
        <f t="shared" si="26"/>
        <v>0.24</v>
      </c>
      <c r="Y104" s="50">
        <f t="shared" si="27"/>
        <v>0.05</v>
      </c>
      <c r="Z104" s="50">
        <f t="shared" si="28"/>
        <v>0.04</v>
      </c>
      <c r="AA104" s="50">
        <f t="shared" si="29"/>
        <v>0.06</v>
      </c>
      <c r="AB104" s="50">
        <f t="shared" si="30"/>
        <v>0.08</v>
      </c>
      <c r="AC104" s="50">
        <f t="shared" si="31"/>
        <v>0.05</v>
      </c>
      <c r="AD104" s="50">
        <f t="shared" si="32"/>
        <v>0.02</v>
      </c>
      <c r="AE104" s="50">
        <f t="shared" si="33"/>
        <v>0.02</v>
      </c>
      <c r="AF104" s="47">
        <f t="shared" si="35"/>
        <v>1</v>
      </c>
      <c r="AG104" s="50">
        <f>IF('Resultado da inspeção'!F104='Resultado da inspeção'!$W$3,0%,Ranking!R104)</f>
        <v>0.02</v>
      </c>
      <c r="AH104" s="50">
        <f>IF('Resultado da inspeção'!G104='Resultado da inspeção'!$W$3,0%,Ranking!S104)</f>
        <v>0.03</v>
      </c>
      <c r="AI104" s="50">
        <f>IF('Resultado da inspeção'!H104='Resultado da inspeção'!$W$3,0%,Ranking!T104)</f>
        <v>0.03</v>
      </c>
      <c r="AJ104" s="50">
        <f>IF('Resultado da inspeção'!I104='Resultado da inspeção'!$W$3,0%,Ranking!U104)</f>
        <v>0.1</v>
      </c>
      <c r="AK104" s="50">
        <f>IF('Resultado da inspeção'!J104='Resultado da inspeção'!$W$3,0%,Ranking!V104)</f>
        <v>0.21</v>
      </c>
      <c r="AL104" s="50">
        <f>IF('Resultado da inspeção'!K104='Resultado da inspeção'!$W$3,0%,Ranking!W104)</f>
        <v>0.05</v>
      </c>
      <c r="AM104" s="50">
        <f>IF('Resultado da inspeção'!L104='Resultado da inspeção'!$W$3,0%,Ranking!X104)</f>
        <v>0.24</v>
      </c>
      <c r="AN104" s="50">
        <f>IF('Resultado da inspeção'!M104='Resultado da inspeção'!$W$3,0%,Ranking!Y104)</f>
        <v>0.05</v>
      </c>
      <c r="AO104" s="50">
        <f>IF('Resultado da inspeção'!N104='Resultado da inspeção'!$W$3,0%,Ranking!Z104)</f>
        <v>0.04</v>
      </c>
      <c r="AP104" s="50">
        <f>IF('Resultado da inspeção'!O104='Resultado da inspeção'!$W$3,0%,Ranking!AA104)</f>
        <v>0.06</v>
      </c>
      <c r="AQ104" s="50">
        <f>IF('Resultado da inspeção'!P104='Resultado da inspeção'!$W$3,0%,Ranking!AB104)</f>
        <v>0.08</v>
      </c>
      <c r="AR104" s="50">
        <f>IF('Resultado da inspeção'!Q104='Resultado da inspeção'!$W$3,0%,Ranking!AC104)</f>
        <v>0.05</v>
      </c>
      <c r="AS104" s="50">
        <f>IF('Resultado da inspeção'!R104='Resultado da inspeção'!$W$3,0%,Ranking!AD104)</f>
        <v>0.02</v>
      </c>
      <c r="AT104" s="50">
        <f>IF('Resultado da inspeção'!S104='Resultado da inspeção'!$W$3,0%,Ranking!AE104)</f>
        <v>0.02</v>
      </c>
      <c r="AU104" s="49">
        <f t="shared" si="36"/>
        <v>1</v>
      </c>
    </row>
    <row r="105" spans="2:47" x14ac:dyDescent="0.25">
      <c r="B105" s="48">
        <f>IF('Resultado da inspeção'!F105='Resultado da inspeção'!$W$4,0%,Ranking!B$5)</f>
        <v>0.02</v>
      </c>
      <c r="C105" s="48">
        <f>IF('Resultado da inspeção'!G105='Resultado da inspeção'!$W$4,0%,Ranking!C$5)</f>
        <v>0.03</v>
      </c>
      <c r="D105" s="48">
        <f>IF('Resultado da inspeção'!H105='Resultado da inspeção'!$W$4,0%,Ranking!D$5)</f>
        <v>0.03</v>
      </c>
      <c r="E105" s="48">
        <f>IF('Resultado da inspeção'!I105='Resultado da inspeção'!$W$4,0%,Ranking!E$5)</f>
        <v>0.1</v>
      </c>
      <c r="F105" s="48">
        <f>IF('Resultado da inspeção'!J105='Resultado da inspeção'!$W$4,0%,Ranking!F$5)</f>
        <v>0.21</v>
      </c>
      <c r="G105" s="48">
        <f>IF('Resultado da inspeção'!K105='Resultado da inspeção'!$W$4,0%,Ranking!G$5)</f>
        <v>0.05</v>
      </c>
      <c r="H105" s="48">
        <f>IF('Resultado da inspeção'!L105='Resultado da inspeção'!$W$4,0%,Ranking!H$5)</f>
        <v>0.24</v>
      </c>
      <c r="I105" s="48">
        <f>IF('Resultado da inspeção'!M105='Resultado da inspeção'!$W$4,0%,Ranking!I$5)</f>
        <v>0.05</v>
      </c>
      <c r="J105" s="48">
        <f>IF('Resultado da inspeção'!N105='Resultado da inspeção'!$W$4,0%,Ranking!J$5)</f>
        <v>0.04</v>
      </c>
      <c r="K105" s="48">
        <f>IF('Resultado da inspeção'!O105='Resultado da inspeção'!$W$4,0%,Ranking!K$5)</f>
        <v>0.06</v>
      </c>
      <c r="L105" s="48">
        <f>IF('Resultado da inspeção'!P105='Resultado da inspeção'!$W$4,0%,Ranking!L$5)</f>
        <v>0.08</v>
      </c>
      <c r="M105" s="48">
        <f>IF('Resultado da inspeção'!Q105='Resultado da inspeção'!$W$4,0%,Ranking!M$5)</f>
        <v>0.05</v>
      </c>
      <c r="N105" s="48">
        <f>IF('Resultado da inspeção'!R105='Resultado da inspeção'!$W$4,0%,Ranking!N$5)</f>
        <v>0.02</v>
      </c>
      <c r="O105" s="48">
        <f>IF('Resultado da inspeção'!S105='Resultado da inspeção'!$W$4,0%,Ranking!O$5)</f>
        <v>0.02</v>
      </c>
      <c r="P105" s="47">
        <f t="shared" si="19"/>
        <v>1</v>
      </c>
      <c r="Q105" s="49">
        <f t="shared" si="34"/>
        <v>0</v>
      </c>
      <c r="R105" s="50">
        <f t="shared" si="20"/>
        <v>0.02</v>
      </c>
      <c r="S105" s="50">
        <f t="shared" si="21"/>
        <v>0.03</v>
      </c>
      <c r="T105" s="50">
        <f t="shared" si="22"/>
        <v>0.03</v>
      </c>
      <c r="U105" s="50">
        <f t="shared" si="23"/>
        <v>0.1</v>
      </c>
      <c r="V105" s="50">
        <f t="shared" si="24"/>
        <v>0.21</v>
      </c>
      <c r="W105" s="50">
        <f t="shared" si="25"/>
        <v>0.05</v>
      </c>
      <c r="X105" s="50">
        <f t="shared" si="26"/>
        <v>0.24</v>
      </c>
      <c r="Y105" s="50">
        <f t="shared" si="27"/>
        <v>0.05</v>
      </c>
      <c r="Z105" s="50">
        <f t="shared" si="28"/>
        <v>0.04</v>
      </c>
      <c r="AA105" s="50">
        <f t="shared" si="29"/>
        <v>0.06</v>
      </c>
      <c r="AB105" s="50">
        <f t="shared" si="30"/>
        <v>0.08</v>
      </c>
      <c r="AC105" s="50">
        <f t="shared" si="31"/>
        <v>0.05</v>
      </c>
      <c r="AD105" s="50">
        <f t="shared" si="32"/>
        <v>0.02</v>
      </c>
      <c r="AE105" s="50">
        <f t="shared" si="33"/>
        <v>0.02</v>
      </c>
      <c r="AF105" s="47">
        <f t="shared" si="35"/>
        <v>1</v>
      </c>
      <c r="AG105" s="50">
        <f>IF('Resultado da inspeção'!F105='Resultado da inspeção'!$W$3,0%,Ranking!R105)</f>
        <v>0.02</v>
      </c>
      <c r="AH105" s="50">
        <f>IF('Resultado da inspeção'!G105='Resultado da inspeção'!$W$3,0%,Ranking!S105)</f>
        <v>0.03</v>
      </c>
      <c r="AI105" s="50">
        <f>IF('Resultado da inspeção'!H105='Resultado da inspeção'!$W$3,0%,Ranking!T105)</f>
        <v>0.03</v>
      </c>
      <c r="AJ105" s="50">
        <f>IF('Resultado da inspeção'!I105='Resultado da inspeção'!$W$3,0%,Ranking!U105)</f>
        <v>0.1</v>
      </c>
      <c r="AK105" s="50">
        <f>IF('Resultado da inspeção'!J105='Resultado da inspeção'!$W$3,0%,Ranking!V105)</f>
        <v>0.21</v>
      </c>
      <c r="AL105" s="50">
        <f>IF('Resultado da inspeção'!K105='Resultado da inspeção'!$W$3,0%,Ranking!W105)</f>
        <v>0.05</v>
      </c>
      <c r="AM105" s="50">
        <f>IF('Resultado da inspeção'!L105='Resultado da inspeção'!$W$3,0%,Ranking!X105)</f>
        <v>0.24</v>
      </c>
      <c r="AN105" s="50">
        <f>IF('Resultado da inspeção'!M105='Resultado da inspeção'!$W$3,0%,Ranking!Y105)</f>
        <v>0.05</v>
      </c>
      <c r="AO105" s="50">
        <f>IF('Resultado da inspeção'!N105='Resultado da inspeção'!$W$3,0%,Ranking!Z105)</f>
        <v>0.04</v>
      </c>
      <c r="AP105" s="50">
        <f>IF('Resultado da inspeção'!O105='Resultado da inspeção'!$W$3,0%,Ranking!AA105)</f>
        <v>0.06</v>
      </c>
      <c r="AQ105" s="50">
        <f>IF('Resultado da inspeção'!P105='Resultado da inspeção'!$W$3,0%,Ranking!AB105)</f>
        <v>0.08</v>
      </c>
      <c r="AR105" s="50">
        <f>IF('Resultado da inspeção'!Q105='Resultado da inspeção'!$W$3,0%,Ranking!AC105)</f>
        <v>0.05</v>
      </c>
      <c r="AS105" s="50">
        <f>IF('Resultado da inspeção'!R105='Resultado da inspeção'!$W$3,0%,Ranking!AD105)</f>
        <v>0.02</v>
      </c>
      <c r="AT105" s="50">
        <f>IF('Resultado da inspeção'!S105='Resultado da inspeção'!$W$3,0%,Ranking!AE105)</f>
        <v>0.02</v>
      </c>
      <c r="AU105" s="49">
        <f t="shared" si="36"/>
        <v>1</v>
      </c>
    </row>
    <row r="106" spans="2:47" x14ac:dyDescent="0.25">
      <c r="B106" s="48">
        <f>IF('Resultado da inspeção'!F106='Resultado da inspeção'!$W$4,0%,Ranking!B$5)</f>
        <v>0.02</v>
      </c>
      <c r="C106" s="48">
        <f>IF('Resultado da inspeção'!G106='Resultado da inspeção'!$W$4,0%,Ranking!C$5)</f>
        <v>0.03</v>
      </c>
      <c r="D106" s="48">
        <f>IF('Resultado da inspeção'!H106='Resultado da inspeção'!$W$4,0%,Ranking!D$5)</f>
        <v>0.03</v>
      </c>
      <c r="E106" s="48">
        <f>IF('Resultado da inspeção'!I106='Resultado da inspeção'!$W$4,0%,Ranking!E$5)</f>
        <v>0.1</v>
      </c>
      <c r="F106" s="48">
        <f>IF('Resultado da inspeção'!J106='Resultado da inspeção'!$W$4,0%,Ranking!F$5)</f>
        <v>0.21</v>
      </c>
      <c r="G106" s="48">
        <f>IF('Resultado da inspeção'!K106='Resultado da inspeção'!$W$4,0%,Ranking!G$5)</f>
        <v>0.05</v>
      </c>
      <c r="H106" s="48">
        <f>IF('Resultado da inspeção'!L106='Resultado da inspeção'!$W$4,0%,Ranking!H$5)</f>
        <v>0.24</v>
      </c>
      <c r="I106" s="48">
        <f>IF('Resultado da inspeção'!M106='Resultado da inspeção'!$W$4,0%,Ranking!I$5)</f>
        <v>0.05</v>
      </c>
      <c r="J106" s="48">
        <f>IF('Resultado da inspeção'!N106='Resultado da inspeção'!$W$4,0%,Ranking!J$5)</f>
        <v>0.04</v>
      </c>
      <c r="K106" s="48">
        <f>IF('Resultado da inspeção'!O106='Resultado da inspeção'!$W$4,0%,Ranking!K$5)</f>
        <v>0.06</v>
      </c>
      <c r="L106" s="48">
        <f>IF('Resultado da inspeção'!P106='Resultado da inspeção'!$W$4,0%,Ranking!L$5)</f>
        <v>0.08</v>
      </c>
      <c r="M106" s="48">
        <f>IF('Resultado da inspeção'!Q106='Resultado da inspeção'!$W$4,0%,Ranking!M$5)</f>
        <v>0.05</v>
      </c>
      <c r="N106" s="48">
        <f>IF('Resultado da inspeção'!R106='Resultado da inspeção'!$W$4,0%,Ranking!N$5)</f>
        <v>0.02</v>
      </c>
      <c r="O106" s="48">
        <f>IF('Resultado da inspeção'!S106='Resultado da inspeção'!$W$4,0%,Ranking!O$5)</f>
        <v>0.02</v>
      </c>
      <c r="P106" s="47">
        <f t="shared" si="19"/>
        <v>1</v>
      </c>
      <c r="Q106" s="49">
        <f t="shared" si="34"/>
        <v>0</v>
      </c>
      <c r="R106" s="50">
        <f t="shared" si="20"/>
        <v>0.02</v>
      </c>
      <c r="S106" s="50">
        <f t="shared" si="21"/>
        <v>0.03</v>
      </c>
      <c r="T106" s="50">
        <f t="shared" si="22"/>
        <v>0.03</v>
      </c>
      <c r="U106" s="50">
        <f t="shared" si="23"/>
        <v>0.1</v>
      </c>
      <c r="V106" s="50">
        <f t="shared" si="24"/>
        <v>0.21</v>
      </c>
      <c r="W106" s="50">
        <f t="shared" si="25"/>
        <v>0.05</v>
      </c>
      <c r="X106" s="50">
        <f t="shared" si="26"/>
        <v>0.24</v>
      </c>
      <c r="Y106" s="50">
        <f t="shared" si="27"/>
        <v>0.05</v>
      </c>
      <c r="Z106" s="50">
        <f t="shared" si="28"/>
        <v>0.04</v>
      </c>
      <c r="AA106" s="50">
        <f t="shared" si="29"/>
        <v>0.06</v>
      </c>
      <c r="AB106" s="50">
        <f t="shared" si="30"/>
        <v>0.08</v>
      </c>
      <c r="AC106" s="50">
        <f t="shared" si="31"/>
        <v>0.05</v>
      </c>
      <c r="AD106" s="50">
        <f t="shared" si="32"/>
        <v>0.02</v>
      </c>
      <c r="AE106" s="50">
        <f t="shared" si="33"/>
        <v>0.02</v>
      </c>
      <c r="AF106" s="47">
        <f t="shared" si="35"/>
        <v>1</v>
      </c>
      <c r="AG106" s="50">
        <f>IF('Resultado da inspeção'!F106='Resultado da inspeção'!$W$3,0%,Ranking!R106)</f>
        <v>0.02</v>
      </c>
      <c r="AH106" s="50">
        <f>IF('Resultado da inspeção'!G106='Resultado da inspeção'!$W$3,0%,Ranking!S106)</f>
        <v>0.03</v>
      </c>
      <c r="AI106" s="50">
        <f>IF('Resultado da inspeção'!H106='Resultado da inspeção'!$W$3,0%,Ranking!T106)</f>
        <v>0.03</v>
      </c>
      <c r="AJ106" s="50">
        <f>IF('Resultado da inspeção'!I106='Resultado da inspeção'!$W$3,0%,Ranking!U106)</f>
        <v>0.1</v>
      </c>
      <c r="AK106" s="50">
        <f>IF('Resultado da inspeção'!J106='Resultado da inspeção'!$W$3,0%,Ranking!V106)</f>
        <v>0.21</v>
      </c>
      <c r="AL106" s="50">
        <f>IF('Resultado da inspeção'!K106='Resultado da inspeção'!$W$3,0%,Ranking!W106)</f>
        <v>0.05</v>
      </c>
      <c r="AM106" s="50">
        <f>IF('Resultado da inspeção'!L106='Resultado da inspeção'!$W$3,0%,Ranking!X106)</f>
        <v>0.24</v>
      </c>
      <c r="AN106" s="50">
        <f>IF('Resultado da inspeção'!M106='Resultado da inspeção'!$W$3,0%,Ranking!Y106)</f>
        <v>0.05</v>
      </c>
      <c r="AO106" s="50">
        <f>IF('Resultado da inspeção'!N106='Resultado da inspeção'!$W$3,0%,Ranking!Z106)</f>
        <v>0.04</v>
      </c>
      <c r="AP106" s="50">
        <f>IF('Resultado da inspeção'!O106='Resultado da inspeção'!$W$3,0%,Ranking!AA106)</f>
        <v>0.06</v>
      </c>
      <c r="AQ106" s="50">
        <f>IF('Resultado da inspeção'!P106='Resultado da inspeção'!$W$3,0%,Ranking!AB106)</f>
        <v>0.08</v>
      </c>
      <c r="AR106" s="50">
        <f>IF('Resultado da inspeção'!Q106='Resultado da inspeção'!$W$3,0%,Ranking!AC106)</f>
        <v>0.05</v>
      </c>
      <c r="AS106" s="50">
        <f>IF('Resultado da inspeção'!R106='Resultado da inspeção'!$W$3,0%,Ranking!AD106)</f>
        <v>0.02</v>
      </c>
      <c r="AT106" s="50">
        <f>IF('Resultado da inspeção'!S106='Resultado da inspeção'!$W$3,0%,Ranking!AE106)</f>
        <v>0.02</v>
      </c>
      <c r="AU106" s="49">
        <f t="shared" si="36"/>
        <v>1</v>
      </c>
    </row>
    <row r="107" spans="2:47" x14ac:dyDescent="0.25">
      <c r="B107" s="48">
        <f>IF('Resultado da inspeção'!F107='Resultado da inspeção'!$W$4,0%,Ranking!B$5)</f>
        <v>0.02</v>
      </c>
      <c r="C107" s="48">
        <f>IF('Resultado da inspeção'!G107='Resultado da inspeção'!$W$4,0%,Ranking!C$5)</f>
        <v>0.03</v>
      </c>
      <c r="D107" s="48">
        <f>IF('Resultado da inspeção'!H107='Resultado da inspeção'!$W$4,0%,Ranking!D$5)</f>
        <v>0.03</v>
      </c>
      <c r="E107" s="48">
        <f>IF('Resultado da inspeção'!I107='Resultado da inspeção'!$W$4,0%,Ranking!E$5)</f>
        <v>0.1</v>
      </c>
      <c r="F107" s="48">
        <f>IF('Resultado da inspeção'!J107='Resultado da inspeção'!$W$4,0%,Ranking!F$5)</f>
        <v>0.21</v>
      </c>
      <c r="G107" s="48">
        <f>IF('Resultado da inspeção'!K107='Resultado da inspeção'!$W$4,0%,Ranking!G$5)</f>
        <v>0.05</v>
      </c>
      <c r="H107" s="48">
        <f>IF('Resultado da inspeção'!L107='Resultado da inspeção'!$W$4,0%,Ranking!H$5)</f>
        <v>0.24</v>
      </c>
      <c r="I107" s="48">
        <f>IF('Resultado da inspeção'!M107='Resultado da inspeção'!$W$4,0%,Ranking!I$5)</f>
        <v>0.05</v>
      </c>
      <c r="J107" s="48">
        <f>IF('Resultado da inspeção'!N107='Resultado da inspeção'!$W$4,0%,Ranking!J$5)</f>
        <v>0.04</v>
      </c>
      <c r="K107" s="48">
        <f>IF('Resultado da inspeção'!O107='Resultado da inspeção'!$W$4,0%,Ranking!K$5)</f>
        <v>0.06</v>
      </c>
      <c r="L107" s="48">
        <f>IF('Resultado da inspeção'!P107='Resultado da inspeção'!$W$4,0%,Ranking!L$5)</f>
        <v>0.08</v>
      </c>
      <c r="M107" s="48">
        <f>IF('Resultado da inspeção'!Q107='Resultado da inspeção'!$W$4,0%,Ranking!M$5)</f>
        <v>0.05</v>
      </c>
      <c r="N107" s="48">
        <f>IF('Resultado da inspeção'!R107='Resultado da inspeção'!$W$4,0%,Ranking!N$5)</f>
        <v>0.02</v>
      </c>
      <c r="O107" s="48">
        <f>IF('Resultado da inspeção'!S107='Resultado da inspeção'!$W$4,0%,Ranking!O$5)</f>
        <v>0.02</v>
      </c>
      <c r="P107" s="47">
        <f t="shared" si="19"/>
        <v>1</v>
      </c>
      <c r="Q107" s="49">
        <f t="shared" si="34"/>
        <v>0</v>
      </c>
      <c r="R107" s="50">
        <f t="shared" si="20"/>
        <v>0.02</v>
      </c>
      <c r="S107" s="50">
        <f t="shared" si="21"/>
        <v>0.03</v>
      </c>
      <c r="T107" s="50">
        <f t="shared" si="22"/>
        <v>0.03</v>
      </c>
      <c r="U107" s="50">
        <f t="shared" si="23"/>
        <v>0.1</v>
      </c>
      <c r="V107" s="50">
        <f t="shared" si="24"/>
        <v>0.21</v>
      </c>
      <c r="W107" s="50">
        <f t="shared" si="25"/>
        <v>0.05</v>
      </c>
      <c r="X107" s="50">
        <f t="shared" si="26"/>
        <v>0.24</v>
      </c>
      <c r="Y107" s="50">
        <f t="shared" si="27"/>
        <v>0.05</v>
      </c>
      <c r="Z107" s="50">
        <f t="shared" si="28"/>
        <v>0.04</v>
      </c>
      <c r="AA107" s="50">
        <f t="shared" si="29"/>
        <v>0.06</v>
      </c>
      <c r="AB107" s="50">
        <f t="shared" si="30"/>
        <v>0.08</v>
      </c>
      <c r="AC107" s="50">
        <f t="shared" si="31"/>
        <v>0.05</v>
      </c>
      <c r="AD107" s="50">
        <f t="shared" si="32"/>
        <v>0.02</v>
      </c>
      <c r="AE107" s="50">
        <f t="shared" si="33"/>
        <v>0.02</v>
      </c>
      <c r="AF107" s="47">
        <f t="shared" si="35"/>
        <v>1</v>
      </c>
      <c r="AG107" s="50">
        <f>IF('Resultado da inspeção'!F107='Resultado da inspeção'!$W$3,0%,Ranking!R107)</f>
        <v>0.02</v>
      </c>
      <c r="AH107" s="50">
        <f>IF('Resultado da inspeção'!G107='Resultado da inspeção'!$W$3,0%,Ranking!S107)</f>
        <v>0.03</v>
      </c>
      <c r="AI107" s="50">
        <f>IF('Resultado da inspeção'!H107='Resultado da inspeção'!$W$3,0%,Ranking!T107)</f>
        <v>0.03</v>
      </c>
      <c r="AJ107" s="50">
        <f>IF('Resultado da inspeção'!I107='Resultado da inspeção'!$W$3,0%,Ranking!U107)</f>
        <v>0.1</v>
      </c>
      <c r="AK107" s="50">
        <f>IF('Resultado da inspeção'!J107='Resultado da inspeção'!$W$3,0%,Ranking!V107)</f>
        <v>0.21</v>
      </c>
      <c r="AL107" s="50">
        <f>IF('Resultado da inspeção'!K107='Resultado da inspeção'!$W$3,0%,Ranking!W107)</f>
        <v>0.05</v>
      </c>
      <c r="AM107" s="50">
        <f>IF('Resultado da inspeção'!L107='Resultado da inspeção'!$W$3,0%,Ranking!X107)</f>
        <v>0.24</v>
      </c>
      <c r="AN107" s="50">
        <f>IF('Resultado da inspeção'!M107='Resultado da inspeção'!$W$3,0%,Ranking!Y107)</f>
        <v>0.05</v>
      </c>
      <c r="AO107" s="50">
        <f>IF('Resultado da inspeção'!N107='Resultado da inspeção'!$W$3,0%,Ranking!Z107)</f>
        <v>0.04</v>
      </c>
      <c r="AP107" s="50">
        <f>IF('Resultado da inspeção'!O107='Resultado da inspeção'!$W$3,0%,Ranking!AA107)</f>
        <v>0.06</v>
      </c>
      <c r="AQ107" s="50">
        <f>IF('Resultado da inspeção'!P107='Resultado da inspeção'!$W$3,0%,Ranking!AB107)</f>
        <v>0.08</v>
      </c>
      <c r="AR107" s="50">
        <f>IF('Resultado da inspeção'!Q107='Resultado da inspeção'!$W$3,0%,Ranking!AC107)</f>
        <v>0.05</v>
      </c>
      <c r="AS107" s="50">
        <f>IF('Resultado da inspeção'!R107='Resultado da inspeção'!$W$3,0%,Ranking!AD107)</f>
        <v>0.02</v>
      </c>
      <c r="AT107" s="50">
        <f>IF('Resultado da inspeção'!S107='Resultado da inspeção'!$W$3,0%,Ranking!AE107)</f>
        <v>0.02</v>
      </c>
      <c r="AU107" s="49">
        <f t="shared" si="36"/>
        <v>1</v>
      </c>
    </row>
    <row r="108" spans="2:47" x14ac:dyDescent="0.25">
      <c r="B108" s="48">
        <f>IF('Resultado da inspeção'!F108='Resultado da inspeção'!$W$4,0%,Ranking!B$5)</f>
        <v>0.02</v>
      </c>
      <c r="C108" s="48">
        <f>IF('Resultado da inspeção'!G108='Resultado da inspeção'!$W$4,0%,Ranking!C$5)</f>
        <v>0.03</v>
      </c>
      <c r="D108" s="48">
        <f>IF('Resultado da inspeção'!H108='Resultado da inspeção'!$W$4,0%,Ranking!D$5)</f>
        <v>0.03</v>
      </c>
      <c r="E108" s="48">
        <f>IF('Resultado da inspeção'!I108='Resultado da inspeção'!$W$4,0%,Ranking!E$5)</f>
        <v>0.1</v>
      </c>
      <c r="F108" s="48">
        <f>IF('Resultado da inspeção'!J108='Resultado da inspeção'!$W$4,0%,Ranking!F$5)</f>
        <v>0.21</v>
      </c>
      <c r="G108" s="48">
        <f>IF('Resultado da inspeção'!K108='Resultado da inspeção'!$W$4,0%,Ranking!G$5)</f>
        <v>0.05</v>
      </c>
      <c r="H108" s="48">
        <f>IF('Resultado da inspeção'!L108='Resultado da inspeção'!$W$4,0%,Ranking!H$5)</f>
        <v>0.24</v>
      </c>
      <c r="I108" s="48">
        <f>IF('Resultado da inspeção'!M108='Resultado da inspeção'!$W$4,0%,Ranking!I$5)</f>
        <v>0.05</v>
      </c>
      <c r="J108" s="48">
        <f>IF('Resultado da inspeção'!N108='Resultado da inspeção'!$W$4,0%,Ranking!J$5)</f>
        <v>0.04</v>
      </c>
      <c r="K108" s="48">
        <f>IF('Resultado da inspeção'!O108='Resultado da inspeção'!$W$4,0%,Ranking!K$5)</f>
        <v>0.06</v>
      </c>
      <c r="L108" s="48">
        <f>IF('Resultado da inspeção'!P108='Resultado da inspeção'!$W$4,0%,Ranking!L$5)</f>
        <v>0.08</v>
      </c>
      <c r="M108" s="48">
        <f>IF('Resultado da inspeção'!Q108='Resultado da inspeção'!$W$4,0%,Ranking!M$5)</f>
        <v>0.05</v>
      </c>
      <c r="N108" s="48">
        <f>IF('Resultado da inspeção'!R108='Resultado da inspeção'!$W$4,0%,Ranking!N$5)</f>
        <v>0.02</v>
      </c>
      <c r="O108" s="48">
        <f>IF('Resultado da inspeção'!S108='Resultado da inspeção'!$W$4,0%,Ranking!O$5)</f>
        <v>0.02</v>
      </c>
      <c r="P108" s="47">
        <f t="shared" si="19"/>
        <v>1</v>
      </c>
      <c r="Q108" s="49">
        <f t="shared" si="34"/>
        <v>0</v>
      </c>
      <c r="R108" s="50">
        <f t="shared" si="20"/>
        <v>0.02</v>
      </c>
      <c r="S108" s="50">
        <f t="shared" si="21"/>
        <v>0.03</v>
      </c>
      <c r="T108" s="50">
        <f t="shared" si="22"/>
        <v>0.03</v>
      </c>
      <c r="U108" s="50">
        <f t="shared" si="23"/>
        <v>0.1</v>
      </c>
      <c r="V108" s="50">
        <f t="shared" si="24"/>
        <v>0.21</v>
      </c>
      <c r="W108" s="50">
        <f t="shared" si="25"/>
        <v>0.05</v>
      </c>
      <c r="X108" s="50">
        <f t="shared" si="26"/>
        <v>0.24</v>
      </c>
      <c r="Y108" s="50">
        <f t="shared" si="27"/>
        <v>0.05</v>
      </c>
      <c r="Z108" s="50">
        <f t="shared" si="28"/>
        <v>0.04</v>
      </c>
      <c r="AA108" s="50">
        <f t="shared" si="29"/>
        <v>0.06</v>
      </c>
      <c r="AB108" s="50">
        <f t="shared" si="30"/>
        <v>0.08</v>
      </c>
      <c r="AC108" s="50">
        <f t="shared" si="31"/>
        <v>0.05</v>
      </c>
      <c r="AD108" s="50">
        <f t="shared" si="32"/>
        <v>0.02</v>
      </c>
      <c r="AE108" s="50">
        <f t="shared" si="33"/>
        <v>0.02</v>
      </c>
      <c r="AF108" s="47">
        <f t="shared" si="35"/>
        <v>1</v>
      </c>
      <c r="AG108" s="50">
        <f>IF('Resultado da inspeção'!F108='Resultado da inspeção'!$W$3,0%,Ranking!R108)</f>
        <v>0.02</v>
      </c>
      <c r="AH108" s="50">
        <f>IF('Resultado da inspeção'!G108='Resultado da inspeção'!$W$3,0%,Ranking!S108)</f>
        <v>0.03</v>
      </c>
      <c r="AI108" s="50">
        <f>IF('Resultado da inspeção'!H108='Resultado da inspeção'!$W$3,0%,Ranking!T108)</f>
        <v>0.03</v>
      </c>
      <c r="AJ108" s="50">
        <f>IF('Resultado da inspeção'!I108='Resultado da inspeção'!$W$3,0%,Ranking!U108)</f>
        <v>0.1</v>
      </c>
      <c r="AK108" s="50">
        <f>IF('Resultado da inspeção'!J108='Resultado da inspeção'!$W$3,0%,Ranking!V108)</f>
        <v>0.21</v>
      </c>
      <c r="AL108" s="50">
        <f>IF('Resultado da inspeção'!K108='Resultado da inspeção'!$W$3,0%,Ranking!W108)</f>
        <v>0.05</v>
      </c>
      <c r="AM108" s="50">
        <f>IF('Resultado da inspeção'!L108='Resultado da inspeção'!$W$3,0%,Ranking!X108)</f>
        <v>0.24</v>
      </c>
      <c r="AN108" s="50">
        <f>IF('Resultado da inspeção'!M108='Resultado da inspeção'!$W$3,0%,Ranking!Y108)</f>
        <v>0.05</v>
      </c>
      <c r="AO108" s="50">
        <f>IF('Resultado da inspeção'!N108='Resultado da inspeção'!$W$3,0%,Ranking!Z108)</f>
        <v>0.04</v>
      </c>
      <c r="AP108" s="50">
        <f>IF('Resultado da inspeção'!O108='Resultado da inspeção'!$W$3,0%,Ranking!AA108)</f>
        <v>0.06</v>
      </c>
      <c r="AQ108" s="50">
        <f>IF('Resultado da inspeção'!P108='Resultado da inspeção'!$W$3,0%,Ranking!AB108)</f>
        <v>0.08</v>
      </c>
      <c r="AR108" s="50">
        <f>IF('Resultado da inspeção'!Q108='Resultado da inspeção'!$W$3,0%,Ranking!AC108)</f>
        <v>0.05</v>
      </c>
      <c r="AS108" s="50">
        <f>IF('Resultado da inspeção'!R108='Resultado da inspeção'!$W$3,0%,Ranking!AD108)</f>
        <v>0.02</v>
      </c>
      <c r="AT108" s="50">
        <f>IF('Resultado da inspeção'!S108='Resultado da inspeção'!$W$3,0%,Ranking!AE108)</f>
        <v>0.02</v>
      </c>
      <c r="AU108" s="49">
        <f t="shared" si="36"/>
        <v>1</v>
      </c>
    </row>
    <row r="109" spans="2:47" x14ac:dyDescent="0.25">
      <c r="B109" s="48">
        <f>IF('Resultado da inspeção'!F109='Resultado da inspeção'!$W$4,0%,Ranking!B$5)</f>
        <v>0.02</v>
      </c>
      <c r="C109" s="48">
        <f>IF('Resultado da inspeção'!G109='Resultado da inspeção'!$W$4,0%,Ranking!C$5)</f>
        <v>0.03</v>
      </c>
      <c r="D109" s="48">
        <f>IF('Resultado da inspeção'!H109='Resultado da inspeção'!$W$4,0%,Ranking!D$5)</f>
        <v>0.03</v>
      </c>
      <c r="E109" s="48">
        <f>IF('Resultado da inspeção'!I109='Resultado da inspeção'!$W$4,0%,Ranking!E$5)</f>
        <v>0.1</v>
      </c>
      <c r="F109" s="48">
        <f>IF('Resultado da inspeção'!J109='Resultado da inspeção'!$W$4,0%,Ranking!F$5)</f>
        <v>0.21</v>
      </c>
      <c r="G109" s="48">
        <f>IF('Resultado da inspeção'!K109='Resultado da inspeção'!$W$4,0%,Ranking!G$5)</f>
        <v>0.05</v>
      </c>
      <c r="H109" s="48">
        <f>IF('Resultado da inspeção'!L109='Resultado da inspeção'!$W$4,0%,Ranking!H$5)</f>
        <v>0.24</v>
      </c>
      <c r="I109" s="48">
        <f>IF('Resultado da inspeção'!M109='Resultado da inspeção'!$W$4,0%,Ranking!I$5)</f>
        <v>0.05</v>
      </c>
      <c r="J109" s="48">
        <f>IF('Resultado da inspeção'!N109='Resultado da inspeção'!$W$4,0%,Ranking!J$5)</f>
        <v>0.04</v>
      </c>
      <c r="K109" s="48">
        <f>IF('Resultado da inspeção'!O109='Resultado da inspeção'!$W$4,0%,Ranking!K$5)</f>
        <v>0.06</v>
      </c>
      <c r="L109" s="48">
        <f>IF('Resultado da inspeção'!P109='Resultado da inspeção'!$W$4,0%,Ranking!L$5)</f>
        <v>0.08</v>
      </c>
      <c r="M109" s="48">
        <f>IF('Resultado da inspeção'!Q109='Resultado da inspeção'!$W$4,0%,Ranking!M$5)</f>
        <v>0.05</v>
      </c>
      <c r="N109" s="48">
        <f>IF('Resultado da inspeção'!R109='Resultado da inspeção'!$W$4,0%,Ranking!N$5)</f>
        <v>0.02</v>
      </c>
      <c r="O109" s="48">
        <f>IF('Resultado da inspeção'!S109='Resultado da inspeção'!$W$4,0%,Ranking!O$5)</f>
        <v>0.02</v>
      </c>
      <c r="P109" s="47">
        <f t="shared" si="19"/>
        <v>1</v>
      </c>
      <c r="Q109" s="49">
        <f t="shared" si="34"/>
        <v>0</v>
      </c>
      <c r="R109" s="50">
        <f t="shared" si="20"/>
        <v>0.02</v>
      </c>
      <c r="S109" s="50">
        <f t="shared" si="21"/>
        <v>0.03</v>
      </c>
      <c r="T109" s="50">
        <f t="shared" si="22"/>
        <v>0.03</v>
      </c>
      <c r="U109" s="50">
        <f t="shared" si="23"/>
        <v>0.1</v>
      </c>
      <c r="V109" s="50">
        <f t="shared" si="24"/>
        <v>0.21</v>
      </c>
      <c r="W109" s="50">
        <f t="shared" si="25"/>
        <v>0.05</v>
      </c>
      <c r="X109" s="50">
        <f t="shared" si="26"/>
        <v>0.24</v>
      </c>
      <c r="Y109" s="50">
        <f t="shared" si="27"/>
        <v>0.05</v>
      </c>
      <c r="Z109" s="50">
        <f t="shared" si="28"/>
        <v>0.04</v>
      </c>
      <c r="AA109" s="50">
        <f t="shared" si="29"/>
        <v>0.06</v>
      </c>
      <c r="AB109" s="50">
        <f t="shared" si="30"/>
        <v>0.08</v>
      </c>
      <c r="AC109" s="50">
        <f t="shared" si="31"/>
        <v>0.05</v>
      </c>
      <c r="AD109" s="50">
        <f t="shared" si="32"/>
        <v>0.02</v>
      </c>
      <c r="AE109" s="50">
        <f t="shared" si="33"/>
        <v>0.02</v>
      </c>
      <c r="AF109" s="47">
        <f t="shared" si="35"/>
        <v>1</v>
      </c>
      <c r="AG109" s="50">
        <f>IF('Resultado da inspeção'!F109='Resultado da inspeção'!$W$3,0%,Ranking!R109)</f>
        <v>0.02</v>
      </c>
      <c r="AH109" s="50">
        <f>IF('Resultado da inspeção'!G109='Resultado da inspeção'!$W$3,0%,Ranking!S109)</f>
        <v>0.03</v>
      </c>
      <c r="AI109" s="50">
        <f>IF('Resultado da inspeção'!H109='Resultado da inspeção'!$W$3,0%,Ranking!T109)</f>
        <v>0.03</v>
      </c>
      <c r="AJ109" s="50">
        <f>IF('Resultado da inspeção'!I109='Resultado da inspeção'!$W$3,0%,Ranking!U109)</f>
        <v>0.1</v>
      </c>
      <c r="AK109" s="50">
        <f>IF('Resultado da inspeção'!J109='Resultado da inspeção'!$W$3,0%,Ranking!V109)</f>
        <v>0.21</v>
      </c>
      <c r="AL109" s="50">
        <f>IF('Resultado da inspeção'!K109='Resultado da inspeção'!$W$3,0%,Ranking!W109)</f>
        <v>0.05</v>
      </c>
      <c r="AM109" s="50">
        <f>IF('Resultado da inspeção'!L109='Resultado da inspeção'!$W$3,0%,Ranking!X109)</f>
        <v>0.24</v>
      </c>
      <c r="AN109" s="50">
        <f>IF('Resultado da inspeção'!M109='Resultado da inspeção'!$W$3,0%,Ranking!Y109)</f>
        <v>0.05</v>
      </c>
      <c r="AO109" s="50">
        <f>IF('Resultado da inspeção'!N109='Resultado da inspeção'!$W$3,0%,Ranking!Z109)</f>
        <v>0.04</v>
      </c>
      <c r="AP109" s="50">
        <f>IF('Resultado da inspeção'!O109='Resultado da inspeção'!$W$3,0%,Ranking!AA109)</f>
        <v>0.06</v>
      </c>
      <c r="AQ109" s="50">
        <f>IF('Resultado da inspeção'!P109='Resultado da inspeção'!$W$3,0%,Ranking!AB109)</f>
        <v>0.08</v>
      </c>
      <c r="AR109" s="50">
        <f>IF('Resultado da inspeção'!Q109='Resultado da inspeção'!$W$3,0%,Ranking!AC109)</f>
        <v>0.05</v>
      </c>
      <c r="AS109" s="50">
        <f>IF('Resultado da inspeção'!R109='Resultado da inspeção'!$W$3,0%,Ranking!AD109)</f>
        <v>0.02</v>
      </c>
      <c r="AT109" s="50">
        <f>IF('Resultado da inspeção'!S109='Resultado da inspeção'!$W$3,0%,Ranking!AE109)</f>
        <v>0.02</v>
      </c>
      <c r="AU109" s="49">
        <f t="shared" si="36"/>
        <v>1</v>
      </c>
    </row>
    <row r="110" spans="2:47" x14ac:dyDescent="0.25">
      <c r="B110" s="48">
        <f>IF('Resultado da inspeção'!F110='Resultado da inspeção'!$W$4,0%,Ranking!B$5)</f>
        <v>0.02</v>
      </c>
      <c r="C110" s="48">
        <f>IF('Resultado da inspeção'!G110='Resultado da inspeção'!$W$4,0%,Ranking!C$5)</f>
        <v>0.03</v>
      </c>
      <c r="D110" s="48">
        <f>IF('Resultado da inspeção'!H110='Resultado da inspeção'!$W$4,0%,Ranking!D$5)</f>
        <v>0.03</v>
      </c>
      <c r="E110" s="48">
        <f>IF('Resultado da inspeção'!I110='Resultado da inspeção'!$W$4,0%,Ranking!E$5)</f>
        <v>0.1</v>
      </c>
      <c r="F110" s="48">
        <f>IF('Resultado da inspeção'!J110='Resultado da inspeção'!$W$4,0%,Ranking!F$5)</f>
        <v>0.21</v>
      </c>
      <c r="G110" s="48">
        <f>IF('Resultado da inspeção'!K110='Resultado da inspeção'!$W$4,0%,Ranking!G$5)</f>
        <v>0.05</v>
      </c>
      <c r="H110" s="48">
        <f>IF('Resultado da inspeção'!L110='Resultado da inspeção'!$W$4,0%,Ranking!H$5)</f>
        <v>0.24</v>
      </c>
      <c r="I110" s="48">
        <f>IF('Resultado da inspeção'!M110='Resultado da inspeção'!$W$4,0%,Ranking!I$5)</f>
        <v>0.05</v>
      </c>
      <c r="J110" s="48">
        <f>IF('Resultado da inspeção'!N110='Resultado da inspeção'!$W$4,0%,Ranking!J$5)</f>
        <v>0.04</v>
      </c>
      <c r="K110" s="48">
        <f>IF('Resultado da inspeção'!O110='Resultado da inspeção'!$W$4,0%,Ranking!K$5)</f>
        <v>0.06</v>
      </c>
      <c r="L110" s="48">
        <f>IF('Resultado da inspeção'!P110='Resultado da inspeção'!$W$4,0%,Ranking!L$5)</f>
        <v>0.08</v>
      </c>
      <c r="M110" s="48">
        <f>IF('Resultado da inspeção'!Q110='Resultado da inspeção'!$W$4,0%,Ranking!M$5)</f>
        <v>0.05</v>
      </c>
      <c r="N110" s="48">
        <f>IF('Resultado da inspeção'!R110='Resultado da inspeção'!$W$4,0%,Ranking!N$5)</f>
        <v>0.02</v>
      </c>
      <c r="O110" s="48">
        <f>IF('Resultado da inspeção'!S110='Resultado da inspeção'!$W$4,0%,Ranking!O$5)</f>
        <v>0.02</v>
      </c>
      <c r="P110" s="47">
        <f t="shared" si="19"/>
        <v>1</v>
      </c>
      <c r="Q110" s="49">
        <f t="shared" si="34"/>
        <v>0</v>
      </c>
      <c r="R110" s="50">
        <f t="shared" si="20"/>
        <v>0.02</v>
      </c>
      <c r="S110" s="50">
        <f t="shared" si="21"/>
        <v>0.03</v>
      </c>
      <c r="T110" s="50">
        <f t="shared" si="22"/>
        <v>0.03</v>
      </c>
      <c r="U110" s="50">
        <f t="shared" si="23"/>
        <v>0.1</v>
      </c>
      <c r="V110" s="50">
        <f t="shared" si="24"/>
        <v>0.21</v>
      </c>
      <c r="W110" s="50">
        <f t="shared" si="25"/>
        <v>0.05</v>
      </c>
      <c r="X110" s="50">
        <f t="shared" si="26"/>
        <v>0.24</v>
      </c>
      <c r="Y110" s="50">
        <f t="shared" si="27"/>
        <v>0.05</v>
      </c>
      <c r="Z110" s="50">
        <f t="shared" si="28"/>
        <v>0.04</v>
      </c>
      <c r="AA110" s="50">
        <f t="shared" si="29"/>
        <v>0.06</v>
      </c>
      <c r="AB110" s="50">
        <f t="shared" si="30"/>
        <v>0.08</v>
      </c>
      <c r="AC110" s="50">
        <f t="shared" si="31"/>
        <v>0.05</v>
      </c>
      <c r="AD110" s="50">
        <f t="shared" si="32"/>
        <v>0.02</v>
      </c>
      <c r="AE110" s="50">
        <f t="shared" si="33"/>
        <v>0.02</v>
      </c>
      <c r="AF110" s="47">
        <f t="shared" si="35"/>
        <v>1</v>
      </c>
      <c r="AG110" s="50">
        <f>IF('Resultado da inspeção'!F110='Resultado da inspeção'!$W$3,0%,Ranking!R110)</f>
        <v>0.02</v>
      </c>
      <c r="AH110" s="50">
        <f>IF('Resultado da inspeção'!G110='Resultado da inspeção'!$W$3,0%,Ranking!S110)</f>
        <v>0.03</v>
      </c>
      <c r="AI110" s="50">
        <f>IF('Resultado da inspeção'!H110='Resultado da inspeção'!$W$3,0%,Ranking!T110)</f>
        <v>0.03</v>
      </c>
      <c r="AJ110" s="50">
        <f>IF('Resultado da inspeção'!I110='Resultado da inspeção'!$W$3,0%,Ranking!U110)</f>
        <v>0.1</v>
      </c>
      <c r="AK110" s="50">
        <f>IF('Resultado da inspeção'!J110='Resultado da inspeção'!$W$3,0%,Ranking!V110)</f>
        <v>0.21</v>
      </c>
      <c r="AL110" s="50">
        <f>IF('Resultado da inspeção'!K110='Resultado da inspeção'!$W$3,0%,Ranking!W110)</f>
        <v>0.05</v>
      </c>
      <c r="AM110" s="50">
        <f>IF('Resultado da inspeção'!L110='Resultado da inspeção'!$W$3,0%,Ranking!X110)</f>
        <v>0.24</v>
      </c>
      <c r="AN110" s="50">
        <f>IF('Resultado da inspeção'!M110='Resultado da inspeção'!$W$3,0%,Ranking!Y110)</f>
        <v>0.05</v>
      </c>
      <c r="AO110" s="50">
        <f>IF('Resultado da inspeção'!N110='Resultado da inspeção'!$W$3,0%,Ranking!Z110)</f>
        <v>0.04</v>
      </c>
      <c r="AP110" s="50">
        <f>IF('Resultado da inspeção'!O110='Resultado da inspeção'!$W$3,0%,Ranking!AA110)</f>
        <v>0.06</v>
      </c>
      <c r="AQ110" s="50">
        <f>IF('Resultado da inspeção'!P110='Resultado da inspeção'!$W$3,0%,Ranking!AB110)</f>
        <v>0.08</v>
      </c>
      <c r="AR110" s="50">
        <f>IF('Resultado da inspeção'!Q110='Resultado da inspeção'!$W$3,0%,Ranking!AC110)</f>
        <v>0.05</v>
      </c>
      <c r="AS110" s="50">
        <f>IF('Resultado da inspeção'!R110='Resultado da inspeção'!$W$3,0%,Ranking!AD110)</f>
        <v>0.02</v>
      </c>
      <c r="AT110" s="50">
        <f>IF('Resultado da inspeção'!S110='Resultado da inspeção'!$W$3,0%,Ranking!AE110)</f>
        <v>0.02</v>
      </c>
      <c r="AU110" s="49">
        <f t="shared" si="36"/>
        <v>1</v>
      </c>
    </row>
    <row r="111" spans="2:47" x14ac:dyDescent="0.25">
      <c r="B111" s="48">
        <f>IF('Resultado da inspeção'!F111='Resultado da inspeção'!$W$4,0%,Ranking!B$5)</f>
        <v>0.02</v>
      </c>
      <c r="C111" s="48">
        <f>IF('Resultado da inspeção'!G111='Resultado da inspeção'!$W$4,0%,Ranking!C$5)</f>
        <v>0.03</v>
      </c>
      <c r="D111" s="48">
        <f>IF('Resultado da inspeção'!H111='Resultado da inspeção'!$W$4,0%,Ranking!D$5)</f>
        <v>0.03</v>
      </c>
      <c r="E111" s="48">
        <f>IF('Resultado da inspeção'!I111='Resultado da inspeção'!$W$4,0%,Ranking!E$5)</f>
        <v>0.1</v>
      </c>
      <c r="F111" s="48">
        <f>IF('Resultado da inspeção'!J111='Resultado da inspeção'!$W$4,0%,Ranking!F$5)</f>
        <v>0.21</v>
      </c>
      <c r="G111" s="48">
        <f>IF('Resultado da inspeção'!K111='Resultado da inspeção'!$W$4,0%,Ranking!G$5)</f>
        <v>0.05</v>
      </c>
      <c r="H111" s="48">
        <f>IF('Resultado da inspeção'!L111='Resultado da inspeção'!$W$4,0%,Ranking!H$5)</f>
        <v>0.24</v>
      </c>
      <c r="I111" s="48">
        <f>IF('Resultado da inspeção'!M111='Resultado da inspeção'!$W$4,0%,Ranking!I$5)</f>
        <v>0.05</v>
      </c>
      <c r="J111" s="48">
        <f>IF('Resultado da inspeção'!N111='Resultado da inspeção'!$W$4,0%,Ranking!J$5)</f>
        <v>0.04</v>
      </c>
      <c r="K111" s="48">
        <f>IF('Resultado da inspeção'!O111='Resultado da inspeção'!$W$4,0%,Ranking!K$5)</f>
        <v>0.06</v>
      </c>
      <c r="L111" s="48">
        <f>IF('Resultado da inspeção'!P111='Resultado da inspeção'!$W$4,0%,Ranking!L$5)</f>
        <v>0.08</v>
      </c>
      <c r="M111" s="48">
        <f>IF('Resultado da inspeção'!Q111='Resultado da inspeção'!$W$4,0%,Ranking!M$5)</f>
        <v>0.05</v>
      </c>
      <c r="N111" s="48">
        <f>IF('Resultado da inspeção'!R111='Resultado da inspeção'!$W$4,0%,Ranking!N$5)</f>
        <v>0.02</v>
      </c>
      <c r="O111" s="48">
        <f>IF('Resultado da inspeção'!S111='Resultado da inspeção'!$W$4,0%,Ranking!O$5)</f>
        <v>0.02</v>
      </c>
      <c r="P111" s="47">
        <f t="shared" si="19"/>
        <v>1</v>
      </c>
      <c r="Q111" s="49">
        <f t="shared" si="34"/>
        <v>0</v>
      </c>
      <c r="R111" s="50">
        <f t="shared" si="20"/>
        <v>0.02</v>
      </c>
      <c r="S111" s="50">
        <f t="shared" si="21"/>
        <v>0.03</v>
      </c>
      <c r="T111" s="50">
        <f t="shared" si="22"/>
        <v>0.03</v>
      </c>
      <c r="U111" s="50">
        <f t="shared" si="23"/>
        <v>0.1</v>
      </c>
      <c r="V111" s="50">
        <f t="shared" si="24"/>
        <v>0.21</v>
      </c>
      <c r="W111" s="50">
        <f t="shared" si="25"/>
        <v>0.05</v>
      </c>
      <c r="X111" s="50">
        <f t="shared" si="26"/>
        <v>0.24</v>
      </c>
      <c r="Y111" s="50">
        <f t="shared" si="27"/>
        <v>0.05</v>
      </c>
      <c r="Z111" s="50">
        <f t="shared" si="28"/>
        <v>0.04</v>
      </c>
      <c r="AA111" s="50">
        <f t="shared" si="29"/>
        <v>0.06</v>
      </c>
      <c r="AB111" s="50">
        <f t="shared" si="30"/>
        <v>0.08</v>
      </c>
      <c r="AC111" s="50">
        <f t="shared" si="31"/>
        <v>0.05</v>
      </c>
      <c r="AD111" s="50">
        <f t="shared" si="32"/>
        <v>0.02</v>
      </c>
      <c r="AE111" s="50">
        <f t="shared" si="33"/>
        <v>0.02</v>
      </c>
      <c r="AF111" s="47">
        <f t="shared" si="35"/>
        <v>1</v>
      </c>
      <c r="AG111" s="50">
        <f>IF('Resultado da inspeção'!F111='Resultado da inspeção'!$W$3,0%,Ranking!R111)</f>
        <v>0.02</v>
      </c>
      <c r="AH111" s="50">
        <f>IF('Resultado da inspeção'!G111='Resultado da inspeção'!$W$3,0%,Ranking!S111)</f>
        <v>0.03</v>
      </c>
      <c r="AI111" s="50">
        <f>IF('Resultado da inspeção'!H111='Resultado da inspeção'!$W$3,0%,Ranking!T111)</f>
        <v>0.03</v>
      </c>
      <c r="AJ111" s="50">
        <f>IF('Resultado da inspeção'!I111='Resultado da inspeção'!$W$3,0%,Ranking!U111)</f>
        <v>0.1</v>
      </c>
      <c r="AK111" s="50">
        <f>IF('Resultado da inspeção'!J111='Resultado da inspeção'!$W$3,0%,Ranking!V111)</f>
        <v>0.21</v>
      </c>
      <c r="AL111" s="50">
        <f>IF('Resultado da inspeção'!K111='Resultado da inspeção'!$W$3,0%,Ranking!W111)</f>
        <v>0.05</v>
      </c>
      <c r="AM111" s="50">
        <f>IF('Resultado da inspeção'!L111='Resultado da inspeção'!$W$3,0%,Ranking!X111)</f>
        <v>0.24</v>
      </c>
      <c r="AN111" s="50">
        <f>IF('Resultado da inspeção'!M111='Resultado da inspeção'!$W$3,0%,Ranking!Y111)</f>
        <v>0.05</v>
      </c>
      <c r="AO111" s="50">
        <f>IF('Resultado da inspeção'!N111='Resultado da inspeção'!$W$3,0%,Ranking!Z111)</f>
        <v>0.04</v>
      </c>
      <c r="AP111" s="50">
        <f>IF('Resultado da inspeção'!O111='Resultado da inspeção'!$W$3,0%,Ranking!AA111)</f>
        <v>0.06</v>
      </c>
      <c r="AQ111" s="50">
        <f>IF('Resultado da inspeção'!P111='Resultado da inspeção'!$W$3,0%,Ranking!AB111)</f>
        <v>0.08</v>
      </c>
      <c r="AR111" s="50">
        <f>IF('Resultado da inspeção'!Q111='Resultado da inspeção'!$W$3,0%,Ranking!AC111)</f>
        <v>0.05</v>
      </c>
      <c r="AS111" s="50">
        <f>IF('Resultado da inspeção'!R111='Resultado da inspeção'!$W$3,0%,Ranking!AD111)</f>
        <v>0.02</v>
      </c>
      <c r="AT111" s="50">
        <f>IF('Resultado da inspeção'!S111='Resultado da inspeção'!$W$3,0%,Ranking!AE111)</f>
        <v>0.02</v>
      </c>
      <c r="AU111" s="49">
        <f t="shared" si="36"/>
        <v>1</v>
      </c>
    </row>
    <row r="112" spans="2:47" x14ac:dyDescent="0.25">
      <c r="B112" s="48">
        <f>IF('Resultado da inspeção'!F112='Resultado da inspeção'!$W$4,0%,Ranking!B$5)</f>
        <v>0.02</v>
      </c>
      <c r="C112" s="48">
        <f>IF('Resultado da inspeção'!G112='Resultado da inspeção'!$W$4,0%,Ranking!C$5)</f>
        <v>0.03</v>
      </c>
      <c r="D112" s="48">
        <f>IF('Resultado da inspeção'!H112='Resultado da inspeção'!$W$4,0%,Ranking!D$5)</f>
        <v>0.03</v>
      </c>
      <c r="E112" s="48">
        <f>IF('Resultado da inspeção'!I112='Resultado da inspeção'!$W$4,0%,Ranking!E$5)</f>
        <v>0.1</v>
      </c>
      <c r="F112" s="48">
        <f>IF('Resultado da inspeção'!J112='Resultado da inspeção'!$W$4,0%,Ranking!F$5)</f>
        <v>0.21</v>
      </c>
      <c r="G112" s="48">
        <f>IF('Resultado da inspeção'!K112='Resultado da inspeção'!$W$4,0%,Ranking!G$5)</f>
        <v>0.05</v>
      </c>
      <c r="H112" s="48">
        <f>IF('Resultado da inspeção'!L112='Resultado da inspeção'!$W$4,0%,Ranking!H$5)</f>
        <v>0.24</v>
      </c>
      <c r="I112" s="48">
        <f>IF('Resultado da inspeção'!M112='Resultado da inspeção'!$W$4,0%,Ranking!I$5)</f>
        <v>0.05</v>
      </c>
      <c r="J112" s="48">
        <f>IF('Resultado da inspeção'!N112='Resultado da inspeção'!$W$4,0%,Ranking!J$5)</f>
        <v>0.04</v>
      </c>
      <c r="K112" s="48">
        <f>IF('Resultado da inspeção'!O112='Resultado da inspeção'!$W$4,0%,Ranking!K$5)</f>
        <v>0.06</v>
      </c>
      <c r="L112" s="48">
        <f>IF('Resultado da inspeção'!P112='Resultado da inspeção'!$W$4,0%,Ranking!L$5)</f>
        <v>0.08</v>
      </c>
      <c r="M112" s="48">
        <f>IF('Resultado da inspeção'!Q112='Resultado da inspeção'!$W$4,0%,Ranking!M$5)</f>
        <v>0.05</v>
      </c>
      <c r="N112" s="48">
        <f>IF('Resultado da inspeção'!R112='Resultado da inspeção'!$W$4,0%,Ranking!N$5)</f>
        <v>0.02</v>
      </c>
      <c r="O112" s="48">
        <f>IF('Resultado da inspeção'!S112='Resultado da inspeção'!$W$4,0%,Ranking!O$5)</f>
        <v>0.02</v>
      </c>
      <c r="P112" s="47">
        <f t="shared" si="19"/>
        <v>1</v>
      </c>
      <c r="Q112" s="49">
        <f t="shared" si="34"/>
        <v>0</v>
      </c>
      <c r="R112" s="50">
        <f t="shared" si="20"/>
        <v>0.02</v>
      </c>
      <c r="S112" s="50">
        <f t="shared" si="21"/>
        <v>0.03</v>
      </c>
      <c r="T112" s="50">
        <f t="shared" si="22"/>
        <v>0.03</v>
      </c>
      <c r="U112" s="50">
        <f t="shared" si="23"/>
        <v>0.1</v>
      </c>
      <c r="V112" s="50">
        <f t="shared" si="24"/>
        <v>0.21</v>
      </c>
      <c r="W112" s="50">
        <f t="shared" si="25"/>
        <v>0.05</v>
      </c>
      <c r="X112" s="50">
        <f t="shared" si="26"/>
        <v>0.24</v>
      </c>
      <c r="Y112" s="50">
        <f t="shared" si="27"/>
        <v>0.05</v>
      </c>
      <c r="Z112" s="50">
        <f t="shared" si="28"/>
        <v>0.04</v>
      </c>
      <c r="AA112" s="50">
        <f t="shared" si="29"/>
        <v>0.06</v>
      </c>
      <c r="AB112" s="50">
        <f t="shared" si="30"/>
        <v>0.08</v>
      </c>
      <c r="AC112" s="50">
        <f t="shared" si="31"/>
        <v>0.05</v>
      </c>
      <c r="AD112" s="50">
        <f t="shared" si="32"/>
        <v>0.02</v>
      </c>
      <c r="AE112" s="50">
        <f t="shared" si="33"/>
        <v>0.02</v>
      </c>
      <c r="AF112" s="47">
        <f t="shared" si="35"/>
        <v>1</v>
      </c>
      <c r="AG112" s="50">
        <f>IF('Resultado da inspeção'!F112='Resultado da inspeção'!$W$3,0%,Ranking!R112)</f>
        <v>0.02</v>
      </c>
      <c r="AH112" s="50">
        <f>IF('Resultado da inspeção'!G112='Resultado da inspeção'!$W$3,0%,Ranking!S112)</f>
        <v>0.03</v>
      </c>
      <c r="AI112" s="50">
        <f>IF('Resultado da inspeção'!H112='Resultado da inspeção'!$W$3,0%,Ranking!T112)</f>
        <v>0.03</v>
      </c>
      <c r="AJ112" s="50">
        <f>IF('Resultado da inspeção'!I112='Resultado da inspeção'!$W$3,0%,Ranking!U112)</f>
        <v>0.1</v>
      </c>
      <c r="AK112" s="50">
        <f>IF('Resultado da inspeção'!J112='Resultado da inspeção'!$W$3,0%,Ranking!V112)</f>
        <v>0.21</v>
      </c>
      <c r="AL112" s="50">
        <f>IF('Resultado da inspeção'!K112='Resultado da inspeção'!$W$3,0%,Ranking!W112)</f>
        <v>0.05</v>
      </c>
      <c r="AM112" s="50">
        <f>IF('Resultado da inspeção'!L112='Resultado da inspeção'!$W$3,0%,Ranking!X112)</f>
        <v>0.24</v>
      </c>
      <c r="AN112" s="50">
        <f>IF('Resultado da inspeção'!M112='Resultado da inspeção'!$W$3,0%,Ranking!Y112)</f>
        <v>0.05</v>
      </c>
      <c r="AO112" s="50">
        <f>IF('Resultado da inspeção'!N112='Resultado da inspeção'!$W$3,0%,Ranking!Z112)</f>
        <v>0.04</v>
      </c>
      <c r="AP112" s="50">
        <f>IF('Resultado da inspeção'!O112='Resultado da inspeção'!$W$3,0%,Ranking!AA112)</f>
        <v>0.06</v>
      </c>
      <c r="AQ112" s="50">
        <f>IF('Resultado da inspeção'!P112='Resultado da inspeção'!$W$3,0%,Ranking!AB112)</f>
        <v>0.08</v>
      </c>
      <c r="AR112" s="50">
        <f>IF('Resultado da inspeção'!Q112='Resultado da inspeção'!$W$3,0%,Ranking!AC112)</f>
        <v>0.05</v>
      </c>
      <c r="AS112" s="50">
        <f>IF('Resultado da inspeção'!R112='Resultado da inspeção'!$W$3,0%,Ranking!AD112)</f>
        <v>0.02</v>
      </c>
      <c r="AT112" s="50">
        <f>IF('Resultado da inspeção'!S112='Resultado da inspeção'!$W$3,0%,Ranking!AE112)</f>
        <v>0.02</v>
      </c>
      <c r="AU112" s="49">
        <f t="shared" si="36"/>
        <v>1</v>
      </c>
    </row>
    <row r="113" spans="2:47" x14ac:dyDescent="0.25">
      <c r="B113" s="48">
        <f>IF('Resultado da inspeção'!F113='Resultado da inspeção'!$W$4,0%,Ranking!B$5)</f>
        <v>0.02</v>
      </c>
      <c r="C113" s="48">
        <f>IF('Resultado da inspeção'!G113='Resultado da inspeção'!$W$4,0%,Ranking!C$5)</f>
        <v>0.03</v>
      </c>
      <c r="D113" s="48">
        <f>IF('Resultado da inspeção'!H113='Resultado da inspeção'!$W$4,0%,Ranking!D$5)</f>
        <v>0.03</v>
      </c>
      <c r="E113" s="48">
        <f>IF('Resultado da inspeção'!I113='Resultado da inspeção'!$W$4,0%,Ranking!E$5)</f>
        <v>0.1</v>
      </c>
      <c r="F113" s="48">
        <f>IF('Resultado da inspeção'!J113='Resultado da inspeção'!$W$4,0%,Ranking!F$5)</f>
        <v>0.21</v>
      </c>
      <c r="G113" s="48">
        <f>IF('Resultado da inspeção'!K113='Resultado da inspeção'!$W$4,0%,Ranking!G$5)</f>
        <v>0.05</v>
      </c>
      <c r="H113" s="48">
        <f>IF('Resultado da inspeção'!L113='Resultado da inspeção'!$W$4,0%,Ranking!H$5)</f>
        <v>0.24</v>
      </c>
      <c r="I113" s="48">
        <f>IF('Resultado da inspeção'!M113='Resultado da inspeção'!$W$4,0%,Ranking!I$5)</f>
        <v>0.05</v>
      </c>
      <c r="J113" s="48">
        <f>IF('Resultado da inspeção'!N113='Resultado da inspeção'!$W$4,0%,Ranking!J$5)</f>
        <v>0.04</v>
      </c>
      <c r="K113" s="48">
        <f>IF('Resultado da inspeção'!O113='Resultado da inspeção'!$W$4,0%,Ranking!K$5)</f>
        <v>0.06</v>
      </c>
      <c r="L113" s="48">
        <f>IF('Resultado da inspeção'!P113='Resultado da inspeção'!$W$4,0%,Ranking!L$5)</f>
        <v>0.08</v>
      </c>
      <c r="M113" s="48">
        <f>IF('Resultado da inspeção'!Q113='Resultado da inspeção'!$W$4,0%,Ranking!M$5)</f>
        <v>0.05</v>
      </c>
      <c r="N113" s="48">
        <f>IF('Resultado da inspeção'!R113='Resultado da inspeção'!$W$4,0%,Ranking!N$5)</f>
        <v>0.02</v>
      </c>
      <c r="O113" s="48">
        <f>IF('Resultado da inspeção'!S113='Resultado da inspeção'!$W$4,0%,Ranking!O$5)</f>
        <v>0.02</v>
      </c>
      <c r="P113" s="47">
        <f t="shared" si="19"/>
        <v>1</v>
      </c>
      <c r="Q113" s="49">
        <f t="shared" si="34"/>
        <v>0</v>
      </c>
      <c r="R113" s="50">
        <f t="shared" si="20"/>
        <v>0.02</v>
      </c>
      <c r="S113" s="50">
        <f t="shared" si="21"/>
        <v>0.03</v>
      </c>
      <c r="T113" s="50">
        <f t="shared" si="22"/>
        <v>0.03</v>
      </c>
      <c r="U113" s="50">
        <f t="shared" si="23"/>
        <v>0.1</v>
      </c>
      <c r="V113" s="50">
        <f t="shared" si="24"/>
        <v>0.21</v>
      </c>
      <c r="W113" s="50">
        <f t="shared" si="25"/>
        <v>0.05</v>
      </c>
      <c r="X113" s="50">
        <f t="shared" si="26"/>
        <v>0.24</v>
      </c>
      <c r="Y113" s="50">
        <f t="shared" si="27"/>
        <v>0.05</v>
      </c>
      <c r="Z113" s="50">
        <f t="shared" si="28"/>
        <v>0.04</v>
      </c>
      <c r="AA113" s="50">
        <f t="shared" si="29"/>
        <v>0.06</v>
      </c>
      <c r="AB113" s="50">
        <f t="shared" si="30"/>
        <v>0.08</v>
      </c>
      <c r="AC113" s="50">
        <f t="shared" si="31"/>
        <v>0.05</v>
      </c>
      <c r="AD113" s="50">
        <f t="shared" si="32"/>
        <v>0.02</v>
      </c>
      <c r="AE113" s="50">
        <f t="shared" si="33"/>
        <v>0.02</v>
      </c>
      <c r="AF113" s="47">
        <f t="shared" si="35"/>
        <v>1</v>
      </c>
      <c r="AG113" s="50">
        <f>IF('Resultado da inspeção'!F113='Resultado da inspeção'!$W$3,0%,Ranking!R113)</f>
        <v>0.02</v>
      </c>
      <c r="AH113" s="50">
        <f>IF('Resultado da inspeção'!G113='Resultado da inspeção'!$W$3,0%,Ranking!S113)</f>
        <v>0.03</v>
      </c>
      <c r="AI113" s="50">
        <f>IF('Resultado da inspeção'!H113='Resultado da inspeção'!$W$3,0%,Ranking!T113)</f>
        <v>0.03</v>
      </c>
      <c r="AJ113" s="50">
        <f>IF('Resultado da inspeção'!I113='Resultado da inspeção'!$W$3,0%,Ranking!U113)</f>
        <v>0.1</v>
      </c>
      <c r="AK113" s="50">
        <f>IF('Resultado da inspeção'!J113='Resultado da inspeção'!$W$3,0%,Ranking!V113)</f>
        <v>0.21</v>
      </c>
      <c r="AL113" s="50">
        <f>IF('Resultado da inspeção'!K113='Resultado da inspeção'!$W$3,0%,Ranking!W113)</f>
        <v>0.05</v>
      </c>
      <c r="AM113" s="50">
        <f>IF('Resultado da inspeção'!L113='Resultado da inspeção'!$W$3,0%,Ranking!X113)</f>
        <v>0.24</v>
      </c>
      <c r="AN113" s="50">
        <f>IF('Resultado da inspeção'!M113='Resultado da inspeção'!$W$3,0%,Ranking!Y113)</f>
        <v>0.05</v>
      </c>
      <c r="AO113" s="50">
        <f>IF('Resultado da inspeção'!N113='Resultado da inspeção'!$W$3,0%,Ranking!Z113)</f>
        <v>0.04</v>
      </c>
      <c r="AP113" s="50">
        <f>IF('Resultado da inspeção'!O113='Resultado da inspeção'!$W$3,0%,Ranking!AA113)</f>
        <v>0.06</v>
      </c>
      <c r="AQ113" s="50">
        <f>IF('Resultado da inspeção'!P113='Resultado da inspeção'!$W$3,0%,Ranking!AB113)</f>
        <v>0.08</v>
      </c>
      <c r="AR113" s="50">
        <f>IF('Resultado da inspeção'!Q113='Resultado da inspeção'!$W$3,0%,Ranking!AC113)</f>
        <v>0.05</v>
      </c>
      <c r="AS113" s="50">
        <f>IF('Resultado da inspeção'!R113='Resultado da inspeção'!$W$3,0%,Ranking!AD113)</f>
        <v>0.02</v>
      </c>
      <c r="AT113" s="50">
        <f>IF('Resultado da inspeção'!S113='Resultado da inspeção'!$W$3,0%,Ranking!AE113)</f>
        <v>0.02</v>
      </c>
      <c r="AU113" s="49">
        <f t="shared" si="36"/>
        <v>1</v>
      </c>
    </row>
    <row r="114" spans="2:47" x14ac:dyDescent="0.25">
      <c r="B114" s="48">
        <f>IF('Resultado da inspeção'!F114='Resultado da inspeção'!$W$4,0%,Ranking!B$5)</f>
        <v>0.02</v>
      </c>
      <c r="C114" s="48">
        <f>IF('Resultado da inspeção'!G114='Resultado da inspeção'!$W$4,0%,Ranking!C$5)</f>
        <v>0.03</v>
      </c>
      <c r="D114" s="48">
        <f>IF('Resultado da inspeção'!H114='Resultado da inspeção'!$W$4,0%,Ranking!D$5)</f>
        <v>0.03</v>
      </c>
      <c r="E114" s="48">
        <f>IF('Resultado da inspeção'!I114='Resultado da inspeção'!$W$4,0%,Ranking!E$5)</f>
        <v>0.1</v>
      </c>
      <c r="F114" s="48">
        <f>IF('Resultado da inspeção'!J114='Resultado da inspeção'!$W$4,0%,Ranking!F$5)</f>
        <v>0.21</v>
      </c>
      <c r="G114" s="48">
        <f>IF('Resultado da inspeção'!K114='Resultado da inspeção'!$W$4,0%,Ranking!G$5)</f>
        <v>0.05</v>
      </c>
      <c r="H114" s="48">
        <f>IF('Resultado da inspeção'!L114='Resultado da inspeção'!$W$4,0%,Ranking!H$5)</f>
        <v>0.24</v>
      </c>
      <c r="I114" s="48">
        <f>IF('Resultado da inspeção'!M114='Resultado da inspeção'!$W$4,0%,Ranking!I$5)</f>
        <v>0.05</v>
      </c>
      <c r="J114" s="48">
        <f>IF('Resultado da inspeção'!N114='Resultado da inspeção'!$W$4,0%,Ranking!J$5)</f>
        <v>0.04</v>
      </c>
      <c r="K114" s="48">
        <f>IF('Resultado da inspeção'!O114='Resultado da inspeção'!$W$4,0%,Ranking!K$5)</f>
        <v>0.06</v>
      </c>
      <c r="L114" s="48">
        <f>IF('Resultado da inspeção'!P114='Resultado da inspeção'!$W$4,0%,Ranking!L$5)</f>
        <v>0.08</v>
      </c>
      <c r="M114" s="48">
        <f>IF('Resultado da inspeção'!Q114='Resultado da inspeção'!$W$4,0%,Ranking!M$5)</f>
        <v>0.05</v>
      </c>
      <c r="N114" s="48">
        <f>IF('Resultado da inspeção'!R114='Resultado da inspeção'!$W$4,0%,Ranking!N$5)</f>
        <v>0.02</v>
      </c>
      <c r="O114" s="48">
        <f>IF('Resultado da inspeção'!S114='Resultado da inspeção'!$W$4,0%,Ranking!O$5)</f>
        <v>0.02</v>
      </c>
      <c r="P114" s="47">
        <f t="shared" si="19"/>
        <v>1</v>
      </c>
      <c r="Q114" s="49">
        <f t="shared" si="34"/>
        <v>0</v>
      </c>
      <c r="R114" s="50">
        <f t="shared" si="20"/>
        <v>0.02</v>
      </c>
      <c r="S114" s="50">
        <f t="shared" si="21"/>
        <v>0.03</v>
      </c>
      <c r="T114" s="50">
        <f t="shared" si="22"/>
        <v>0.03</v>
      </c>
      <c r="U114" s="50">
        <f t="shared" si="23"/>
        <v>0.1</v>
      </c>
      <c r="V114" s="50">
        <f t="shared" si="24"/>
        <v>0.21</v>
      </c>
      <c r="W114" s="50">
        <f t="shared" si="25"/>
        <v>0.05</v>
      </c>
      <c r="X114" s="50">
        <f t="shared" si="26"/>
        <v>0.24</v>
      </c>
      <c r="Y114" s="50">
        <f t="shared" si="27"/>
        <v>0.05</v>
      </c>
      <c r="Z114" s="50">
        <f t="shared" si="28"/>
        <v>0.04</v>
      </c>
      <c r="AA114" s="50">
        <f t="shared" si="29"/>
        <v>0.06</v>
      </c>
      <c r="AB114" s="50">
        <f t="shared" si="30"/>
        <v>0.08</v>
      </c>
      <c r="AC114" s="50">
        <f t="shared" si="31"/>
        <v>0.05</v>
      </c>
      <c r="AD114" s="50">
        <f t="shared" si="32"/>
        <v>0.02</v>
      </c>
      <c r="AE114" s="50">
        <f t="shared" si="33"/>
        <v>0.02</v>
      </c>
      <c r="AF114" s="47">
        <f t="shared" si="35"/>
        <v>1</v>
      </c>
      <c r="AG114" s="50">
        <f>IF('Resultado da inspeção'!F114='Resultado da inspeção'!$W$3,0%,Ranking!R114)</f>
        <v>0.02</v>
      </c>
      <c r="AH114" s="50">
        <f>IF('Resultado da inspeção'!G114='Resultado da inspeção'!$W$3,0%,Ranking!S114)</f>
        <v>0.03</v>
      </c>
      <c r="AI114" s="50">
        <f>IF('Resultado da inspeção'!H114='Resultado da inspeção'!$W$3,0%,Ranking!T114)</f>
        <v>0.03</v>
      </c>
      <c r="AJ114" s="50">
        <f>IF('Resultado da inspeção'!I114='Resultado da inspeção'!$W$3,0%,Ranking!U114)</f>
        <v>0.1</v>
      </c>
      <c r="AK114" s="50">
        <f>IF('Resultado da inspeção'!J114='Resultado da inspeção'!$W$3,0%,Ranking!V114)</f>
        <v>0.21</v>
      </c>
      <c r="AL114" s="50">
        <f>IF('Resultado da inspeção'!K114='Resultado da inspeção'!$W$3,0%,Ranking!W114)</f>
        <v>0.05</v>
      </c>
      <c r="AM114" s="50">
        <f>IF('Resultado da inspeção'!L114='Resultado da inspeção'!$W$3,0%,Ranking!X114)</f>
        <v>0.24</v>
      </c>
      <c r="AN114" s="50">
        <f>IF('Resultado da inspeção'!M114='Resultado da inspeção'!$W$3,0%,Ranking!Y114)</f>
        <v>0.05</v>
      </c>
      <c r="AO114" s="50">
        <f>IF('Resultado da inspeção'!N114='Resultado da inspeção'!$W$3,0%,Ranking!Z114)</f>
        <v>0.04</v>
      </c>
      <c r="AP114" s="50">
        <f>IF('Resultado da inspeção'!O114='Resultado da inspeção'!$W$3,0%,Ranking!AA114)</f>
        <v>0.06</v>
      </c>
      <c r="AQ114" s="50">
        <f>IF('Resultado da inspeção'!P114='Resultado da inspeção'!$W$3,0%,Ranking!AB114)</f>
        <v>0.08</v>
      </c>
      <c r="AR114" s="50">
        <f>IF('Resultado da inspeção'!Q114='Resultado da inspeção'!$W$3,0%,Ranking!AC114)</f>
        <v>0.05</v>
      </c>
      <c r="AS114" s="50">
        <f>IF('Resultado da inspeção'!R114='Resultado da inspeção'!$W$3,0%,Ranking!AD114)</f>
        <v>0.02</v>
      </c>
      <c r="AT114" s="50">
        <f>IF('Resultado da inspeção'!S114='Resultado da inspeção'!$W$3,0%,Ranking!AE114)</f>
        <v>0.02</v>
      </c>
      <c r="AU114" s="49">
        <f t="shared" si="36"/>
        <v>1</v>
      </c>
    </row>
    <row r="115" spans="2:47" x14ac:dyDescent="0.25">
      <c r="B115" s="48">
        <f>IF('Resultado da inspeção'!F115='Resultado da inspeção'!$W$4,0%,Ranking!B$5)</f>
        <v>0.02</v>
      </c>
      <c r="C115" s="48">
        <f>IF('Resultado da inspeção'!G115='Resultado da inspeção'!$W$4,0%,Ranking!C$5)</f>
        <v>0.03</v>
      </c>
      <c r="D115" s="48">
        <f>IF('Resultado da inspeção'!H115='Resultado da inspeção'!$W$4,0%,Ranking!D$5)</f>
        <v>0.03</v>
      </c>
      <c r="E115" s="48">
        <f>IF('Resultado da inspeção'!I115='Resultado da inspeção'!$W$4,0%,Ranking!E$5)</f>
        <v>0.1</v>
      </c>
      <c r="F115" s="48">
        <f>IF('Resultado da inspeção'!J115='Resultado da inspeção'!$W$4,0%,Ranking!F$5)</f>
        <v>0.21</v>
      </c>
      <c r="G115" s="48">
        <f>IF('Resultado da inspeção'!K115='Resultado da inspeção'!$W$4,0%,Ranking!G$5)</f>
        <v>0.05</v>
      </c>
      <c r="H115" s="48">
        <f>IF('Resultado da inspeção'!L115='Resultado da inspeção'!$W$4,0%,Ranking!H$5)</f>
        <v>0.24</v>
      </c>
      <c r="I115" s="48">
        <f>IF('Resultado da inspeção'!M115='Resultado da inspeção'!$W$4,0%,Ranking!I$5)</f>
        <v>0.05</v>
      </c>
      <c r="J115" s="48">
        <f>IF('Resultado da inspeção'!N115='Resultado da inspeção'!$W$4,0%,Ranking!J$5)</f>
        <v>0.04</v>
      </c>
      <c r="K115" s="48">
        <f>IF('Resultado da inspeção'!O115='Resultado da inspeção'!$W$4,0%,Ranking!K$5)</f>
        <v>0.06</v>
      </c>
      <c r="L115" s="48">
        <f>IF('Resultado da inspeção'!P115='Resultado da inspeção'!$W$4,0%,Ranking!L$5)</f>
        <v>0.08</v>
      </c>
      <c r="M115" s="48">
        <f>IF('Resultado da inspeção'!Q115='Resultado da inspeção'!$W$4,0%,Ranking!M$5)</f>
        <v>0.05</v>
      </c>
      <c r="N115" s="48">
        <f>IF('Resultado da inspeção'!R115='Resultado da inspeção'!$W$4,0%,Ranking!N$5)</f>
        <v>0.02</v>
      </c>
      <c r="O115" s="48">
        <f>IF('Resultado da inspeção'!S115='Resultado da inspeção'!$W$4,0%,Ranking!O$5)</f>
        <v>0.02</v>
      </c>
      <c r="P115" s="47">
        <f t="shared" si="19"/>
        <v>1</v>
      </c>
      <c r="Q115" s="49">
        <f t="shared" si="34"/>
        <v>0</v>
      </c>
      <c r="R115" s="50">
        <f t="shared" si="20"/>
        <v>0.02</v>
      </c>
      <c r="S115" s="50">
        <f t="shared" si="21"/>
        <v>0.03</v>
      </c>
      <c r="T115" s="50">
        <f t="shared" si="22"/>
        <v>0.03</v>
      </c>
      <c r="U115" s="50">
        <f t="shared" si="23"/>
        <v>0.1</v>
      </c>
      <c r="V115" s="50">
        <f t="shared" si="24"/>
        <v>0.21</v>
      </c>
      <c r="W115" s="50">
        <f t="shared" si="25"/>
        <v>0.05</v>
      </c>
      <c r="X115" s="50">
        <f t="shared" si="26"/>
        <v>0.24</v>
      </c>
      <c r="Y115" s="50">
        <f t="shared" si="27"/>
        <v>0.05</v>
      </c>
      <c r="Z115" s="50">
        <f t="shared" si="28"/>
        <v>0.04</v>
      </c>
      <c r="AA115" s="50">
        <f t="shared" si="29"/>
        <v>0.06</v>
      </c>
      <c r="AB115" s="50">
        <f t="shared" si="30"/>
        <v>0.08</v>
      </c>
      <c r="AC115" s="50">
        <f t="shared" si="31"/>
        <v>0.05</v>
      </c>
      <c r="AD115" s="50">
        <f t="shared" si="32"/>
        <v>0.02</v>
      </c>
      <c r="AE115" s="50">
        <f t="shared" si="33"/>
        <v>0.02</v>
      </c>
      <c r="AF115" s="47">
        <f t="shared" si="35"/>
        <v>1</v>
      </c>
      <c r="AG115" s="50">
        <f>IF('Resultado da inspeção'!F115='Resultado da inspeção'!$W$3,0%,Ranking!R115)</f>
        <v>0.02</v>
      </c>
      <c r="AH115" s="50">
        <f>IF('Resultado da inspeção'!G115='Resultado da inspeção'!$W$3,0%,Ranking!S115)</f>
        <v>0.03</v>
      </c>
      <c r="AI115" s="50">
        <f>IF('Resultado da inspeção'!H115='Resultado da inspeção'!$W$3,0%,Ranking!T115)</f>
        <v>0.03</v>
      </c>
      <c r="AJ115" s="50">
        <f>IF('Resultado da inspeção'!I115='Resultado da inspeção'!$W$3,0%,Ranking!U115)</f>
        <v>0.1</v>
      </c>
      <c r="AK115" s="50">
        <f>IF('Resultado da inspeção'!J115='Resultado da inspeção'!$W$3,0%,Ranking!V115)</f>
        <v>0.21</v>
      </c>
      <c r="AL115" s="50">
        <f>IF('Resultado da inspeção'!K115='Resultado da inspeção'!$W$3,0%,Ranking!W115)</f>
        <v>0.05</v>
      </c>
      <c r="AM115" s="50">
        <f>IF('Resultado da inspeção'!L115='Resultado da inspeção'!$W$3,0%,Ranking!X115)</f>
        <v>0.24</v>
      </c>
      <c r="AN115" s="50">
        <f>IF('Resultado da inspeção'!M115='Resultado da inspeção'!$W$3,0%,Ranking!Y115)</f>
        <v>0.05</v>
      </c>
      <c r="AO115" s="50">
        <f>IF('Resultado da inspeção'!N115='Resultado da inspeção'!$W$3,0%,Ranking!Z115)</f>
        <v>0.04</v>
      </c>
      <c r="AP115" s="50">
        <f>IF('Resultado da inspeção'!O115='Resultado da inspeção'!$W$3,0%,Ranking!AA115)</f>
        <v>0.06</v>
      </c>
      <c r="AQ115" s="50">
        <f>IF('Resultado da inspeção'!P115='Resultado da inspeção'!$W$3,0%,Ranking!AB115)</f>
        <v>0.08</v>
      </c>
      <c r="AR115" s="50">
        <f>IF('Resultado da inspeção'!Q115='Resultado da inspeção'!$W$3,0%,Ranking!AC115)</f>
        <v>0.05</v>
      </c>
      <c r="AS115" s="50">
        <f>IF('Resultado da inspeção'!R115='Resultado da inspeção'!$W$3,0%,Ranking!AD115)</f>
        <v>0.02</v>
      </c>
      <c r="AT115" s="50">
        <f>IF('Resultado da inspeção'!S115='Resultado da inspeção'!$W$3,0%,Ranking!AE115)</f>
        <v>0.02</v>
      </c>
      <c r="AU115" s="49">
        <f t="shared" si="36"/>
        <v>1</v>
      </c>
    </row>
    <row r="116" spans="2:47" x14ac:dyDescent="0.25">
      <c r="B116" s="48">
        <f>IF('Resultado da inspeção'!F116='Resultado da inspeção'!$W$4,0%,Ranking!B$5)</f>
        <v>0.02</v>
      </c>
      <c r="C116" s="48">
        <f>IF('Resultado da inspeção'!G116='Resultado da inspeção'!$W$4,0%,Ranking!C$5)</f>
        <v>0.03</v>
      </c>
      <c r="D116" s="48">
        <f>IF('Resultado da inspeção'!H116='Resultado da inspeção'!$W$4,0%,Ranking!D$5)</f>
        <v>0.03</v>
      </c>
      <c r="E116" s="48">
        <f>IF('Resultado da inspeção'!I116='Resultado da inspeção'!$W$4,0%,Ranking!E$5)</f>
        <v>0.1</v>
      </c>
      <c r="F116" s="48">
        <f>IF('Resultado da inspeção'!J116='Resultado da inspeção'!$W$4,0%,Ranking!F$5)</f>
        <v>0.21</v>
      </c>
      <c r="G116" s="48">
        <f>IF('Resultado da inspeção'!K116='Resultado da inspeção'!$W$4,0%,Ranking!G$5)</f>
        <v>0.05</v>
      </c>
      <c r="H116" s="48">
        <f>IF('Resultado da inspeção'!L116='Resultado da inspeção'!$W$4,0%,Ranking!H$5)</f>
        <v>0.24</v>
      </c>
      <c r="I116" s="48">
        <f>IF('Resultado da inspeção'!M116='Resultado da inspeção'!$W$4,0%,Ranking!I$5)</f>
        <v>0.05</v>
      </c>
      <c r="J116" s="48">
        <f>IF('Resultado da inspeção'!N116='Resultado da inspeção'!$W$4,0%,Ranking!J$5)</f>
        <v>0.04</v>
      </c>
      <c r="K116" s="48">
        <f>IF('Resultado da inspeção'!O116='Resultado da inspeção'!$W$4,0%,Ranking!K$5)</f>
        <v>0.06</v>
      </c>
      <c r="L116" s="48">
        <f>IF('Resultado da inspeção'!P116='Resultado da inspeção'!$W$4,0%,Ranking!L$5)</f>
        <v>0.08</v>
      </c>
      <c r="M116" s="48">
        <f>IF('Resultado da inspeção'!Q116='Resultado da inspeção'!$W$4,0%,Ranking!M$5)</f>
        <v>0.05</v>
      </c>
      <c r="N116" s="48">
        <f>IF('Resultado da inspeção'!R116='Resultado da inspeção'!$W$4,0%,Ranking!N$5)</f>
        <v>0.02</v>
      </c>
      <c r="O116" s="48">
        <f>IF('Resultado da inspeção'!S116='Resultado da inspeção'!$W$4,0%,Ranking!O$5)</f>
        <v>0.02</v>
      </c>
      <c r="P116" s="47">
        <f t="shared" si="19"/>
        <v>1</v>
      </c>
      <c r="Q116" s="49">
        <f t="shared" si="34"/>
        <v>0</v>
      </c>
      <c r="R116" s="50">
        <f t="shared" si="20"/>
        <v>0.02</v>
      </c>
      <c r="S116" s="50">
        <f t="shared" si="21"/>
        <v>0.03</v>
      </c>
      <c r="T116" s="50">
        <f t="shared" si="22"/>
        <v>0.03</v>
      </c>
      <c r="U116" s="50">
        <f t="shared" si="23"/>
        <v>0.1</v>
      </c>
      <c r="V116" s="50">
        <f t="shared" si="24"/>
        <v>0.21</v>
      </c>
      <c r="W116" s="50">
        <f t="shared" si="25"/>
        <v>0.05</v>
      </c>
      <c r="X116" s="50">
        <f t="shared" si="26"/>
        <v>0.24</v>
      </c>
      <c r="Y116" s="50">
        <f t="shared" si="27"/>
        <v>0.05</v>
      </c>
      <c r="Z116" s="50">
        <f t="shared" si="28"/>
        <v>0.04</v>
      </c>
      <c r="AA116" s="50">
        <f t="shared" si="29"/>
        <v>0.06</v>
      </c>
      <c r="AB116" s="50">
        <f t="shared" si="30"/>
        <v>0.08</v>
      </c>
      <c r="AC116" s="50">
        <f t="shared" si="31"/>
        <v>0.05</v>
      </c>
      <c r="AD116" s="50">
        <f t="shared" si="32"/>
        <v>0.02</v>
      </c>
      <c r="AE116" s="50">
        <f t="shared" si="33"/>
        <v>0.02</v>
      </c>
      <c r="AF116" s="47">
        <f t="shared" si="35"/>
        <v>1</v>
      </c>
      <c r="AG116" s="50">
        <f>IF('Resultado da inspeção'!F116='Resultado da inspeção'!$W$3,0%,Ranking!R116)</f>
        <v>0.02</v>
      </c>
      <c r="AH116" s="50">
        <f>IF('Resultado da inspeção'!G116='Resultado da inspeção'!$W$3,0%,Ranking!S116)</f>
        <v>0.03</v>
      </c>
      <c r="AI116" s="50">
        <f>IF('Resultado da inspeção'!H116='Resultado da inspeção'!$W$3,0%,Ranking!T116)</f>
        <v>0.03</v>
      </c>
      <c r="AJ116" s="50">
        <f>IF('Resultado da inspeção'!I116='Resultado da inspeção'!$W$3,0%,Ranking!U116)</f>
        <v>0.1</v>
      </c>
      <c r="AK116" s="50">
        <f>IF('Resultado da inspeção'!J116='Resultado da inspeção'!$W$3,0%,Ranking!V116)</f>
        <v>0.21</v>
      </c>
      <c r="AL116" s="50">
        <f>IF('Resultado da inspeção'!K116='Resultado da inspeção'!$W$3,0%,Ranking!W116)</f>
        <v>0.05</v>
      </c>
      <c r="AM116" s="50">
        <f>IF('Resultado da inspeção'!L116='Resultado da inspeção'!$W$3,0%,Ranking!X116)</f>
        <v>0.24</v>
      </c>
      <c r="AN116" s="50">
        <f>IF('Resultado da inspeção'!M116='Resultado da inspeção'!$W$3,0%,Ranking!Y116)</f>
        <v>0.05</v>
      </c>
      <c r="AO116" s="50">
        <f>IF('Resultado da inspeção'!N116='Resultado da inspeção'!$W$3,0%,Ranking!Z116)</f>
        <v>0.04</v>
      </c>
      <c r="AP116" s="50">
        <f>IF('Resultado da inspeção'!O116='Resultado da inspeção'!$W$3,0%,Ranking!AA116)</f>
        <v>0.06</v>
      </c>
      <c r="AQ116" s="50">
        <f>IF('Resultado da inspeção'!P116='Resultado da inspeção'!$W$3,0%,Ranking!AB116)</f>
        <v>0.08</v>
      </c>
      <c r="AR116" s="50">
        <f>IF('Resultado da inspeção'!Q116='Resultado da inspeção'!$W$3,0%,Ranking!AC116)</f>
        <v>0.05</v>
      </c>
      <c r="AS116" s="50">
        <f>IF('Resultado da inspeção'!R116='Resultado da inspeção'!$W$3,0%,Ranking!AD116)</f>
        <v>0.02</v>
      </c>
      <c r="AT116" s="50">
        <f>IF('Resultado da inspeção'!S116='Resultado da inspeção'!$W$3,0%,Ranking!AE116)</f>
        <v>0.02</v>
      </c>
      <c r="AU116" s="49">
        <f t="shared" si="36"/>
        <v>1</v>
      </c>
    </row>
    <row r="117" spans="2:47" x14ac:dyDescent="0.25">
      <c r="B117" s="48">
        <f>IF('Resultado da inspeção'!F117='Resultado da inspeção'!$W$4,0%,Ranking!B$5)</f>
        <v>0.02</v>
      </c>
      <c r="C117" s="48">
        <f>IF('Resultado da inspeção'!G117='Resultado da inspeção'!$W$4,0%,Ranking!C$5)</f>
        <v>0.03</v>
      </c>
      <c r="D117" s="48">
        <f>IF('Resultado da inspeção'!H117='Resultado da inspeção'!$W$4,0%,Ranking!D$5)</f>
        <v>0.03</v>
      </c>
      <c r="E117" s="48">
        <f>IF('Resultado da inspeção'!I117='Resultado da inspeção'!$W$4,0%,Ranking!E$5)</f>
        <v>0.1</v>
      </c>
      <c r="F117" s="48">
        <f>IF('Resultado da inspeção'!J117='Resultado da inspeção'!$W$4,0%,Ranking!F$5)</f>
        <v>0.21</v>
      </c>
      <c r="G117" s="48">
        <f>IF('Resultado da inspeção'!K117='Resultado da inspeção'!$W$4,0%,Ranking!G$5)</f>
        <v>0.05</v>
      </c>
      <c r="H117" s="48">
        <f>IF('Resultado da inspeção'!L117='Resultado da inspeção'!$W$4,0%,Ranking!H$5)</f>
        <v>0.24</v>
      </c>
      <c r="I117" s="48">
        <f>IF('Resultado da inspeção'!M117='Resultado da inspeção'!$W$4,0%,Ranking!I$5)</f>
        <v>0.05</v>
      </c>
      <c r="J117" s="48">
        <f>IF('Resultado da inspeção'!N117='Resultado da inspeção'!$W$4,0%,Ranking!J$5)</f>
        <v>0.04</v>
      </c>
      <c r="K117" s="48">
        <f>IF('Resultado da inspeção'!O117='Resultado da inspeção'!$W$4,0%,Ranking!K$5)</f>
        <v>0.06</v>
      </c>
      <c r="L117" s="48">
        <f>IF('Resultado da inspeção'!P117='Resultado da inspeção'!$W$4,0%,Ranking!L$5)</f>
        <v>0.08</v>
      </c>
      <c r="M117" s="48">
        <f>IF('Resultado da inspeção'!Q117='Resultado da inspeção'!$W$4,0%,Ranking!M$5)</f>
        <v>0.05</v>
      </c>
      <c r="N117" s="48">
        <f>IF('Resultado da inspeção'!R117='Resultado da inspeção'!$W$4,0%,Ranking!N$5)</f>
        <v>0.02</v>
      </c>
      <c r="O117" s="48">
        <f>IF('Resultado da inspeção'!S117='Resultado da inspeção'!$W$4,0%,Ranking!O$5)</f>
        <v>0.02</v>
      </c>
      <c r="P117" s="47">
        <f t="shared" si="19"/>
        <v>1</v>
      </c>
      <c r="Q117" s="49">
        <f t="shared" si="34"/>
        <v>0</v>
      </c>
      <c r="R117" s="50">
        <f t="shared" si="20"/>
        <v>0.02</v>
      </c>
      <c r="S117" s="50">
        <f t="shared" si="21"/>
        <v>0.03</v>
      </c>
      <c r="T117" s="50">
        <f t="shared" si="22"/>
        <v>0.03</v>
      </c>
      <c r="U117" s="50">
        <f t="shared" si="23"/>
        <v>0.1</v>
      </c>
      <c r="V117" s="50">
        <f t="shared" si="24"/>
        <v>0.21</v>
      </c>
      <c r="W117" s="50">
        <f t="shared" si="25"/>
        <v>0.05</v>
      </c>
      <c r="X117" s="50">
        <f t="shared" si="26"/>
        <v>0.24</v>
      </c>
      <c r="Y117" s="50">
        <f t="shared" si="27"/>
        <v>0.05</v>
      </c>
      <c r="Z117" s="50">
        <f t="shared" si="28"/>
        <v>0.04</v>
      </c>
      <c r="AA117" s="50">
        <f t="shared" si="29"/>
        <v>0.06</v>
      </c>
      <c r="AB117" s="50">
        <f t="shared" si="30"/>
        <v>0.08</v>
      </c>
      <c r="AC117" s="50">
        <f t="shared" si="31"/>
        <v>0.05</v>
      </c>
      <c r="AD117" s="50">
        <f t="shared" si="32"/>
        <v>0.02</v>
      </c>
      <c r="AE117" s="50">
        <f t="shared" si="33"/>
        <v>0.02</v>
      </c>
      <c r="AF117" s="47">
        <f t="shared" si="35"/>
        <v>1</v>
      </c>
      <c r="AG117" s="50">
        <f>IF('Resultado da inspeção'!F117='Resultado da inspeção'!$W$3,0%,Ranking!R117)</f>
        <v>0.02</v>
      </c>
      <c r="AH117" s="50">
        <f>IF('Resultado da inspeção'!G117='Resultado da inspeção'!$W$3,0%,Ranking!S117)</f>
        <v>0.03</v>
      </c>
      <c r="AI117" s="50">
        <f>IF('Resultado da inspeção'!H117='Resultado da inspeção'!$W$3,0%,Ranking!T117)</f>
        <v>0.03</v>
      </c>
      <c r="AJ117" s="50">
        <f>IF('Resultado da inspeção'!I117='Resultado da inspeção'!$W$3,0%,Ranking!U117)</f>
        <v>0.1</v>
      </c>
      <c r="AK117" s="50">
        <f>IF('Resultado da inspeção'!J117='Resultado da inspeção'!$W$3,0%,Ranking!V117)</f>
        <v>0.21</v>
      </c>
      <c r="AL117" s="50">
        <f>IF('Resultado da inspeção'!K117='Resultado da inspeção'!$W$3,0%,Ranking!W117)</f>
        <v>0.05</v>
      </c>
      <c r="AM117" s="50">
        <f>IF('Resultado da inspeção'!L117='Resultado da inspeção'!$W$3,0%,Ranking!X117)</f>
        <v>0.24</v>
      </c>
      <c r="AN117" s="50">
        <f>IF('Resultado da inspeção'!M117='Resultado da inspeção'!$W$3,0%,Ranking!Y117)</f>
        <v>0.05</v>
      </c>
      <c r="AO117" s="50">
        <f>IF('Resultado da inspeção'!N117='Resultado da inspeção'!$W$3,0%,Ranking!Z117)</f>
        <v>0.04</v>
      </c>
      <c r="AP117" s="50">
        <f>IF('Resultado da inspeção'!O117='Resultado da inspeção'!$W$3,0%,Ranking!AA117)</f>
        <v>0.06</v>
      </c>
      <c r="AQ117" s="50">
        <f>IF('Resultado da inspeção'!P117='Resultado da inspeção'!$W$3,0%,Ranking!AB117)</f>
        <v>0.08</v>
      </c>
      <c r="AR117" s="50">
        <f>IF('Resultado da inspeção'!Q117='Resultado da inspeção'!$W$3,0%,Ranking!AC117)</f>
        <v>0.05</v>
      </c>
      <c r="AS117" s="50">
        <f>IF('Resultado da inspeção'!R117='Resultado da inspeção'!$W$3,0%,Ranking!AD117)</f>
        <v>0.02</v>
      </c>
      <c r="AT117" s="50">
        <f>IF('Resultado da inspeção'!S117='Resultado da inspeção'!$W$3,0%,Ranking!AE117)</f>
        <v>0.02</v>
      </c>
      <c r="AU117" s="49">
        <f t="shared" si="36"/>
        <v>1</v>
      </c>
    </row>
    <row r="118" spans="2:47" x14ac:dyDescent="0.25">
      <c r="B118" s="48">
        <f>IF('Resultado da inspeção'!F118='Resultado da inspeção'!$W$4,0%,Ranking!B$5)</f>
        <v>0.02</v>
      </c>
      <c r="C118" s="48">
        <f>IF('Resultado da inspeção'!G118='Resultado da inspeção'!$W$4,0%,Ranking!C$5)</f>
        <v>0.03</v>
      </c>
      <c r="D118" s="48">
        <f>IF('Resultado da inspeção'!H118='Resultado da inspeção'!$W$4,0%,Ranking!D$5)</f>
        <v>0.03</v>
      </c>
      <c r="E118" s="48">
        <f>IF('Resultado da inspeção'!I118='Resultado da inspeção'!$W$4,0%,Ranking!E$5)</f>
        <v>0.1</v>
      </c>
      <c r="F118" s="48">
        <f>IF('Resultado da inspeção'!J118='Resultado da inspeção'!$W$4,0%,Ranking!F$5)</f>
        <v>0.21</v>
      </c>
      <c r="G118" s="48">
        <f>IF('Resultado da inspeção'!K118='Resultado da inspeção'!$W$4,0%,Ranking!G$5)</f>
        <v>0.05</v>
      </c>
      <c r="H118" s="48">
        <f>IF('Resultado da inspeção'!L118='Resultado da inspeção'!$W$4,0%,Ranking!H$5)</f>
        <v>0.24</v>
      </c>
      <c r="I118" s="48">
        <f>IF('Resultado da inspeção'!M118='Resultado da inspeção'!$W$4,0%,Ranking!I$5)</f>
        <v>0.05</v>
      </c>
      <c r="J118" s="48">
        <f>IF('Resultado da inspeção'!N118='Resultado da inspeção'!$W$4,0%,Ranking!J$5)</f>
        <v>0.04</v>
      </c>
      <c r="K118" s="48">
        <f>IF('Resultado da inspeção'!O118='Resultado da inspeção'!$W$4,0%,Ranking!K$5)</f>
        <v>0.06</v>
      </c>
      <c r="L118" s="48">
        <f>IF('Resultado da inspeção'!P118='Resultado da inspeção'!$W$4,0%,Ranking!L$5)</f>
        <v>0.08</v>
      </c>
      <c r="M118" s="48">
        <f>IF('Resultado da inspeção'!Q118='Resultado da inspeção'!$W$4,0%,Ranking!M$5)</f>
        <v>0.05</v>
      </c>
      <c r="N118" s="48">
        <f>IF('Resultado da inspeção'!R118='Resultado da inspeção'!$W$4,0%,Ranking!N$5)</f>
        <v>0.02</v>
      </c>
      <c r="O118" s="48">
        <f>IF('Resultado da inspeção'!S118='Resultado da inspeção'!$W$4,0%,Ranking!O$5)</f>
        <v>0.02</v>
      </c>
      <c r="P118" s="47">
        <f t="shared" si="19"/>
        <v>1</v>
      </c>
      <c r="Q118" s="49">
        <f t="shared" si="34"/>
        <v>0</v>
      </c>
      <c r="R118" s="50">
        <f t="shared" si="20"/>
        <v>0.02</v>
      </c>
      <c r="S118" s="50">
        <f t="shared" si="21"/>
        <v>0.03</v>
      </c>
      <c r="T118" s="50">
        <f t="shared" si="22"/>
        <v>0.03</v>
      </c>
      <c r="U118" s="50">
        <f t="shared" si="23"/>
        <v>0.1</v>
      </c>
      <c r="V118" s="50">
        <f t="shared" si="24"/>
        <v>0.21</v>
      </c>
      <c r="W118" s="50">
        <f t="shared" si="25"/>
        <v>0.05</v>
      </c>
      <c r="X118" s="50">
        <f t="shared" si="26"/>
        <v>0.24</v>
      </c>
      <c r="Y118" s="50">
        <f t="shared" si="27"/>
        <v>0.05</v>
      </c>
      <c r="Z118" s="50">
        <f t="shared" si="28"/>
        <v>0.04</v>
      </c>
      <c r="AA118" s="50">
        <f t="shared" si="29"/>
        <v>0.06</v>
      </c>
      <c r="AB118" s="50">
        <f t="shared" si="30"/>
        <v>0.08</v>
      </c>
      <c r="AC118" s="50">
        <f t="shared" si="31"/>
        <v>0.05</v>
      </c>
      <c r="AD118" s="50">
        <f t="shared" si="32"/>
        <v>0.02</v>
      </c>
      <c r="AE118" s="50">
        <f t="shared" si="33"/>
        <v>0.02</v>
      </c>
      <c r="AF118" s="47">
        <f t="shared" si="35"/>
        <v>1</v>
      </c>
      <c r="AG118" s="50">
        <f>IF('Resultado da inspeção'!F118='Resultado da inspeção'!$W$3,0%,Ranking!R118)</f>
        <v>0.02</v>
      </c>
      <c r="AH118" s="50">
        <f>IF('Resultado da inspeção'!G118='Resultado da inspeção'!$W$3,0%,Ranking!S118)</f>
        <v>0.03</v>
      </c>
      <c r="AI118" s="50">
        <f>IF('Resultado da inspeção'!H118='Resultado da inspeção'!$W$3,0%,Ranking!T118)</f>
        <v>0.03</v>
      </c>
      <c r="AJ118" s="50">
        <f>IF('Resultado da inspeção'!I118='Resultado da inspeção'!$W$3,0%,Ranking!U118)</f>
        <v>0.1</v>
      </c>
      <c r="AK118" s="50">
        <f>IF('Resultado da inspeção'!J118='Resultado da inspeção'!$W$3,0%,Ranking!V118)</f>
        <v>0.21</v>
      </c>
      <c r="AL118" s="50">
        <f>IF('Resultado da inspeção'!K118='Resultado da inspeção'!$W$3,0%,Ranking!W118)</f>
        <v>0.05</v>
      </c>
      <c r="AM118" s="50">
        <f>IF('Resultado da inspeção'!L118='Resultado da inspeção'!$W$3,0%,Ranking!X118)</f>
        <v>0.24</v>
      </c>
      <c r="AN118" s="50">
        <f>IF('Resultado da inspeção'!M118='Resultado da inspeção'!$W$3,0%,Ranking!Y118)</f>
        <v>0.05</v>
      </c>
      <c r="AO118" s="50">
        <f>IF('Resultado da inspeção'!N118='Resultado da inspeção'!$W$3,0%,Ranking!Z118)</f>
        <v>0.04</v>
      </c>
      <c r="AP118" s="50">
        <f>IF('Resultado da inspeção'!O118='Resultado da inspeção'!$W$3,0%,Ranking!AA118)</f>
        <v>0.06</v>
      </c>
      <c r="AQ118" s="50">
        <f>IF('Resultado da inspeção'!P118='Resultado da inspeção'!$W$3,0%,Ranking!AB118)</f>
        <v>0.08</v>
      </c>
      <c r="AR118" s="50">
        <f>IF('Resultado da inspeção'!Q118='Resultado da inspeção'!$W$3,0%,Ranking!AC118)</f>
        <v>0.05</v>
      </c>
      <c r="AS118" s="50">
        <f>IF('Resultado da inspeção'!R118='Resultado da inspeção'!$W$3,0%,Ranking!AD118)</f>
        <v>0.02</v>
      </c>
      <c r="AT118" s="50">
        <f>IF('Resultado da inspeção'!S118='Resultado da inspeção'!$W$3,0%,Ranking!AE118)</f>
        <v>0.02</v>
      </c>
      <c r="AU118" s="49">
        <f t="shared" si="36"/>
        <v>1</v>
      </c>
    </row>
    <row r="119" spans="2:47" x14ac:dyDescent="0.25">
      <c r="B119" s="48">
        <f>IF('Resultado da inspeção'!F119='Resultado da inspeção'!$W$4,0%,Ranking!B$5)</f>
        <v>0.02</v>
      </c>
      <c r="C119" s="48">
        <f>IF('Resultado da inspeção'!G119='Resultado da inspeção'!$W$4,0%,Ranking!C$5)</f>
        <v>0.03</v>
      </c>
      <c r="D119" s="48">
        <f>IF('Resultado da inspeção'!H119='Resultado da inspeção'!$W$4,0%,Ranking!D$5)</f>
        <v>0.03</v>
      </c>
      <c r="E119" s="48">
        <f>IF('Resultado da inspeção'!I119='Resultado da inspeção'!$W$4,0%,Ranking!E$5)</f>
        <v>0.1</v>
      </c>
      <c r="F119" s="48">
        <f>IF('Resultado da inspeção'!J119='Resultado da inspeção'!$W$4,0%,Ranking!F$5)</f>
        <v>0.21</v>
      </c>
      <c r="G119" s="48">
        <f>IF('Resultado da inspeção'!K119='Resultado da inspeção'!$W$4,0%,Ranking!G$5)</f>
        <v>0.05</v>
      </c>
      <c r="H119" s="48">
        <f>IF('Resultado da inspeção'!L119='Resultado da inspeção'!$W$4,0%,Ranking!H$5)</f>
        <v>0.24</v>
      </c>
      <c r="I119" s="48">
        <f>IF('Resultado da inspeção'!M119='Resultado da inspeção'!$W$4,0%,Ranking!I$5)</f>
        <v>0.05</v>
      </c>
      <c r="J119" s="48">
        <f>IF('Resultado da inspeção'!N119='Resultado da inspeção'!$W$4,0%,Ranking!J$5)</f>
        <v>0.04</v>
      </c>
      <c r="K119" s="48">
        <f>IF('Resultado da inspeção'!O119='Resultado da inspeção'!$W$4,0%,Ranking!K$5)</f>
        <v>0.06</v>
      </c>
      <c r="L119" s="48">
        <f>IF('Resultado da inspeção'!P119='Resultado da inspeção'!$W$4,0%,Ranking!L$5)</f>
        <v>0.08</v>
      </c>
      <c r="M119" s="48">
        <f>IF('Resultado da inspeção'!Q119='Resultado da inspeção'!$W$4,0%,Ranking!M$5)</f>
        <v>0.05</v>
      </c>
      <c r="N119" s="48">
        <f>IF('Resultado da inspeção'!R119='Resultado da inspeção'!$W$4,0%,Ranking!N$5)</f>
        <v>0.02</v>
      </c>
      <c r="O119" s="48">
        <f>IF('Resultado da inspeção'!S119='Resultado da inspeção'!$W$4,0%,Ranking!O$5)</f>
        <v>0.02</v>
      </c>
      <c r="P119" s="47">
        <f t="shared" si="19"/>
        <v>1</v>
      </c>
      <c r="Q119" s="49">
        <f t="shared" si="34"/>
        <v>0</v>
      </c>
      <c r="R119" s="50">
        <f t="shared" si="20"/>
        <v>0.02</v>
      </c>
      <c r="S119" s="50">
        <f t="shared" si="21"/>
        <v>0.03</v>
      </c>
      <c r="T119" s="50">
        <f t="shared" si="22"/>
        <v>0.03</v>
      </c>
      <c r="U119" s="50">
        <f t="shared" si="23"/>
        <v>0.1</v>
      </c>
      <c r="V119" s="50">
        <f t="shared" si="24"/>
        <v>0.21</v>
      </c>
      <c r="W119" s="50">
        <f t="shared" si="25"/>
        <v>0.05</v>
      </c>
      <c r="X119" s="50">
        <f t="shared" si="26"/>
        <v>0.24</v>
      </c>
      <c r="Y119" s="50">
        <f t="shared" si="27"/>
        <v>0.05</v>
      </c>
      <c r="Z119" s="50">
        <f t="shared" si="28"/>
        <v>0.04</v>
      </c>
      <c r="AA119" s="50">
        <f t="shared" si="29"/>
        <v>0.06</v>
      </c>
      <c r="AB119" s="50">
        <f t="shared" si="30"/>
        <v>0.08</v>
      </c>
      <c r="AC119" s="50">
        <f t="shared" si="31"/>
        <v>0.05</v>
      </c>
      <c r="AD119" s="50">
        <f t="shared" si="32"/>
        <v>0.02</v>
      </c>
      <c r="AE119" s="50">
        <f t="shared" si="33"/>
        <v>0.02</v>
      </c>
      <c r="AF119" s="47">
        <f t="shared" si="35"/>
        <v>1</v>
      </c>
      <c r="AG119" s="50">
        <f>IF('Resultado da inspeção'!F119='Resultado da inspeção'!$W$3,0%,Ranking!R119)</f>
        <v>0.02</v>
      </c>
      <c r="AH119" s="50">
        <f>IF('Resultado da inspeção'!G119='Resultado da inspeção'!$W$3,0%,Ranking!S119)</f>
        <v>0.03</v>
      </c>
      <c r="AI119" s="50">
        <f>IF('Resultado da inspeção'!H119='Resultado da inspeção'!$W$3,0%,Ranking!T119)</f>
        <v>0.03</v>
      </c>
      <c r="AJ119" s="50">
        <f>IF('Resultado da inspeção'!I119='Resultado da inspeção'!$W$3,0%,Ranking!U119)</f>
        <v>0.1</v>
      </c>
      <c r="AK119" s="50">
        <f>IF('Resultado da inspeção'!J119='Resultado da inspeção'!$W$3,0%,Ranking!V119)</f>
        <v>0.21</v>
      </c>
      <c r="AL119" s="50">
        <f>IF('Resultado da inspeção'!K119='Resultado da inspeção'!$W$3,0%,Ranking!W119)</f>
        <v>0.05</v>
      </c>
      <c r="AM119" s="50">
        <f>IF('Resultado da inspeção'!L119='Resultado da inspeção'!$W$3,0%,Ranking!X119)</f>
        <v>0.24</v>
      </c>
      <c r="AN119" s="50">
        <f>IF('Resultado da inspeção'!M119='Resultado da inspeção'!$W$3,0%,Ranking!Y119)</f>
        <v>0.05</v>
      </c>
      <c r="AO119" s="50">
        <f>IF('Resultado da inspeção'!N119='Resultado da inspeção'!$W$3,0%,Ranking!Z119)</f>
        <v>0.04</v>
      </c>
      <c r="AP119" s="50">
        <f>IF('Resultado da inspeção'!O119='Resultado da inspeção'!$W$3,0%,Ranking!AA119)</f>
        <v>0.06</v>
      </c>
      <c r="AQ119" s="50">
        <f>IF('Resultado da inspeção'!P119='Resultado da inspeção'!$W$3,0%,Ranking!AB119)</f>
        <v>0.08</v>
      </c>
      <c r="AR119" s="50">
        <f>IF('Resultado da inspeção'!Q119='Resultado da inspeção'!$W$3,0%,Ranking!AC119)</f>
        <v>0.05</v>
      </c>
      <c r="AS119" s="50">
        <f>IF('Resultado da inspeção'!R119='Resultado da inspeção'!$W$3,0%,Ranking!AD119)</f>
        <v>0.02</v>
      </c>
      <c r="AT119" s="50">
        <f>IF('Resultado da inspeção'!S119='Resultado da inspeção'!$W$3,0%,Ranking!AE119)</f>
        <v>0.02</v>
      </c>
      <c r="AU119" s="49">
        <f t="shared" si="36"/>
        <v>1</v>
      </c>
    </row>
    <row r="120" spans="2:47" x14ac:dyDescent="0.25">
      <c r="B120" s="48">
        <f>IF('Resultado da inspeção'!F120='Resultado da inspeção'!$W$4,0%,Ranking!B$5)</f>
        <v>0.02</v>
      </c>
      <c r="C120" s="48">
        <f>IF('Resultado da inspeção'!G120='Resultado da inspeção'!$W$4,0%,Ranking!C$5)</f>
        <v>0.03</v>
      </c>
      <c r="D120" s="48">
        <f>IF('Resultado da inspeção'!H120='Resultado da inspeção'!$W$4,0%,Ranking!D$5)</f>
        <v>0.03</v>
      </c>
      <c r="E120" s="48">
        <f>IF('Resultado da inspeção'!I120='Resultado da inspeção'!$W$4,0%,Ranking!E$5)</f>
        <v>0.1</v>
      </c>
      <c r="F120" s="48">
        <f>IF('Resultado da inspeção'!J120='Resultado da inspeção'!$W$4,0%,Ranking!F$5)</f>
        <v>0.21</v>
      </c>
      <c r="G120" s="48">
        <f>IF('Resultado da inspeção'!K120='Resultado da inspeção'!$W$4,0%,Ranking!G$5)</f>
        <v>0.05</v>
      </c>
      <c r="H120" s="48">
        <f>IF('Resultado da inspeção'!L120='Resultado da inspeção'!$W$4,0%,Ranking!H$5)</f>
        <v>0.24</v>
      </c>
      <c r="I120" s="48">
        <f>IF('Resultado da inspeção'!M120='Resultado da inspeção'!$W$4,0%,Ranking!I$5)</f>
        <v>0.05</v>
      </c>
      <c r="J120" s="48">
        <f>IF('Resultado da inspeção'!N120='Resultado da inspeção'!$W$4,0%,Ranking!J$5)</f>
        <v>0.04</v>
      </c>
      <c r="K120" s="48">
        <f>IF('Resultado da inspeção'!O120='Resultado da inspeção'!$W$4,0%,Ranking!K$5)</f>
        <v>0.06</v>
      </c>
      <c r="L120" s="48">
        <f>IF('Resultado da inspeção'!P120='Resultado da inspeção'!$W$4,0%,Ranking!L$5)</f>
        <v>0.08</v>
      </c>
      <c r="M120" s="48">
        <f>IF('Resultado da inspeção'!Q120='Resultado da inspeção'!$W$4,0%,Ranking!M$5)</f>
        <v>0.05</v>
      </c>
      <c r="N120" s="48">
        <f>IF('Resultado da inspeção'!R120='Resultado da inspeção'!$W$4,0%,Ranking!N$5)</f>
        <v>0.02</v>
      </c>
      <c r="O120" s="48">
        <f>IF('Resultado da inspeção'!S120='Resultado da inspeção'!$W$4,0%,Ranking!O$5)</f>
        <v>0.02</v>
      </c>
      <c r="P120" s="47">
        <f t="shared" si="19"/>
        <v>1</v>
      </c>
      <c r="Q120" s="49">
        <f t="shared" si="34"/>
        <v>0</v>
      </c>
      <c r="R120" s="50">
        <f t="shared" si="20"/>
        <v>0.02</v>
      </c>
      <c r="S120" s="50">
        <f t="shared" si="21"/>
        <v>0.03</v>
      </c>
      <c r="T120" s="50">
        <f t="shared" si="22"/>
        <v>0.03</v>
      </c>
      <c r="U120" s="50">
        <f t="shared" si="23"/>
        <v>0.1</v>
      </c>
      <c r="V120" s="50">
        <f t="shared" si="24"/>
        <v>0.21</v>
      </c>
      <c r="W120" s="50">
        <f t="shared" si="25"/>
        <v>0.05</v>
      </c>
      <c r="X120" s="50">
        <f t="shared" si="26"/>
        <v>0.24</v>
      </c>
      <c r="Y120" s="50">
        <f t="shared" si="27"/>
        <v>0.05</v>
      </c>
      <c r="Z120" s="50">
        <f t="shared" si="28"/>
        <v>0.04</v>
      </c>
      <c r="AA120" s="50">
        <f t="shared" si="29"/>
        <v>0.06</v>
      </c>
      <c r="AB120" s="50">
        <f t="shared" si="30"/>
        <v>0.08</v>
      </c>
      <c r="AC120" s="50">
        <f t="shared" si="31"/>
        <v>0.05</v>
      </c>
      <c r="AD120" s="50">
        <f t="shared" si="32"/>
        <v>0.02</v>
      </c>
      <c r="AE120" s="50">
        <f t="shared" si="33"/>
        <v>0.02</v>
      </c>
      <c r="AF120" s="47">
        <f t="shared" si="35"/>
        <v>1</v>
      </c>
      <c r="AG120" s="50">
        <f>IF('Resultado da inspeção'!F120='Resultado da inspeção'!$W$3,0%,Ranking!R120)</f>
        <v>0.02</v>
      </c>
      <c r="AH120" s="50">
        <f>IF('Resultado da inspeção'!G120='Resultado da inspeção'!$W$3,0%,Ranking!S120)</f>
        <v>0.03</v>
      </c>
      <c r="AI120" s="50">
        <f>IF('Resultado da inspeção'!H120='Resultado da inspeção'!$W$3,0%,Ranking!T120)</f>
        <v>0.03</v>
      </c>
      <c r="AJ120" s="50">
        <f>IF('Resultado da inspeção'!I120='Resultado da inspeção'!$W$3,0%,Ranking!U120)</f>
        <v>0.1</v>
      </c>
      <c r="AK120" s="50">
        <f>IF('Resultado da inspeção'!J120='Resultado da inspeção'!$W$3,0%,Ranking!V120)</f>
        <v>0.21</v>
      </c>
      <c r="AL120" s="50">
        <f>IF('Resultado da inspeção'!K120='Resultado da inspeção'!$W$3,0%,Ranking!W120)</f>
        <v>0.05</v>
      </c>
      <c r="AM120" s="50">
        <f>IF('Resultado da inspeção'!L120='Resultado da inspeção'!$W$3,0%,Ranking!X120)</f>
        <v>0.24</v>
      </c>
      <c r="AN120" s="50">
        <f>IF('Resultado da inspeção'!M120='Resultado da inspeção'!$W$3,0%,Ranking!Y120)</f>
        <v>0.05</v>
      </c>
      <c r="AO120" s="50">
        <f>IF('Resultado da inspeção'!N120='Resultado da inspeção'!$W$3,0%,Ranking!Z120)</f>
        <v>0.04</v>
      </c>
      <c r="AP120" s="50">
        <f>IF('Resultado da inspeção'!O120='Resultado da inspeção'!$W$3,0%,Ranking!AA120)</f>
        <v>0.06</v>
      </c>
      <c r="AQ120" s="50">
        <f>IF('Resultado da inspeção'!P120='Resultado da inspeção'!$W$3,0%,Ranking!AB120)</f>
        <v>0.08</v>
      </c>
      <c r="AR120" s="50">
        <f>IF('Resultado da inspeção'!Q120='Resultado da inspeção'!$W$3,0%,Ranking!AC120)</f>
        <v>0.05</v>
      </c>
      <c r="AS120" s="50">
        <f>IF('Resultado da inspeção'!R120='Resultado da inspeção'!$W$3,0%,Ranking!AD120)</f>
        <v>0.02</v>
      </c>
      <c r="AT120" s="50">
        <f>IF('Resultado da inspeção'!S120='Resultado da inspeção'!$W$3,0%,Ranking!AE120)</f>
        <v>0.02</v>
      </c>
      <c r="AU120" s="49">
        <f t="shared" si="36"/>
        <v>1</v>
      </c>
    </row>
    <row r="121" spans="2:47" x14ac:dyDescent="0.25">
      <c r="B121" s="48">
        <f>IF('Resultado da inspeção'!F121='Resultado da inspeção'!$W$4,0%,Ranking!B$5)</f>
        <v>0.02</v>
      </c>
      <c r="C121" s="48">
        <f>IF('Resultado da inspeção'!G121='Resultado da inspeção'!$W$4,0%,Ranking!C$5)</f>
        <v>0.03</v>
      </c>
      <c r="D121" s="48">
        <f>IF('Resultado da inspeção'!H121='Resultado da inspeção'!$W$4,0%,Ranking!D$5)</f>
        <v>0.03</v>
      </c>
      <c r="E121" s="48">
        <f>IF('Resultado da inspeção'!I121='Resultado da inspeção'!$W$4,0%,Ranking!E$5)</f>
        <v>0.1</v>
      </c>
      <c r="F121" s="48">
        <f>IF('Resultado da inspeção'!J121='Resultado da inspeção'!$W$4,0%,Ranking!F$5)</f>
        <v>0.21</v>
      </c>
      <c r="G121" s="48">
        <f>IF('Resultado da inspeção'!K121='Resultado da inspeção'!$W$4,0%,Ranking!G$5)</f>
        <v>0.05</v>
      </c>
      <c r="H121" s="48">
        <f>IF('Resultado da inspeção'!L121='Resultado da inspeção'!$W$4,0%,Ranking!H$5)</f>
        <v>0.24</v>
      </c>
      <c r="I121" s="48">
        <f>IF('Resultado da inspeção'!M121='Resultado da inspeção'!$W$4,0%,Ranking!I$5)</f>
        <v>0.05</v>
      </c>
      <c r="J121" s="48">
        <f>IF('Resultado da inspeção'!N121='Resultado da inspeção'!$W$4,0%,Ranking!J$5)</f>
        <v>0.04</v>
      </c>
      <c r="K121" s="48">
        <f>IF('Resultado da inspeção'!O121='Resultado da inspeção'!$W$4,0%,Ranking!K$5)</f>
        <v>0.06</v>
      </c>
      <c r="L121" s="48">
        <f>IF('Resultado da inspeção'!P121='Resultado da inspeção'!$W$4,0%,Ranking!L$5)</f>
        <v>0.08</v>
      </c>
      <c r="M121" s="48">
        <f>IF('Resultado da inspeção'!Q121='Resultado da inspeção'!$W$4,0%,Ranking!M$5)</f>
        <v>0.05</v>
      </c>
      <c r="N121" s="48">
        <f>IF('Resultado da inspeção'!R121='Resultado da inspeção'!$W$4,0%,Ranking!N$5)</f>
        <v>0.02</v>
      </c>
      <c r="O121" s="48">
        <f>IF('Resultado da inspeção'!S121='Resultado da inspeção'!$W$4,0%,Ranking!O$5)</f>
        <v>0.02</v>
      </c>
      <c r="P121" s="47">
        <f t="shared" si="19"/>
        <v>1</v>
      </c>
      <c r="Q121" s="49">
        <f t="shared" si="34"/>
        <v>0</v>
      </c>
      <c r="R121" s="50">
        <f t="shared" si="20"/>
        <v>0.02</v>
      </c>
      <c r="S121" s="50">
        <f t="shared" si="21"/>
        <v>0.03</v>
      </c>
      <c r="T121" s="50">
        <f t="shared" si="22"/>
        <v>0.03</v>
      </c>
      <c r="U121" s="50">
        <f t="shared" si="23"/>
        <v>0.1</v>
      </c>
      <c r="V121" s="50">
        <f t="shared" si="24"/>
        <v>0.21</v>
      </c>
      <c r="W121" s="50">
        <f t="shared" si="25"/>
        <v>0.05</v>
      </c>
      <c r="X121" s="50">
        <f t="shared" si="26"/>
        <v>0.24</v>
      </c>
      <c r="Y121" s="50">
        <f t="shared" si="27"/>
        <v>0.05</v>
      </c>
      <c r="Z121" s="50">
        <f t="shared" si="28"/>
        <v>0.04</v>
      </c>
      <c r="AA121" s="50">
        <f t="shared" si="29"/>
        <v>0.06</v>
      </c>
      <c r="AB121" s="50">
        <f t="shared" si="30"/>
        <v>0.08</v>
      </c>
      <c r="AC121" s="50">
        <f t="shared" si="31"/>
        <v>0.05</v>
      </c>
      <c r="AD121" s="50">
        <f t="shared" si="32"/>
        <v>0.02</v>
      </c>
      <c r="AE121" s="50">
        <f t="shared" si="33"/>
        <v>0.02</v>
      </c>
      <c r="AF121" s="47">
        <f t="shared" si="35"/>
        <v>1</v>
      </c>
      <c r="AG121" s="50">
        <f>IF('Resultado da inspeção'!F121='Resultado da inspeção'!$W$3,0%,Ranking!R121)</f>
        <v>0.02</v>
      </c>
      <c r="AH121" s="50">
        <f>IF('Resultado da inspeção'!G121='Resultado da inspeção'!$W$3,0%,Ranking!S121)</f>
        <v>0.03</v>
      </c>
      <c r="AI121" s="50">
        <f>IF('Resultado da inspeção'!H121='Resultado da inspeção'!$W$3,0%,Ranking!T121)</f>
        <v>0.03</v>
      </c>
      <c r="AJ121" s="50">
        <f>IF('Resultado da inspeção'!I121='Resultado da inspeção'!$W$3,0%,Ranking!U121)</f>
        <v>0.1</v>
      </c>
      <c r="AK121" s="50">
        <f>IF('Resultado da inspeção'!J121='Resultado da inspeção'!$W$3,0%,Ranking!V121)</f>
        <v>0.21</v>
      </c>
      <c r="AL121" s="50">
        <f>IF('Resultado da inspeção'!K121='Resultado da inspeção'!$W$3,0%,Ranking!W121)</f>
        <v>0.05</v>
      </c>
      <c r="AM121" s="50">
        <f>IF('Resultado da inspeção'!L121='Resultado da inspeção'!$W$3,0%,Ranking!X121)</f>
        <v>0.24</v>
      </c>
      <c r="AN121" s="50">
        <f>IF('Resultado da inspeção'!M121='Resultado da inspeção'!$W$3,0%,Ranking!Y121)</f>
        <v>0.05</v>
      </c>
      <c r="AO121" s="50">
        <f>IF('Resultado da inspeção'!N121='Resultado da inspeção'!$W$3,0%,Ranking!Z121)</f>
        <v>0.04</v>
      </c>
      <c r="AP121" s="50">
        <f>IF('Resultado da inspeção'!O121='Resultado da inspeção'!$W$3,0%,Ranking!AA121)</f>
        <v>0.06</v>
      </c>
      <c r="AQ121" s="50">
        <f>IF('Resultado da inspeção'!P121='Resultado da inspeção'!$W$3,0%,Ranking!AB121)</f>
        <v>0.08</v>
      </c>
      <c r="AR121" s="50">
        <f>IF('Resultado da inspeção'!Q121='Resultado da inspeção'!$W$3,0%,Ranking!AC121)</f>
        <v>0.05</v>
      </c>
      <c r="AS121" s="50">
        <f>IF('Resultado da inspeção'!R121='Resultado da inspeção'!$W$3,0%,Ranking!AD121)</f>
        <v>0.02</v>
      </c>
      <c r="AT121" s="50">
        <f>IF('Resultado da inspeção'!S121='Resultado da inspeção'!$W$3,0%,Ranking!AE121)</f>
        <v>0.02</v>
      </c>
      <c r="AU121" s="49">
        <f t="shared" si="36"/>
        <v>1</v>
      </c>
    </row>
    <row r="122" spans="2:47" x14ac:dyDescent="0.25">
      <c r="B122" s="48">
        <f>IF('Resultado da inspeção'!F122='Resultado da inspeção'!$W$4,0%,Ranking!B$5)</f>
        <v>0.02</v>
      </c>
      <c r="C122" s="48">
        <f>IF('Resultado da inspeção'!G122='Resultado da inspeção'!$W$4,0%,Ranking!C$5)</f>
        <v>0.03</v>
      </c>
      <c r="D122" s="48">
        <f>IF('Resultado da inspeção'!H122='Resultado da inspeção'!$W$4,0%,Ranking!D$5)</f>
        <v>0.03</v>
      </c>
      <c r="E122" s="48">
        <f>IF('Resultado da inspeção'!I122='Resultado da inspeção'!$W$4,0%,Ranking!E$5)</f>
        <v>0.1</v>
      </c>
      <c r="F122" s="48">
        <f>IF('Resultado da inspeção'!J122='Resultado da inspeção'!$W$4,0%,Ranking!F$5)</f>
        <v>0.21</v>
      </c>
      <c r="G122" s="48">
        <f>IF('Resultado da inspeção'!K122='Resultado da inspeção'!$W$4,0%,Ranking!G$5)</f>
        <v>0.05</v>
      </c>
      <c r="H122" s="48">
        <f>IF('Resultado da inspeção'!L122='Resultado da inspeção'!$W$4,0%,Ranking!H$5)</f>
        <v>0.24</v>
      </c>
      <c r="I122" s="48">
        <f>IF('Resultado da inspeção'!M122='Resultado da inspeção'!$W$4,0%,Ranking!I$5)</f>
        <v>0.05</v>
      </c>
      <c r="J122" s="48">
        <f>IF('Resultado da inspeção'!N122='Resultado da inspeção'!$W$4,0%,Ranking!J$5)</f>
        <v>0.04</v>
      </c>
      <c r="K122" s="48">
        <f>IF('Resultado da inspeção'!O122='Resultado da inspeção'!$W$4,0%,Ranking!K$5)</f>
        <v>0.06</v>
      </c>
      <c r="L122" s="48">
        <f>IF('Resultado da inspeção'!P122='Resultado da inspeção'!$W$4,0%,Ranking!L$5)</f>
        <v>0.08</v>
      </c>
      <c r="M122" s="48">
        <f>IF('Resultado da inspeção'!Q122='Resultado da inspeção'!$W$4,0%,Ranking!M$5)</f>
        <v>0.05</v>
      </c>
      <c r="N122" s="48">
        <f>IF('Resultado da inspeção'!R122='Resultado da inspeção'!$W$4,0%,Ranking!N$5)</f>
        <v>0.02</v>
      </c>
      <c r="O122" s="48">
        <f>IF('Resultado da inspeção'!S122='Resultado da inspeção'!$W$4,0%,Ranking!O$5)</f>
        <v>0.02</v>
      </c>
      <c r="P122" s="47">
        <f t="shared" si="19"/>
        <v>1</v>
      </c>
      <c r="Q122" s="49">
        <f t="shared" si="34"/>
        <v>0</v>
      </c>
      <c r="R122" s="50">
        <f t="shared" si="20"/>
        <v>0.02</v>
      </c>
      <c r="S122" s="50">
        <f t="shared" si="21"/>
        <v>0.03</v>
      </c>
      <c r="T122" s="50">
        <f t="shared" si="22"/>
        <v>0.03</v>
      </c>
      <c r="U122" s="50">
        <f t="shared" si="23"/>
        <v>0.1</v>
      </c>
      <c r="V122" s="50">
        <f t="shared" si="24"/>
        <v>0.21</v>
      </c>
      <c r="W122" s="50">
        <f t="shared" si="25"/>
        <v>0.05</v>
      </c>
      <c r="X122" s="50">
        <f t="shared" si="26"/>
        <v>0.24</v>
      </c>
      <c r="Y122" s="50">
        <f t="shared" si="27"/>
        <v>0.05</v>
      </c>
      <c r="Z122" s="50">
        <f t="shared" si="28"/>
        <v>0.04</v>
      </c>
      <c r="AA122" s="50">
        <f t="shared" si="29"/>
        <v>0.06</v>
      </c>
      <c r="AB122" s="50">
        <f t="shared" si="30"/>
        <v>0.08</v>
      </c>
      <c r="AC122" s="50">
        <f t="shared" si="31"/>
        <v>0.05</v>
      </c>
      <c r="AD122" s="50">
        <f t="shared" si="32"/>
        <v>0.02</v>
      </c>
      <c r="AE122" s="50">
        <f t="shared" si="33"/>
        <v>0.02</v>
      </c>
      <c r="AF122" s="47">
        <f t="shared" si="35"/>
        <v>1</v>
      </c>
      <c r="AG122" s="50">
        <f>IF('Resultado da inspeção'!F122='Resultado da inspeção'!$W$3,0%,Ranking!R122)</f>
        <v>0.02</v>
      </c>
      <c r="AH122" s="50">
        <f>IF('Resultado da inspeção'!G122='Resultado da inspeção'!$W$3,0%,Ranking!S122)</f>
        <v>0.03</v>
      </c>
      <c r="AI122" s="50">
        <f>IF('Resultado da inspeção'!H122='Resultado da inspeção'!$W$3,0%,Ranking!T122)</f>
        <v>0.03</v>
      </c>
      <c r="AJ122" s="50">
        <f>IF('Resultado da inspeção'!I122='Resultado da inspeção'!$W$3,0%,Ranking!U122)</f>
        <v>0.1</v>
      </c>
      <c r="AK122" s="50">
        <f>IF('Resultado da inspeção'!J122='Resultado da inspeção'!$W$3,0%,Ranking!V122)</f>
        <v>0.21</v>
      </c>
      <c r="AL122" s="50">
        <f>IF('Resultado da inspeção'!K122='Resultado da inspeção'!$W$3,0%,Ranking!W122)</f>
        <v>0.05</v>
      </c>
      <c r="AM122" s="50">
        <f>IF('Resultado da inspeção'!L122='Resultado da inspeção'!$W$3,0%,Ranking!X122)</f>
        <v>0.24</v>
      </c>
      <c r="AN122" s="50">
        <f>IF('Resultado da inspeção'!M122='Resultado da inspeção'!$W$3,0%,Ranking!Y122)</f>
        <v>0.05</v>
      </c>
      <c r="AO122" s="50">
        <f>IF('Resultado da inspeção'!N122='Resultado da inspeção'!$W$3,0%,Ranking!Z122)</f>
        <v>0.04</v>
      </c>
      <c r="AP122" s="50">
        <f>IF('Resultado da inspeção'!O122='Resultado da inspeção'!$W$3,0%,Ranking!AA122)</f>
        <v>0.06</v>
      </c>
      <c r="AQ122" s="50">
        <f>IF('Resultado da inspeção'!P122='Resultado da inspeção'!$W$3,0%,Ranking!AB122)</f>
        <v>0.08</v>
      </c>
      <c r="AR122" s="50">
        <f>IF('Resultado da inspeção'!Q122='Resultado da inspeção'!$W$3,0%,Ranking!AC122)</f>
        <v>0.05</v>
      </c>
      <c r="AS122" s="50">
        <f>IF('Resultado da inspeção'!R122='Resultado da inspeção'!$W$3,0%,Ranking!AD122)</f>
        <v>0.02</v>
      </c>
      <c r="AT122" s="50">
        <f>IF('Resultado da inspeção'!S122='Resultado da inspeção'!$W$3,0%,Ranking!AE122)</f>
        <v>0.02</v>
      </c>
      <c r="AU122" s="49">
        <f t="shared" si="36"/>
        <v>1</v>
      </c>
    </row>
    <row r="123" spans="2:47" x14ac:dyDescent="0.25">
      <c r="B123" s="48">
        <f>IF('Resultado da inspeção'!F123='Resultado da inspeção'!$W$4,0%,Ranking!B$5)</f>
        <v>0.02</v>
      </c>
      <c r="C123" s="48">
        <f>IF('Resultado da inspeção'!G123='Resultado da inspeção'!$W$4,0%,Ranking!C$5)</f>
        <v>0.03</v>
      </c>
      <c r="D123" s="48">
        <f>IF('Resultado da inspeção'!H123='Resultado da inspeção'!$W$4,0%,Ranking!D$5)</f>
        <v>0.03</v>
      </c>
      <c r="E123" s="48">
        <f>IF('Resultado da inspeção'!I123='Resultado da inspeção'!$W$4,0%,Ranking!E$5)</f>
        <v>0.1</v>
      </c>
      <c r="F123" s="48">
        <f>IF('Resultado da inspeção'!J123='Resultado da inspeção'!$W$4,0%,Ranking!F$5)</f>
        <v>0.21</v>
      </c>
      <c r="G123" s="48">
        <f>IF('Resultado da inspeção'!K123='Resultado da inspeção'!$W$4,0%,Ranking!G$5)</f>
        <v>0.05</v>
      </c>
      <c r="H123" s="48">
        <f>IF('Resultado da inspeção'!L123='Resultado da inspeção'!$W$4,0%,Ranking!H$5)</f>
        <v>0.24</v>
      </c>
      <c r="I123" s="48">
        <f>IF('Resultado da inspeção'!M123='Resultado da inspeção'!$W$4,0%,Ranking!I$5)</f>
        <v>0.05</v>
      </c>
      <c r="J123" s="48">
        <f>IF('Resultado da inspeção'!N123='Resultado da inspeção'!$W$4,0%,Ranking!J$5)</f>
        <v>0.04</v>
      </c>
      <c r="K123" s="48">
        <f>IF('Resultado da inspeção'!O123='Resultado da inspeção'!$W$4,0%,Ranking!K$5)</f>
        <v>0.06</v>
      </c>
      <c r="L123" s="48">
        <f>IF('Resultado da inspeção'!P123='Resultado da inspeção'!$W$4,0%,Ranking!L$5)</f>
        <v>0.08</v>
      </c>
      <c r="M123" s="48">
        <f>IF('Resultado da inspeção'!Q123='Resultado da inspeção'!$W$4,0%,Ranking!M$5)</f>
        <v>0.05</v>
      </c>
      <c r="N123" s="48">
        <f>IF('Resultado da inspeção'!R123='Resultado da inspeção'!$W$4,0%,Ranking!N$5)</f>
        <v>0.02</v>
      </c>
      <c r="O123" s="48">
        <f>IF('Resultado da inspeção'!S123='Resultado da inspeção'!$W$4,0%,Ranking!O$5)</f>
        <v>0.02</v>
      </c>
      <c r="P123" s="47">
        <f t="shared" si="19"/>
        <v>1</v>
      </c>
      <c r="Q123" s="49">
        <f t="shared" si="34"/>
        <v>0</v>
      </c>
      <c r="R123" s="50">
        <f t="shared" si="20"/>
        <v>0.02</v>
      </c>
      <c r="S123" s="50">
        <f t="shared" si="21"/>
        <v>0.03</v>
      </c>
      <c r="T123" s="50">
        <f t="shared" si="22"/>
        <v>0.03</v>
      </c>
      <c r="U123" s="50">
        <f t="shared" si="23"/>
        <v>0.1</v>
      </c>
      <c r="V123" s="50">
        <f t="shared" si="24"/>
        <v>0.21</v>
      </c>
      <c r="W123" s="50">
        <f t="shared" si="25"/>
        <v>0.05</v>
      </c>
      <c r="X123" s="50">
        <f t="shared" si="26"/>
        <v>0.24</v>
      </c>
      <c r="Y123" s="50">
        <f t="shared" si="27"/>
        <v>0.05</v>
      </c>
      <c r="Z123" s="50">
        <f t="shared" si="28"/>
        <v>0.04</v>
      </c>
      <c r="AA123" s="50">
        <f t="shared" si="29"/>
        <v>0.06</v>
      </c>
      <c r="AB123" s="50">
        <f t="shared" si="30"/>
        <v>0.08</v>
      </c>
      <c r="AC123" s="50">
        <f t="shared" si="31"/>
        <v>0.05</v>
      </c>
      <c r="AD123" s="50">
        <f t="shared" si="32"/>
        <v>0.02</v>
      </c>
      <c r="AE123" s="50">
        <f t="shared" si="33"/>
        <v>0.02</v>
      </c>
      <c r="AF123" s="47">
        <f t="shared" si="35"/>
        <v>1</v>
      </c>
      <c r="AG123" s="50">
        <f>IF('Resultado da inspeção'!F123='Resultado da inspeção'!$W$3,0%,Ranking!R123)</f>
        <v>0.02</v>
      </c>
      <c r="AH123" s="50">
        <f>IF('Resultado da inspeção'!G123='Resultado da inspeção'!$W$3,0%,Ranking!S123)</f>
        <v>0.03</v>
      </c>
      <c r="AI123" s="50">
        <f>IF('Resultado da inspeção'!H123='Resultado da inspeção'!$W$3,0%,Ranking!T123)</f>
        <v>0.03</v>
      </c>
      <c r="AJ123" s="50">
        <f>IF('Resultado da inspeção'!I123='Resultado da inspeção'!$W$3,0%,Ranking!U123)</f>
        <v>0.1</v>
      </c>
      <c r="AK123" s="50">
        <f>IF('Resultado da inspeção'!J123='Resultado da inspeção'!$W$3,0%,Ranking!V123)</f>
        <v>0.21</v>
      </c>
      <c r="AL123" s="50">
        <f>IF('Resultado da inspeção'!K123='Resultado da inspeção'!$W$3,0%,Ranking!W123)</f>
        <v>0.05</v>
      </c>
      <c r="AM123" s="50">
        <f>IF('Resultado da inspeção'!L123='Resultado da inspeção'!$W$3,0%,Ranking!X123)</f>
        <v>0.24</v>
      </c>
      <c r="AN123" s="50">
        <f>IF('Resultado da inspeção'!M123='Resultado da inspeção'!$W$3,0%,Ranking!Y123)</f>
        <v>0.05</v>
      </c>
      <c r="AO123" s="50">
        <f>IF('Resultado da inspeção'!N123='Resultado da inspeção'!$W$3,0%,Ranking!Z123)</f>
        <v>0.04</v>
      </c>
      <c r="AP123" s="50">
        <f>IF('Resultado da inspeção'!O123='Resultado da inspeção'!$W$3,0%,Ranking!AA123)</f>
        <v>0.06</v>
      </c>
      <c r="AQ123" s="50">
        <f>IF('Resultado da inspeção'!P123='Resultado da inspeção'!$W$3,0%,Ranking!AB123)</f>
        <v>0.08</v>
      </c>
      <c r="AR123" s="50">
        <f>IF('Resultado da inspeção'!Q123='Resultado da inspeção'!$W$3,0%,Ranking!AC123)</f>
        <v>0.05</v>
      </c>
      <c r="AS123" s="50">
        <f>IF('Resultado da inspeção'!R123='Resultado da inspeção'!$W$3,0%,Ranking!AD123)</f>
        <v>0.02</v>
      </c>
      <c r="AT123" s="50">
        <f>IF('Resultado da inspeção'!S123='Resultado da inspeção'!$W$3,0%,Ranking!AE123)</f>
        <v>0.02</v>
      </c>
      <c r="AU123" s="49">
        <f t="shared" si="36"/>
        <v>1</v>
      </c>
    </row>
    <row r="124" spans="2:47" x14ac:dyDescent="0.25">
      <c r="B124" s="48">
        <f>IF('Resultado da inspeção'!F124='Resultado da inspeção'!$W$4,0%,Ranking!B$5)</f>
        <v>0.02</v>
      </c>
      <c r="C124" s="48">
        <f>IF('Resultado da inspeção'!G124='Resultado da inspeção'!$W$4,0%,Ranking!C$5)</f>
        <v>0.03</v>
      </c>
      <c r="D124" s="48">
        <f>IF('Resultado da inspeção'!H124='Resultado da inspeção'!$W$4,0%,Ranking!D$5)</f>
        <v>0.03</v>
      </c>
      <c r="E124" s="48">
        <f>IF('Resultado da inspeção'!I124='Resultado da inspeção'!$W$4,0%,Ranking!E$5)</f>
        <v>0.1</v>
      </c>
      <c r="F124" s="48">
        <f>IF('Resultado da inspeção'!J124='Resultado da inspeção'!$W$4,0%,Ranking!F$5)</f>
        <v>0.21</v>
      </c>
      <c r="G124" s="48">
        <f>IF('Resultado da inspeção'!K124='Resultado da inspeção'!$W$4,0%,Ranking!G$5)</f>
        <v>0.05</v>
      </c>
      <c r="H124" s="48">
        <f>IF('Resultado da inspeção'!L124='Resultado da inspeção'!$W$4,0%,Ranking!H$5)</f>
        <v>0.24</v>
      </c>
      <c r="I124" s="48">
        <f>IF('Resultado da inspeção'!M124='Resultado da inspeção'!$W$4,0%,Ranking!I$5)</f>
        <v>0.05</v>
      </c>
      <c r="J124" s="48">
        <f>IF('Resultado da inspeção'!N124='Resultado da inspeção'!$W$4,0%,Ranking!J$5)</f>
        <v>0.04</v>
      </c>
      <c r="K124" s="48">
        <f>IF('Resultado da inspeção'!O124='Resultado da inspeção'!$W$4,0%,Ranking!K$5)</f>
        <v>0.06</v>
      </c>
      <c r="L124" s="48">
        <f>IF('Resultado da inspeção'!P124='Resultado da inspeção'!$W$4,0%,Ranking!L$5)</f>
        <v>0.08</v>
      </c>
      <c r="M124" s="48">
        <f>IF('Resultado da inspeção'!Q124='Resultado da inspeção'!$W$4,0%,Ranking!M$5)</f>
        <v>0.05</v>
      </c>
      <c r="N124" s="48">
        <f>IF('Resultado da inspeção'!R124='Resultado da inspeção'!$W$4,0%,Ranking!N$5)</f>
        <v>0.02</v>
      </c>
      <c r="O124" s="48">
        <f>IF('Resultado da inspeção'!S124='Resultado da inspeção'!$W$4,0%,Ranking!O$5)</f>
        <v>0.02</v>
      </c>
      <c r="P124" s="47">
        <f t="shared" si="19"/>
        <v>1</v>
      </c>
      <c r="Q124" s="49">
        <f t="shared" si="34"/>
        <v>0</v>
      </c>
      <c r="R124" s="50">
        <f t="shared" si="20"/>
        <v>0.02</v>
      </c>
      <c r="S124" s="50">
        <f t="shared" si="21"/>
        <v>0.03</v>
      </c>
      <c r="T124" s="50">
        <f t="shared" si="22"/>
        <v>0.03</v>
      </c>
      <c r="U124" s="50">
        <f t="shared" si="23"/>
        <v>0.1</v>
      </c>
      <c r="V124" s="50">
        <f t="shared" si="24"/>
        <v>0.21</v>
      </c>
      <c r="W124" s="50">
        <f t="shared" si="25"/>
        <v>0.05</v>
      </c>
      <c r="X124" s="50">
        <f t="shared" si="26"/>
        <v>0.24</v>
      </c>
      <c r="Y124" s="50">
        <f t="shared" si="27"/>
        <v>0.05</v>
      </c>
      <c r="Z124" s="50">
        <f t="shared" si="28"/>
        <v>0.04</v>
      </c>
      <c r="AA124" s="50">
        <f t="shared" si="29"/>
        <v>0.06</v>
      </c>
      <c r="AB124" s="50">
        <f t="shared" si="30"/>
        <v>0.08</v>
      </c>
      <c r="AC124" s="50">
        <f t="shared" si="31"/>
        <v>0.05</v>
      </c>
      <c r="AD124" s="50">
        <f t="shared" si="32"/>
        <v>0.02</v>
      </c>
      <c r="AE124" s="50">
        <f t="shared" si="33"/>
        <v>0.02</v>
      </c>
      <c r="AF124" s="47">
        <f t="shared" si="35"/>
        <v>1</v>
      </c>
      <c r="AG124" s="50">
        <f>IF('Resultado da inspeção'!F124='Resultado da inspeção'!$W$3,0%,Ranking!R124)</f>
        <v>0.02</v>
      </c>
      <c r="AH124" s="50">
        <f>IF('Resultado da inspeção'!G124='Resultado da inspeção'!$W$3,0%,Ranking!S124)</f>
        <v>0.03</v>
      </c>
      <c r="AI124" s="50">
        <f>IF('Resultado da inspeção'!H124='Resultado da inspeção'!$W$3,0%,Ranking!T124)</f>
        <v>0.03</v>
      </c>
      <c r="AJ124" s="50">
        <f>IF('Resultado da inspeção'!I124='Resultado da inspeção'!$W$3,0%,Ranking!U124)</f>
        <v>0.1</v>
      </c>
      <c r="AK124" s="50">
        <f>IF('Resultado da inspeção'!J124='Resultado da inspeção'!$W$3,0%,Ranking!V124)</f>
        <v>0.21</v>
      </c>
      <c r="AL124" s="50">
        <f>IF('Resultado da inspeção'!K124='Resultado da inspeção'!$W$3,0%,Ranking!W124)</f>
        <v>0.05</v>
      </c>
      <c r="AM124" s="50">
        <f>IF('Resultado da inspeção'!L124='Resultado da inspeção'!$W$3,0%,Ranking!X124)</f>
        <v>0.24</v>
      </c>
      <c r="AN124" s="50">
        <f>IF('Resultado da inspeção'!M124='Resultado da inspeção'!$W$3,0%,Ranking!Y124)</f>
        <v>0.05</v>
      </c>
      <c r="AO124" s="50">
        <f>IF('Resultado da inspeção'!N124='Resultado da inspeção'!$W$3,0%,Ranking!Z124)</f>
        <v>0.04</v>
      </c>
      <c r="AP124" s="50">
        <f>IF('Resultado da inspeção'!O124='Resultado da inspeção'!$W$3,0%,Ranking!AA124)</f>
        <v>0.06</v>
      </c>
      <c r="AQ124" s="50">
        <f>IF('Resultado da inspeção'!P124='Resultado da inspeção'!$W$3,0%,Ranking!AB124)</f>
        <v>0.08</v>
      </c>
      <c r="AR124" s="50">
        <f>IF('Resultado da inspeção'!Q124='Resultado da inspeção'!$W$3,0%,Ranking!AC124)</f>
        <v>0.05</v>
      </c>
      <c r="AS124" s="50">
        <f>IF('Resultado da inspeção'!R124='Resultado da inspeção'!$W$3,0%,Ranking!AD124)</f>
        <v>0.02</v>
      </c>
      <c r="AT124" s="50">
        <f>IF('Resultado da inspeção'!S124='Resultado da inspeção'!$W$3,0%,Ranking!AE124)</f>
        <v>0.02</v>
      </c>
      <c r="AU124" s="49">
        <f t="shared" si="36"/>
        <v>1</v>
      </c>
    </row>
    <row r="125" spans="2:47" x14ac:dyDescent="0.25">
      <c r="B125" s="48">
        <f>IF('Resultado da inspeção'!F125='Resultado da inspeção'!$W$4,0%,Ranking!B$5)</f>
        <v>0.02</v>
      </c>
      <c r="C125" s="48">
        <f>IF('Resultado da inspeção'!G125='Resultado da inspeção'!$W$4,0%,Ranking!C$5)</f>
        <v>0.03</v>
      </c>
      <c r="D125" s="48">
        <f>IF('Resultado da inspeção'!H125='Resultado da inspeção'!$W$4,0%,Ranking!D$5)</f>
        <v>0.03</v>
      </c>
      <c r="E125" s="48">
        <f>IF('Resultado da inspeção'!I125='Resultado da inspeção'!$W$4,0%,Ranking!E$5)</f>
        <v>0.1</v>
      </c>
      <c r="F125" s="48">
        <f>IF('Resultado da inspeção'!J125='Resultado da inspeção'!$W$4,0%,Ranking!F$5)</f>
        <v>0.21</v>
      </c>
      <c r="G125" s="48">
        <f>IF('Resultado da inspeção'!K125='Resultado da inspeção'!$W$4,0%,Ranking!G$5)</f>
        <v>0.05</v>
      </c>
      <c r="H125" s="48">
        <f>IF('Resultado da inspeção'!L125='Resultado da inspeção'!$W$4,0%,Ranking!H$5)</f>
        <v>0.24</v>
      </c>
      <c r="I125" s="48">
        <f>IF('Resultado da inspeção'!M125='Resultado da inspeção'!$W$4,0%,Ranking!I$5)</f>
        <v>0.05</v>
      </c>
      <c r="J125" s="48">
        <f>IF('Resultado da inspeção'!N125='Resultado da inspeção'!$W$4,0%,Ranking!J$5)</f>
        <v>0.04</v>
      </c>
      <c r="K125" s="48">
        <f>IF('Resultado da inspeção'!O125='Resultado da inspeção'!$W$4,0%,Ranking!K$5)</f>
        <v>0.06</v>
      </c>
      <c r="L125" s="48">
        <f>IF('Resultado da inspeção'!P125='Resultado da inspeção'!$W$4,0%,Ranking!L$5)</f>
        <v>0.08</v>
      </c>
      <c r="M125" s="48">
        <f>IF('Resultado da inspeção'!Q125='Resultado da inspeção'!$W$4,0%,Ranking!M$5)</f>
        <v>0.05</v>
      </c>
      <c r="N125" s="48">
        <f>IF('Resultado da inspeção'!R125='Resultado da inspeção'!$W$4,0%,Ranking!N$5)</f>
        <v>0.02</v>
      </c>
      <c r="O125" s="48">
        <f>IF('Resultado da inspeção'!S125='Resultado da inspeção'!$W$4,0%,Ranking!O$5)</f>
        <v>0.02</v>
      </c>
      <c r="P125" s="47">
        <f t="shared" si="19"/>
        <v>1</v>
      </c>
      <c r="Q125" s="49">
        <f t="shared" si="34"/>
        <v>0</v>
      </c>
      <c r="R125" s="50">
        <f t="shared" si="20"/>
        <v>0.02</v>
      </c>
      <c r="S125" s="50">
        <f t="shared" si="21"/>
        <v>0.03</v>
      </c>
      <c r="T125" s="50">
        <f t="shared" si="22"/>
        <v>0.03</v>
      </c>
      <c r="U125" s="50">
        <f t="shared" si="23"/>
        <v>0.1</v>
      </c>
      <c r="V125" s="50">
        <f t="shared" si="24"/>
        <v>0.21</v>
      </c>
      <c r="W125" s="50">
        <f t="shared" si="25"/>
        <v>0.05</v>
      </c>
      <c r="X125" s="50">
        <f t="shared" si="26"/>
        <v>0.24</v>
      </c>
      <c r="Y125" s="50">
        <f t="shared" si="27"/>
        <v>0.05</v>
      </c>
      <c r="Z125" s="50">
        <f t="shared" si="28"/>
        <v>0.04</v>
      </c>
      <c r="AA125" s="50">
        <f t="shared" si="29"/>
        <v>0.06</v>
      </c>
      <c r="AB125" s="50">
        <f t="shared" si="30"/>
        <v>0.08</v>
      </c>
      <c r="AC125" s="50">
        <f t="shared" si="31"/>
        <v>0.05</v>
      </c>
      <c r="AD125" s="50">
        <f t="shared" si="32"/>
        <v>0.02</v>
      </c>
      <c r="AE125" s="50">
        <f t="shared" si="33"/>
        <v>0.02</v>
      </c>
      <c r="AF125" s="47">
        <f t="shared" si="35"/>
        <v>1</v>
      </c>
      <c r="AG125" s="50">
        <f>IF('Resultado da inspeção'!F125='Resultado da inspeção'!$W$3,0%,Ranking!R125)</f>
        <v>0.02</v>
      </c>
      <c r="AH125" s="50">
        <f>IF('Resultado da inspeção'!G125='Resultado da inspeção'!$W$3,0%,Ranking!S125)</f>
        <v>0.03</v>
      </c>
      <c r="AI125" s="50">
        <f>IF('Resultado da inspeção'!H125='Resultado da inspeção'!$W$3,0%,Ranking!T125)</f>
        <v>0.03</v>
      </c>
      <c r="AJ125" s="50">
        <f>IF('Resultado da inspeção'!I125='Resultado da inspeção'!$W$3,0%,Ranking!U125)</f>
        <v>0.1</v>
      </c>
      <c r="AK125" s="50">
        <f>IF('Resultado da inspeção'!J125='Resultado da inspeção'!$W$3,0%,Ranking!V125)</f>
        <v>0.21</v>
      </c>
      <c r="AL125" s="50">
        <f>IF('Resultado da inspeção'!K125='Resultado da inspeção'!$W$3,0%,Ranking!W125)</f>
        <v>0.05</v>
      </c>
      <c r="AM125" s="50">
        <f>IF('Resultado da inspeção'!L125='Resultado da inspeção'!$W$3,0%,Ranking!X125)</f>
        <v>0.24</v>
      </c>
      <c r="AN125" s="50">
        <f>IF('Resultado da inspeção'!M125='Resultado da inspeção'!$W$3,0%,Ranking!Y125)</f>
        <v>0.05</v>
      </c>
      <c r="AO125" s="50">
        <f>IF('Resultado da inspeção'!N125='Resultado da inspeção'!$W$3,0%,Ranking!Z125)</f>
        <v>0.04</v>
      </c>
      <c r="AP125" s="50">
        <f>IF('Resultado da inspeção'!O125='Resultado da inspeção'!$W$3,0%,Ranking!AA125)</f>
        <v>0.06</v>
      </c>
      <c r="AQ125" s="50">
        <f>IF('Resultado da inspeção'!P125='Resultado da inspeção'!$W$3,0%,Ranking!AB125)</f>
        <v>0.08</v>
      </c>
      <c r="AR125" s="50">
        <f>IF('Resultado da inspeção'!Q125='Resultado da inspeção'!$W$3,0%,Ranking!AC125)</f>
        <v>0.05</v>
      </c>
      <c r="AS125" s="50">
        <f>IF('Resultado da inspeção'!R125='Resultado da inspeção'!$W$3,0%,Ranking!AD125)</f>
        <v>0.02</v>
      </c>
      <c r="AT125" s="50">
        <f>IF('Resultado da inspeção'!S125='Resultado da inspeção'!$W$3,0%,Ranking!AE125)</f>
        <v>0.02</v>
      </c>
      <c r="AU125" s="49">
        <f t="shared" si="36"/>
        <v>1</v>
      </c>
    </row>
    <row r="126" spans="2:47" x14ac:dyDescent="0.25">
      <c r="B126" s="48">
        <f>IF('Resultado da inspeção'!F126='Resultado da inspeção'!$W$4,0%,Ranking!B$5)</f>
        <v>0.02</v>
      </c>
      <c r="C126" s="48">
        <f>IF('Resultado da inspeção'!G126='Resultado da inspeção'!$W$4,0%,Ranking!C$5)</f>
        <v>0.03</v>
      </c>
      <c r="D126" s="48">
        <f>IF('Resultado da inspeção'!H126='Resultado da inspeção'!$W$4,0%,Ranking!D$5)</f>
        <v>0.03</v>
      </c>
      <c r="E126" s="48">
        <f>IF('Resultado da inspeção'!I126='Resultado da inspeção'!$W$4,0%,Ranking!E$5)</f>
        <v>0.1</v>
      </c>
      <c r="F126" s="48">
        <f>IF('Resultado da inspeção'!J126='Resultado da inspeção'!$W$4,0%,Ranking!F$5)</f>
        <v>0.21</v>
      </c>
      <c r="G126" s="48">
        <f>IF('Resultado da inspeção'!K126='Resultado da inspeção'!$W$4,0%,Ranking!G$5)</f>
        <v>0.05</v>
      </c>
      <c r="H126" s="48">
        <f>IF('Resultado da inspeção'!L126='Resultado da inspeção'!$W$4,0%,Ranking!H$5)</f>
        <v>0.24</v>
      </c>
      <c r="I126" s="48">
        <f>IF('Resultado da inspeção'!M126='Resultado da inspeção'!$W$4,0%,Ranking!I$5)</f>
        <v>0.05</v>
      </c>
      <c r="J126" s="48">
        <f>IF('Resultado da inspeção'!N126='Resultado da inspeção'!$W$4,0%,Ranking!J$5)</f>
        <v>0.04</v>
      </c>
      <c r="K126" s="48">
        <f>IF('Resultado da inspeção'!O126='Resultado da inspeção'!$W$4,0%,Ranking!K$5)</f>
        <v>0.06</v>
      </c>
      <c r="L126" s="48">
        <f>IF('Resultado da inspeção'!P126='Resultado da inspeção'!$W$4,0%,Ranking!L$5)</f>
        <v>0.08</v>
      </c>
      <c r="M126" s="48">
        <f>IF('Resultado da inspeção'!Q126='Resultado da inspeção'!$W$4,0%,Ranking!M$5)</f>
        <v>0.05</v>
      </c>
      <c r="N126" s="48">
        <f>IF('Resultado da inspeção'!R126='Resultado da inspeção'!$W$4,0%,Ranking!N$5)</f>
        <v>0.02</v>
      </c>
      <c r="O126" s="48">
        <f>IF('Resultado da inspeção'!S126='Resultado da inspeção'!$W$4,0%,Ranking!O$5)</f>
        <v>0.02</v>
      </c>
      <c r="P126" s="47">
        <f t="shared" si="19"/>
        <v>1</v>
      </c>
      <c r="Q126" s="49">
        <f t="shared" si="34"/>
        <v>0</v>
      </c>
      <c r="R126" s="50">
        <f t="shared" si="20"/>
        <v>0.02</v>
      </c>
      <c r="S126" s="50">
        <f t="shared" si="21"/>
        <v>0.03</v>
      </c>
      <c r="T126" s="50">
        <f t="shared" si="22"/>
        <v>0.03</v>
      </c>
      <c r="U126" s="50">
        <f t="shared" si="23"/>
        <v>0.1</v>
      </c>
      <c r="V126" s="50">
        <f t="shared" si="24"/>
        <v>0.21</v>
      </c>
      <c r="W126" s="50">
        <f t="shared" si="25"/>
        <v>0.05</v>
      </c>
      <c r="X126" s="50">
        <f t="shared" si="26"/>
        <v>0.24</v>
      </c>
      <c r="Y126" s="50">
        <f t="shared" si="27"/>
        <v>0.05</v>
      </c>
      <c r="Z126" s="50">
        <f t="shared" si="28"/>
        <v>0.04</v>
      </c>
      <c r="AA126" s="50">
        <f t="shared" si="29"/>
        <v>0.06</v>
      </c>
      <c r="AB126" s="50">
        <f t="shared" si="30"/>
        <v>0.08</v>
      </c>
      <c r="AC126" s="50">
        <f t="shared" si="31"/>
        <v>0.05</v>
      </c>
      <c r="AD126" s="50">
        <f t="shared" si="32"/>
        <v>0.02</v>
      </c>
      <c r="AE126" s="50">
        <f t="shared" si="33"/>
        <v>0.02</v>
      </c>
      <c r="AF126" s="47">
        <f t="shared" si="35"/>
        <v>1</v>
      </c>
      <c r="AG126" s="50">
        <f>IF('Resultado da inspeção'!F126='Resultado da inspeção'!$W$3,0%,Ranking!R126)</f>
        <v>0.02</v>
      </c>
      <c r="AH126" s="50">
        <f>IF('Resultado da inspeção'!G126='Resultado da inspeção'!$W$3,0%,Ranking!S126)</f>
        <v>0.03</v>
      </c>
      <c r="AI126" s="50">
        <f>IF('Resultado da inspeção'!H126='Resultado da inspeção'!$W$3,0%,Ranking!T126)</f>
        <v>0.03</v>
      </c>
      <c r="AJ126" s="50">
        <f>IF('Resultado da inspeção'!I126='Resultado da inspeção'!$W$3,0%,Ranking!U126)</f>
        <v>0.1</v>
      </c>
      <c r="AK126" s="50">
        <f>IF('Resultado da inspeção'!J126='Resultado da inspeção'!$W$3,0%,Ranking!V126)</f>
        <v>0.21</v>
      </c>
      <c r="AL126" s="50">
        <f>IF('Resultado da inspeção'!K126='Resultado da inspeção'!$W$3,0%,Ranking!W126)</f>
        <v>0.05</v>
      </c>
      <c r="AM126" s="50">
        <f>IF('Resultado da inspeção'!L126='Resultado da inspeção'!$W$3,0%,Ranking!X126)</f>
        <v>0.24</v>
      </c>
      <c r="AN126" s="50">
        <f>IF('Resultado da inspeção'!M126='Resultado da inspeção'!$W$3,0%,Ranking!Y126)</f>
        <v>0.05</v>
      </c>
      <c r="AO126" s="50">
        <f>IF('Resultado da inspeção'!N126='Resultado da inspeção'!$W$3,0%,Ranking!Z126)</f>
        <v>0.04</v>
      </c>
      <c r="AP126" s="50">
        <f>IF('Resultado da inspeção'!O126='Resultado da inspeção'!$W$3,0%,Ranking!AA126)</f>
        <v>0.06</v>
      </c>
      <c r="AQ126" s="50">
        <f>IF('Resultado da inspeção'!P126='Resultado da inspeção'!$W$3,0%,Ranking!AB126)</f>
        <v>0.08</v>
      </c>
      <c r="AR126" s="50">
        <f>IF('Resultado da inspeção'!Q126='Resultado da inspeção'!$W$3,0%,Ranking!AC126)</f>
        <v>0.05</v>
      </c>
      <c r="AS126" s="50">
        <f>IF('Resultado da inspeção'!R126='Resultado da inspeção'!$W$3,0%,Ranking!AD126)</f>
        <v>0.02</v>
      </c>
      <c r="AT126" s="50">
        <f>IF('Resultado da inspeção'!S126='Resultado da inspeção'!$W$3,0%,Ranking!AE126)</f>
        <v>0.02</v>
      </c>
      <c r="AU126" s="49">
        <f t="shared" si="36"/>
        <v>1</v>
      </c>
    </row>
    <row r="127" spans="2:47" x14ac:dyDescent="0.25">
      <c r="B127" s="48">
        <f>IF('Resultado da inspeção'!F127='Resultado da inspeção'!$W$4,0%,Ranking!B$5)</f>
        <v>0.02</v>
      </c>
      <c r="C127" s="48">
        <f>IF('Resultado da inspeção'!G127='Resultado da inspeção'!$W$4,0%,Ranking!C$5)</f>
        <v>0.03</v>
      </c>
      <c r="D127" s="48">
        <f>IF('Resultado da inspeção'!H127='Resultado da inspeção'!$W$4,0%,Ranking!D$5)</f>
        <v>0.03</v>
      </c>
      <c r="E127" s="48">
        <f>IF('Resultado da inspeção'!I127='Resultado da inspeção'!$W$4,0%,Ranking!E$5)</f>
        <v>0.1</v>
      </c>
      <c r="F127" s="48">
        <f>IF('Resultado da inspeção'!J127='Resultado da inspeção'!$W$4,0%,Ranking!F$5)</f>
        <v>0.21</v>
      </c>
      <c r="G127" s="48">
        <f>IF('Resultado da inspeção'!K127='Resultado da inspeção'!$W$4,0%,Ranking!G$5)</f>
        <v>0.05</v>
      </c>
      <c r="H127" s="48">
        <f>IF('Resultado da inspeção'!L127='Resultado da inspeção'!$W$4,0%,Ranking!H$5)</f>
        <v>0.24</v>
      </c>
      <c r="I127" s="48">
        <f>IF('Resultado da inspeção'!M127='Resultado da inspeção'!$W$4,0%,Ranking!I$5)</f>
        <v>0.05</v>
      </c>
      <c r="J127" s="48">
        <f>IF('Resultado da inspeção'!N127='Resultado da inspeção'!$W$4,0%,Ranking!J$5)</f>
        <v>0.04</v>
      </c>
      <c r="K127" s="48">
        <f>IF('Resultado da inspeção'!O127='Resultado da inspeção'!$W$4,0%,Ranking!K$5)</f>
        <v>0.06</v>
      </c>
      <c r="L127" s="48">
        <f>IF('Resultado da inspeção'!P127='Resultado da inspeção'!$W$4,0%,Ranking!L$5)</f>
        <v>0.08</v>
      </c>
      <c r="M127" s="48">
        <f>IF('Resultado da inspeção'!Q127='Resultado da inspeção'!$W$4,0%,Ranking!M$5)</f>
        <v>0.05</v>
      </c>
      <c r="N127" s="48">
        <f>IF('Resultado da inspeção'!R127='Resultado da inspeção'!$W$4,0%,Ranking!N$5)</f>
        <v>0.02</v>
      </c>
      <c r="O127" s="48">
        <f>IF('Resultado da inspeção'!S127='Resultado da inspeção'!$W$4,0%,Ranking!O$5)</f>
        <v>0.02</v>
      </c>
      <c r="P127" s="47">
        <f t="shared" si="19"/>
        <v>1</v>
      </c>
      <c r="Q127" s="49">
        <f t="shared" si="34"/>
        <v>0</v>
      </c>
      <c r="R127" s="50">
        <f t="shared" si="20"/>
        <v>0.02</v>
      </c>
      <c r="S127" s="50">
        <f t="shared" si="21"/>
        <v>0.03</v>
      </c>
      <c r="T127" s="50">
        <f t="shared" si="22"/>
        <v>0.03</v>
      </c>
      <c r="U127" s="50">
        <f t="shared" si="23"/>
        <v>0.1</v>
      </c>
      <c r="V127" s="50">
        <f t="shared" si="24"/>
        <v>0.21</v>
      </c>
      <c r="W127" s="50">
        <f t="shared" si="25"/>
        <v>0.05</v>
      </c>
      <c r="X127" s="50">
        <f t="shared" si="26"/>
        <v>0.24</v>
      </c>
      <c r="Y127" s="50">
        <f t="shared" si="27"/>
        <v>0.05</v>
      </c>
      <c r="Z127" s="50">
        <f t="shared" si="28"/>
        <v>0.04</v>
      </c>
      <c r="AA127" s="50">
        <f t="shared" si="29"/>
        <v>0.06</v>
      </c>
      <c r="AB127" s="50">
        <f t="shared" si="30"/>
        <v>0.08</v>
      </c>
      <c r="AC127" s="50">
        <f t="shared" si="31"/>
        <v>0.05</v>
      </c>
      <c r="AD127" s="50">
        <f t="shared" si="32"/>
        <v>0.02</v>
      </c>
      <c r="AE127" s="50">
        <f t="shared" si="33"/>
        <v>0.02</v>
      </c>
      <c r="AF127" s="47">
        <f t="shared" si="35"/>
        <v>1</v>
      </c>
      <c r="AG127" s="50">
        <f>IF('Resultado da inspeção'!F127='Resultado da inspeção'!$W$3,0%,Ranking!R127)</f>
        <v>0.02</v>
      </c>
      <c r="AH127" s="50">
        <f>IF('Resultado da inspeção'!G127='Resultado da inspeção'!$W$3,0%,Ranking!S127)</f>
        <v>0.03</v>
      </c>
      <c r="AI127" s="50">
        <f>IF('Resultado da inspeção'!H127='Resultado da inspeção'!$W$3,0%,Ranking!T127)</f>
        <v>0.03</v>
      </c>
      <c r="AJ127" s="50">
        <f>IF('Resultado da inspeção'!I127='Resultado da inspeção'!$W$3,0%,Ranking!U127)</f>
        <v>0.1</v>
      </c>
      <c r="AK127" s="50">
        <f>IF('Resultado da inspeção'!J127='Resultado da inspeção'!$W$3,0%,Ranking!V127)</f>
        <v>0.21</v>
      </c>
      <c r="AL127" s="50">
        <f>IF('Resultado da inspeção'!K127='Resultado da inspeção'!$W$3,0%,Ranking!W127)</f>
        <v>0.05</v>
      </c>
      <c r="AM127" s="50">
        <f>IF('Resultado da inspeção'!L127='Resultado da inspeção'!$W$3,0%,Ranking!X127)</f>
        <v>0.24</v>
      </c>
      <c r="AN127" s="50">
        <f>IF('Resultado da inspeção'!M127='Resultado da inspeção'!$W$3,0%,Ranking!Y127)</f>
        <v>0.05</v>
      </c>
      <c r="AO127" s="50">
        <f>IF('Resultado da inspeção'!N127='Resultado da inspeção'!$W$3,0%,Ranking!Z127)</f>
        <v>0.04</v>
      </c>
      <c r="AP127" s="50">
        <f>IF('Resultado da inspeção'!O127='Resultado da inspeção'!$W$3,0%,Ranking!AA127)</f>
        <v>0.06</v>
      </c>
      <c r="AQ127" s="50">
        <f>IF('Resultado da inspeção'!P127='Resultado da inspeção'!$W$3,0%,Ranking!AB127)</f>
        <v>0.08</v>
      </c>
      <c r="AR127" s="50">
        <f>IF('Resultado da inspeção'!Q127='Resultado da inspeção'!$W$3,0%,Ranking!AC127)</f>
        <v>0.05</v>
      </c>
      <c r="AS127" s="50">
        <f>IF('Resultado da inspeção'!R127='Resultado da inspeção'!$W$3,0%,Ranking!AD127)</f>
        <v>0.02</v>
      </c>
      <c r="AT127" s="50">
        <f>IF('Resultado da inspeção'!S127='Resultado da inspeção'!$W$3,0%,Ranking!AE127)</f>
        <v>0.02</v>
      </c>
      <c r="AU127" s="49">
        <f t="shared" si="36"/>
        <v>1</v>
      </c>
    </row>
    <row r="128" spans="2:47" x14ac:dyDescent="0.25">
      <c r="B128" s="48">
        <f>IF('Resultado da inspeção'!F128='Resultado da inspeção'!$W$4,0%,Ranking!B$5)</f>
        <v>0.02</v>
      </c>
      <c r="C128" s="48">
        <f>IF('Resultado da inspeção'!G128='Resultado da inspeção'!$W$4,0%,Ranking!C$5)</f>
        <v>0.03</v>
      </c>
      <c r="D128" s="48">
        <f>IF('Resultado da inspeção'!H128='Resultado da inspeção'!$W$4,0%,Ranking!D$5)</f>
        <v>0.03</v>
      </c>
      <c r="E128" s="48">
        <f>IF('Resultado da inspeção'!I128='Resultado da inspeção'!$W$4,0%,Ranking!E$5)</f>
        <v>0.1</v>
      </c>
      <c r="F128" s="48">
        <f>IF('Resultado da inspeção'!J128='Resultado da inspeção'!$W$4,0%,Ranking!F$5)</f>
        <v>0.21</v>
      </c>
      <c r="G128" s="48">
        <f>IF('Resultado da inspeção'!K128='Resultado da inspeção'!$W$4,0%,Ranking!G$5)</f>
        <v>0.05</v>
      </c>
      <c r="H128" s="48">
        <f>IF('Resultado da inspeção'!L128='Resultado da inspeção'!$W$4,0%,Ranking!H$5)</f>
        <v>0.24</v>
      </c>
      <c r="I128" s="48">
        <f>IF('Resultado da inspeção'!M128='Resultado da inspeção'!$W$4,0%,Ranking!I$5)</f>
        <v>0.05</v>
      </c>
      <c r="J128" s="48">
        <f>IF('Resultado da inspeção'!N128='Resultado da inspeção'!$W$4,0%,Ranking!J$5)</f>
        <v>0.04</v>
      </c>
      <c r="K128" s="48">
        <f>IF('Resultado da inspeção'!O128='Resultado da inspeção'!$W$4,0%,Ranking!K$5)</f>
        <v>0.06</v>
      </c>
      <c r="L128" s="48">
        <f>IF('Resultado da inspeção'!P128='Resultado da inspeção'!$W$4,0%,Ranking!L$5)</f>
        <v>0.08</v>
      </c>
      <c r="M128" s="48">
        <f>IF('Resultado da inspeção'!Q128='Resultado da inspeção'!$W$4,0%,Ranking!M$5)</f>
        <v>0.05</v>
      </c>
      <c r="N128" s="48">
        <f>IF('Resultado da inspeção'!R128='Resultado da inspeção'!$W$4,0%,Ranking!N$5)</f>
        <v>0.02</v>
      </c>
      <c r="O128" s="48">
        <f>IF('Resultado da inspeção'!S128='Resultado da inspeção'!$W$4,0%,Ranking!O$5)</f>
        <v>0.02</v>
      </c>
      <c r="P128" s="47">
        <f t="shared" si="19"/>
        <v>1</v>
      </c>
      <c r="Q128" s="49">
        <f t="shared" si="34"/>
        <v>0</v>
      </c>
      <c r="R128" s="50">
        <f t="shared" si="20"/>
        <v>0.02</v>
      </c>
      <c r="S128" s="50">
        <f t="shared" si="21"/>
        <v>0.03</v>
      </c>
      <c r="T128" s="50">
        <f t="shared" si="22"/>
        <v>0.03</v>
      </c>
      <c r="U128" s="50">
        <f t="shared" si="23"/>
        <v>0.1</v>
      </c>
      <c r="V128" s="50">
        <f t="shared" si="24"/>
        <v>0.21</v>
      </c>
      <c r="W128" s="50">
        <f t="shared" si="25"/>
        <v>0.05</v>
      </c>
      <c r="X128" s="50">
        <f t="shared" si="26"/>
        <v>0.24</v>
      </c>
      <c r="Y128" s="50">
        <f t="shared" si="27"/>
        <v>0.05</v>
      </c>
      <c r="Z128" s="50">
        <f t="shared" si="28"/>
        <v>0.04</v>
      </c>
      <c r="AA128" s="50">
        <f t="shared" si="29"/>
        <v>0.06</v>
      </c>
      <c r="AB128" s="50">
        <f t="shared" si="30"/>
        <v>0.08</v>
      </c>
      <c r="AC128" s="50">
        <f t="shared" si="31"/>
        <v>0.05</v>
      </c>
      <c r="AD128" s="50">
        <f t="shared" si="32"/>
        <v>0.02</v>
      </c>
      <c r="AE128" s="50">
        <f t="shared" si="33"/>
        <v>0.02</v>
      </c>
      <c r="AF128" s="47">
        <f t="shared" si="35"/>
        <v>1</v>
      </c>
      <c r="AG128" s="50">
        <f>IF('Resultado da inspeção'!F128='Resultado da inspeção'!$W$3,0%,Ranking!R128)</f>
        <v>0.02</v>
      </c>
      <c r="AH128" s="50">
        <f>IF('Resultado da inspeção'!G128='Resultado da inspeção'!$W$3,0%,Ranking!S128)</f>
        <v>0.03</v>
      </c>
      <c r="AI128" s="50">
        <f>IF('Resultado da inspeção'!H128='Resultado da inspeção'!$W$3,0%,Ranking!T128)</f>
        <v>0.03</v>
      </c>
      <c r="AJ128" s="50">
        <f>IF('Resultado da inspeção'!I128='Resultado da inspeção'!$W$3,0%,Ranking!U128)</f>
        <v>0.1</v>
      </c>
      <c r="AK128" s="50">
        <f>IF('Resultado da inspeção'!J128='Resultado da inspeção'!$W$3,0%,Ranking!V128)</f>
        <v>0.21</v>
      </c>
      <c r="AL128" s="50">
        <f>IF('Resultado da inspeção'!K128='Resultado da inspeção'!$W$3,0%,Ranking!W128)</f>
        <v>0.05</v>
      </c>
      <c r="AM128" s="50">
        <f>IF('Resultado da inspeção'!L128='Resultado da inspeção'!$W$3,0%,Ranking!X128)</f>
        <v>0.24</v>
      </c>
      <c r="AN128" s="50">
        <f>IF('Resultado da inspeção'!M128='Resultado da inspeção'!$W$3,0%,Ranking!Y128)</f>
        <v>0.05</v>
      </c>
      <c r="AO128" s="50">
        <f>IF('Resultado da inspeção'!N128='Resultado da inspeção'!$W$3,0%,Ranking!Z128)</f>
        <v>0.04</v>
      </c>
      <c r="AP128" s="50">
        <f>IF('Resultado da inspeção'!O128='Resultado da inspeção'!$W$3,0%,Ranking!AA128)</f>
        <v>0.06</v>
      </c>
      <c r="AQ128" s="50">
        <f>IF('Resultado da inspeção'!P128='Resultado da inspeção'!$W$3,0%,Ranking!AB128)</f>
        <v>0.08</v>
      </c>
      <c r="AR128" s="50">
        <f>IF('Resultado da inspeção'!Q128='Resultado da inspeção'!$W$3,0%,Ranking!AC128)</f>
        <v>0.05</v>
      </c>
      <c r="AS128" s="50">
        <f>IF('Resultado da inspeção'!R128='Resultado da inspeção'!$W$3,0%,Ranking!AD128)</f>
        <v>0.02</v>
      </c>
      <c r="AT128" s="50">
        <f>IF('Resultado da inspeção'!S128='Resultado da inspeção'!$W$3,0%,Ranking!AE128)</f>
        <v>0.02</v>
      </c>
      <c r="AU128" s="49">
        <f t="shared" si="36"/>
        <v>1</v>
      </c>
    </row>
    <row r="129" spans="2:47" x14ac:dyDescent="0.25">
      <c r="B129" s="48">
        <f>IF('Resultado da inspeção'!F129='Resultado da inspeção'!$W$4,0%,Ranking!B$5)</f>
        <v>0.02</v>
      </c>
      <c r="C129" s="48">
        <f>IF('Resultado da inspeção'!G129='Resultado da inspeção'!$W$4,0%,Ranking!C$5)</f>
        <v>0.03</v>
      </c>
      <c r="D129" s="48">
        <f>IF('Resultado da inspeção'!H129='Resultado da inspeção'!$W$4,0%,Ranking!D$5)</f>
        <v>0.03</v>
      </c>
      <c r="E129" s="48">
        <f>IF('Resultado da inspeção'!I129='Resultado da inspeção'!$W$4,0%,Ranking!E$5)</f>
        <v>0.1</v>
      </c>
      <c r="F129" s="48">
        <f>IF('Resultado da inspeção'!J129='Resultado da inspeção'!$W$4,0%,Ranking!F$5)</f>
        <v>0.21</v>
      </c>
      <c r="G129" s="48">
        <f>IF('Resultado da inspeção'!K129='Resultado da inspeção'!$W$4,0%,Ranking!G$5)</f>
        <v>0.05</v>
      </c>
      <c r="H129" s="48">
        <f>IF('Resultado da inspeção'!L129='Resultado da inspeção'!$W$4,0%,Ranking!H$5)</f>
        <v>0.24</v>
      </c>
      <c r="I129" s="48">
        <f>IF('Resultado da inspeção'!M129='Resultado da inspeção'!$W$4,0%,Ranking!I$5)</f>
        <v>0.05</v>
      </c>
      <c r="J129" s="48">
        <f>IF('Resultado da inspeção'!N129='Resultado da inspeção'!$W$4,0%,Ranking!J$5)</f>
        <v>0.04</v>
      </c>
      <c r="K129" s="48">
        <f>IF('Resultado da inspeção'!O129='Resultado da inspeção'!$W$4,0%,Ranking!K$5)</f>
        <v>0.06</v>
      </c>
      <c r="L129" s="48">
        <f>IF('Resultado da inspeção'!P129='Resultado da inspeção'!$W$4,0%,Ranking!L$5)</f>
        <v>0.08</v>
      </c>
      <c r="M129" s="48">
        <f>IF('Resultado da inspeção'!Q129='Resultado da inspeção'!$W$4,0%,Ranking!M$5)</f>
        <v>0.05</v>
      </c>
      <c r="N129" s="48">
        <f>IF('Resultado da inspeção'!R129='Resultado da inspeção'!$W$4,0%,Ranking!N$5)</f>
        <v>0.02</v>
      </c>
      <c r="O129" s="48">
        <f>IF('Resultado da inspeção'!S129='Resultado da inspeção'!$W$4,0%,Ranking!O$5)</f>
        <v>0.02</v>
      </c>
      <c r="P129" s="47">
        <f t="shared" si="19"/>
        <v>1</v>
      </c>
      <c r="Q129" s="49">
        <f t="shared" si="34"/>
        <v>0</v>
      </c>
      <c r="R129" s="50">
        <f t="shared" si="20"/>
        <v>0.02</v>
      </c>
      <c r="S129" s="50">
        <f t="shared" si="21"/>
        <v>0.03</v>
      </c>
      <c r="T129" s="50">
        <f t="shared" si="22"/>
        <v>0.03</v>
      </c>
      <c r="U129" s="50">
        <f t="shared" si="23"/>
        <v>0.1</v>
      </c>
      <c r="V129" s="50">
        <f t="shared" si="24"/>
        <v>0.21</v>
      </c>
      <c r="W129" s="50">
        <f t="shared" si="25"/>
        <v>0.05</v>
      </c>
      <c r="X129" s="50">
        <f t="shared" si="26"/>
        <v>0.24</v>
      </c>
      <c r="Y129" s="50">
        <f t="shared" si="27"/>
        <v>0.05</v>
      </c>
      <c r="Z129" s="50">
        <f t="shared" si="28"/>
        <v>0.04</v>
      </c>
      <c r="AA129" s="50">
        <f t="shared" si="29"/>
        <v>0.06</v>
      </c>
      <c r="AB129" s="50">
        <f t="shared" si="30"/>
        <v>0.08</v>
      </c>
      <c r="AC129" s="50">
        <f t="shared" si="31"/>
        <v>0.05</v>
      </c>
      <c r="AD129" s="50">
        <f t="shared" si="32"/>
        <v>0.02</v>
      </c>
      <c r="AE129" s="50">
        <f t="shared" si="33"/>
        <v>0.02</v>
      </c>
      <c r="AF129" s="47">
        <f t="shared" si="35"/>
        <v>1</v>
      </c>
      <c r="AG129" s="50">
        <f>IF('Resultado da inspeção'!F129='Resultado da inspeção'!$W$3,0%,Ranking!R129)</f>
        <v>0.02</v>
      </c>
      <c r="AH129" s="50">
        <f>IF('Resultado da inspeção'!G129='Resultado da inspeção'!$W$3,0%,Ranking!S129)</f>
        <v>0.03</v>
      </c>
      <c r="AI129" s="50">
        <f>IF('Resultado da inspeção'!H129='Resultado da inspeção'!$W$3,0%,Ranking!T129)</f>
        <v>0.03</v>
      </c>
      <c r="AJ129" s="50">
        <f>IF('Resultado da inspeção'!I129='Resultado da inspeção'!$W$3,0%,Ranking!U129)</f>
        <v>0.1</v>
      </c>
      <c r="AK129" s="50">
        <f>IF('Resultado da inspeção'!J129='Resultado da inspeção'!$W$3,0%,Ranking!V129)</f>
        <v>0.21</v>
      </c>
      <c r="AL129" s="50">
        <f>IF('Resultado da inspeção'!K129='Resultado da inspeção'!$W$3,0%,Ranking!W129)</f>
        <v>0.05</v>
      </c>
      <c r="AM129" s="50">
        <f>IF('Resultado da inspeção'!L129='Resultado da inspeção'!$W$3,0%,Ranking!X129)</f>
        <v>0.24</v>
      </c>
      <c r="AN129" s="50">
        <f>IF('Resultado da inspeção'!M129='Resultado da inspeção'!$W$3,0%,Ranking!Y129)</f>
        <v>0.05</v>
      </c>
      <c r="AO129" s="50">
        <f>IF('Resultado da inspeção'!N129='Resultado da inspeção'!$W$3,0%,Ranking!Z129)</f>
        <v>0.04</v>
      </c>
      <c r="AP129" s="50">
        <f>IF('Resultado da inspeção'!O129='Resultado da inspeção'!$W$3,0%,Ranking!AA129)</f>
        <v>0.06</v>
      </c>
      <c r="AQ129" s="50">
        <f>IF('Resultado da inspeção'!P129='Resultado da inspeção'!$W$3,0%,Ranking!AB129)</f>
        <v>0.08</v>
      </c>
      <c r="AR129" s="50">
        <f>IF('Resultado da inspeção'!Q129='Resultado da inspeção'!$W$3,0%,Ranking!AC129)</f>
        <v>0.05</v>
      </c>
      <c r="AS129" s="50">
        <f>IF('Resultado da inspeção'!R129='Resultado da inspeção'!$W$3,0%,Ranking!AD129)</f>
        <v>0.02</v>
      </c>
      <c r="AT129" s="50">
        <f>IF('Resultado da inspeção'!S129='Resultado da inspeção'!$W$3,0%,Ranking!AE129)</f>
        <v>0.02</v>
      </c>
      <c r="AU129" s="49">
        <f t="shared" si="36"/>
        <v>1</v>
      </c>
    </row>
    <row r="130" spans="2:47" x14ac:dyDescent="0.25">
      <c r="B130" s="48">
        <f>IF('Resultado da inspeção'!F130='Resultado da inspeção'!$W$4,0%,Ranking!B$5)</f>
        <v>0.02</v>
      </c>
      <c r="C130" s="48">
        <f>IF('Resultado da inspeção'!G130='Resultado da inspeção'!$W$4,0%,Ranking!C$5)</f>
        <v>0.03</v>
      </c>
      <c r="D130" s="48">
        <f>IF('Resultado da inspeção'!H130='Resultado da inspeção'!$W$4,0%,Ranking!D$5)</f>
        <v>0.03</v>
      </c>
      <c r="E130" s="48">
        <f>IF('Resultado da inspeção'!I130='Resultado da inspeção'!$W$4,0%,Ranking!E$5)</f>
        <v>0.1</v>
      </c>
      <c r="F130" s="48">
        <f>IF('Resultado da inspeção'!J130='Resultado da inspeção'!$W$4,0%,Ranking!F$5)</f>
        <v>0.21</v>
      </c>
      <c r="G130" s="48">
        <f>IF('Resultado da inspeção'!K130='Resultado da inspeção'!$W$4,0%,Ranking!G$5)</f>
        <v>0.05</v>
      </c>
      <c r="H130" s="48">
        <f>IF('Resultado da inspeção'!L130='Resultado da inspeção'!$W$4,0%,Ranking!H$5)</f>
        <v>0.24</v>
      </c>
      <c r="I130" s="48">
        <f>IF('Resultado da inspeção'!M130='Resultado da inspeção'!$W$4,0%,Ranking!I$5)</f>
        <v>0.05</v>
      </c>
      <c r="J130" s="48">
        <f>IF('Resultado da inspeção'!N130='Resultado da inspeção'!$W$4,0%,Ranking!J$5)</f>
        <v>0.04</v>
      </c>
      <c r="K130" s="48">
        <f>IF('Resultado da inspeção'!O130='Resultado da inspeção'!$W$4,0%,Ranking!K$5)</f>
        <v>0.06</v>
      </c>
      <c r="L130" s="48">
        <f>IF('Resultado da inspeção'!P130='Resultado da inspeção'!$W$4,0%,Ranking!L$5)</f>
        <v>0.08</v>
      </c>
      <c r="M130" s="48">
        <f>IF('Resultado da inspeção'!Q130='Resultado da inspeção'!$W$4,0%,Ranking!M$5)</f>
        <v>0.05</v>
      </c>
      <c r="N130" s="48">
        <f>IF('Resultado da inspeção'!R130='Resultado da inspeção'!$W$4,0%,Ranking!N$5)</f>
        <v>0.02</v>
      </c>
      <c r="O130" s="48">
        <f>IF('Resultado da inspeção'!S130='Resultado da inspeção'!$W$4,0%,Ranking!O$5)</f>
        <v>0.02</v>
      </c>
      <c r="P130" s="47">
        <f t="shared" si="19"/>
        <v>1</v>
      </c>
      <c r="Q130" s="49">
        <f t="shared" si="34"/>
        <v>0</v>
      </c>
      <c r="R130" s="50">
        <f t="shared" si="20"/>
        <v>0.02</v>
      </c>
      <c r="S130" s="50">
        <f t="shared" si="21"/>
        <v>0.03</v>
      </c>
      <c r="T130" s="50">
        <f t="shared" si="22"/>
        <v>0.03</v>
      </c>
      <c r="U130" s="50">
        <f t="shared" si="23"/>
        <v>0.1</v>
      </c>
      <c r="V130" s="50">
        <f t="shared" si="24"/>
        <v>0.21</v>
      </c>
      <c r="W130" s="50">
        <f t="shared" si="25"/>
        <v>0.05</v>
      </c>
      <c r="X130" s="50">
        <f t="shared" si="26"/>
        <v>0.24</v>
      </c>
      <c r="Y130" s="50">
        <f t="shared" si="27"/>
        <v>0.05</v>
      </c>
      <c r="Z130" s="50">
        <f t="shared" si="28"/>
        <v>0.04</v>
      </c>
      <c r="AA130" s="50">
        <f t="shared" si="29"/>
        <v>0.06</v>
      </c>
      <c r="AB130" s="50">
        <f t="shared" si="30"/>
        <v>0.08</v>
      </c>
      <c r="AC130" s="50">
        <f t="shared" si="31"/>
        <v>0.05</v>
      </c>
      <c r="AD130" s="50">
        <f t="shared" si="32"/>
        <v>0.02</v>
      </c>
      <c r="AE130" s="50">
        <f t="shared" si="33"/>
        <v>0.02</v>
      </c>
      <c r="AF130" s="47">
        <f t="shared" si="35"/>
        <v>1</v>
      </c>
      <c r="AG130" s="50">
        <f>IF('Resultado da inspeção'!F130='Resultado da inspeção'!$W$3,0%,Ranking!R130)</f>
        <v>0.02</v>
      </c>
      <c r="AH130" s="50">
        <f>IF('Resultado da inspeção'!G130='Resultado da inspeção'!$W$3,0%,Ranking!S130)</f>
        <v>0.03</v>
      </c>
      <c r="AI130" s="50">
        <f>IF('Resultado da inspeção'!H130='Resultado da inspeção'!$W$3,0%,Ranking!T130)</f>
        <v>0.03</v>
      </c>
      <c r="AJ130" s="50">
        <f>IF('Resultado da inspeção'!I130='Resultado da inspeção'!$W$3,0%,Ranking!U130)</f>
        <v>0.1</v>
      </c>
      <c r="AK130" s="50">
        <f>IF('Resultado da inspeção'!J130='Resultado da inspeção'!$W$3,0%,Ranking!V130)</f>
        <v>0.21</v>
      </c>
      <c r="AL130" s="50">
        <f>IF('Resultado da inspeção'!K130='Resultado da inspeção'!$W$3,0%,Ranking!W130)</f>
        <v>0.05</v>
      </c>
      <c r="AM130" s="50">
        <f>IF('Resultado da inspeção'!L130='Resultado da inspeção'!$W$3,0%,Ranking!X130)</f>
        <v>0.24</v>
      </c>
      <c r="AN130" s="50">
        <f>IF('Resultado da inspeção'!M130='Resultado da inspeção'!$W$3,0%,Ranking!Y130)</f>
        <v>0.05</v>
      </c>
      <c r="AO130" s="50">
        <f>IF('Resultado da inspeção'!N130='Resultado da inspeção'!$W$3,0%,Ranking!Z130)</f>
        <v>0.04</v>
      </c>
      <c r="AP130" s="50">
        <f>IF('Resultado da inspeção'!O130='Resultado da inspeção'!$W$3,0%,Ranking!AA130)</f>
        <v>0.06</v>
      </c>
      <c r="AQ130" s="50">
        <f>IF('Resultado da inspeção'!P130='Resultado da inspeção'!$W$3,0%,Ranking!AB130)</f>
        <v>0.08</v>
      </c>
      <c r="AR130" s="50">
        <f>IF('Resultado da inspeção'!Q130='Resultado da inspeção'!$W$3,0%,Ranking!AC130)</f>
        <v>0.05</v>
      </c>
      <c r="AS130" s="50">
        <f>IF('Resultado da inspeção'!R130='Resultado da inspeção'!$W$3,0%,Ranking!AD130)</f>
        <v>0.02</v>
      </c>
      <c r="AT130" s="50">
        <f>IF('Resultado da inspeção'!S130='Resultado da inspeção'!$W$3,0%,Ranking!AE130)</f>
        <v>0.02</v>
      </c>
      <c r="AU130" s="49">
        <f t="shared" si="36"/>
        <v>1</v>
      </c>
    </row>
    <row r="131" spans="2:47" x14ac:dyDescent="0.25">
      <c r="B131" s="48">
        <f>IF('Resultado da inspeção'!F131='Resultado da inspeção'!$W$4,0%,Ranking!B$5)</f>
        <v>0.02</v>
      </c>
      <c r="C131" s="48">
        <f>IF('Resultado da inspeção'!G131='Resultado da inspeção'!$W$4,0%,Ranking!C$5)</f>
        <v>0.03</v>
      </c>
      <c r="D131" s="48">
        <f>IF('Resultado da inspeção'!H131='Resultado da inspeção'!$W$4,0%,Ranking!D$5)</f>
        <v>0.03</v>
      </c>
      <c r="E131" s="48">
        <f>IF('Resultado da inspeção'!I131='Resultado da inspeção'!$W$4,0%,Ranking!E$5)</f>
        <v>0.1</v>
      </c>
      <c r="F131" s="48">
        <f>IF('Resultado da inspeção'!J131='Resultado da inspeção'!$W$4,0%,Ranking!F$5)</f>
        <v>0.21</v>
      </c>
      <c r="G131" s="48">
        <f>IF('Resultado da inspeção'!K131='Resultado da inspeção'!$W$4,0%,Ranking!G$5)</f>
        <v>0.05</v>
      </c>
      <c r="H131" s="48">
        <f>IF('Resultado da inspeção'!L131='Resultado da inspeção'!$W$4,0%,Ranking!H$5)</f>
        <v>0.24</v>
      </c>
      <c r="I131" s="48">
        <f>IF('Resultado da inspeção'!M131='Resultado da inspeção'!$W$4,0%,Ranking!I$5)</f>
        <v>0.05</v>
      </c>
      <c r="J131" s="48">
        <f>IF('Resultado da inspeção'!N131='Resultado da inspeção'!$W$4,0%,Ranking!J$5)</f>
        <v>0.04</v>
      </c>
      <c r="K131" s="48">
        <f>IF('Resultado da inspeção'!O131='Resultado da inspeção'!$W$4,0%,Ranking!K$5)</f>
        <v>0.06</v>
      </c>
      <c r="L131" s="48">
        <f>IF('Resultado da inspeção'!P131='Resultado da inspeção'!$W$4,0%,Ranking!L$5)</f>
        <v>0.08</v>
      </c>
      <c r="M131" s="48">
        <f>IF('Resultado da inspeção'!Q131='Resultado da inspeção'!$W$4,0%,Ranking!M$5)</f>
        <v>0.05</v>
      </c>
      <c r="N131" s="48">
        <f>IF('Resultado da inspeção'!R131='Resultado da inspeção'!$W$4,0%,Ranking!N$5)</f>
        <v>0.02</v>
      </c>
      <c r="O131" s="48">
        <f>IF('Resultado da inspeção'!S131='Resultado da inspeção'!$W$4,0%,Ranking!O$5)</f>
        <v>0.02</v>
      </c>
      <c r="P131" s="47">
        <f t="shared" si="19"/>
        <v>1</v>
      </c>
      <c r="Q131" s="49">
        <f t="shared" si="34"/>
        <v>0</v>
      </c>
      <c r="R131" s="50">
        <f t="shared" si="20"/>
        <v>0.02</v>
      </c>
      <c r="S131" s="50">
        <f t="shared" si="21"/>
        <v>0.03</v>
      </c>
      <c r="T131" s="50">
        <f t="shared" si="22"/>
        <v>0.03</v>
      </c>
      <c r="U131" s="50">
        <f t="shared" si="23"/>
        <v>0.1</v>
      </c>
      <c r="V131" s="50">
        <f t="shared" si="24"/>
        <v>0.21</v>
      </c>
      <c r="W131" s="50">
        <f t="shared" si="25"/>
        <v>0.05</v>
      </c>
      <c r="X131" s="50">
        <f t="shared" si="26"/>
        <v>0.24</v>
      </c>
      <c r="Y131" s="50">
        <f t="shared" si="27"/>
        <v>0.05</v>
      </c>
      <c r="Z131" s="50">
        <f t="shared" si="28"/>
        <v>0.04</v>
      </c>
      <c r="AA131" s="50">
        <f t="shared" si="29"/>
        <v>0.06</v>
      </c>
      <c r="AB131" s="50">
        <f t="shared" si="30"/>
        <v>0.08</v>
      </c>
      <c r="AC131" s="50">
        <f t="shared" si="31"/>
        <v>0.05</v>
      </c>
      <c r="AD131" s="50">
        <f t="shared" si="32"/>
        <v>0.02</v>
      </c>
      <c r="AE131" s="50">
        <f t="shared" si="33"/>
        <v>0.02</v>
      </c>
      <c r="AF131" s="47">
        <f t="shared" si="35"/>
        <v>1</v>
      </c>
      <c r="AG131" s="50">
        <f>IF('Resultado da inspeção'!F131='Resultado da inspeção'!$W$3,0%,Ranking!R131)</f>
        <v>0.02</v>
      </c>
      <c r="AH131" s="50">
        <f>IF('Resultado da inspeção'!G131='Resultado da inspeção'!$W$3,0%,Ranking!S131)</f>
        <v>0.03</v>
      </c>
      <c r="AI131" s="50">
        <f>IF('Resultado da inspeção'!H131='Resultado da inspeção'!$W$3,0%,Ranking!T131)</f>
        <v>0.03</v>
      </c>
      <c r="AJ131" s="50">
        <f>IF('Resultado da inspeção'!I131='Resultado da inspeção'!$W$3,0%,Ranking!U131)</f>
        <v>0.1</v>
      </c>
      <c r="AK131" s="50">
        <f>IF('Resultado da inspeção'!J131='Resultado da inspeção'!$W$3,0%,Ranking!V131)</f>
        <v>0.21</v>
      </c>
      <c r="AL131" s="50">
        <f>IF('Resultado da inspeção'!K131='Resultado da inspeção'!$W$3,0%,Ranking!W131)</f>
        <v>0.05</v>
      </c>
      <c r="AM131" s="50">
        <f>IF('Resultado da inspeção'!L131='Resultado da inspeção'!$W$3,0%,Ranking!X131)</f>
        <v>0.24</v>
      </c>
      <c r="AN131" s="50">
        <f>IF('Resultado da inspeção'!M131='Resultado da inspeção'!$W$3,0%,Ranking!Y131)</f>
        <v>0.05</v>
      </c>
      <c r="AO131" s="50">
        <f>IF('Resultado da inspeção'!N131='Resultado da inspeção'!$W$3,0%,Ranking!Z131)</f>
        <v>0.04</v>
      </c>
      <c r="AP131" s="50">
        <f>IF('Resultado da inspeção'!O131='Resultado da inspeção'!$W$3,0%,Ranking!AA131)</f>
        <v>0.06</v>
      </c>
      <c r="AQ131" s="50">
        <f>IF('Resultado da inspeção'!P131='Resultado da inspeção'!$W$3,0%,Ranking!AB131)</f>
        <v>0.08</v>
      </c>
      <c r="AR131" s="50">
        <f>IF('Resultado da inspeção'!Q131='Resultado da inspeção'!$W$3,0%,Ranking!AC131)</f>
        <v>0.05</v>
      </c>
      <c r="AS131" s="50">
        <f>IF('Resultado da inspeção'!R131='Resultado da inspeção'!$W$3,0%,Ranking!AD131)</f>
        <v>0.02</v>
      </c>
      <c r="AT131" s="50">
        <f>IF('Resultado da inspeção'!S131='Resultado da inspeção'!$W$3,0%,Ranking!AE131)</f>
        <v>0.02</v>
      </c>
      <c r="AU131" s="49">
        <f t="shared" si="36"/>
        <v>1</v>
      </c>
    </row>
    <row r="132" spans="2:47" x14ac:dyDescent="0.25">
      <c r="B132" s="48">
        <f>IF('Resultado da inspeção'!F132='Resultado da inspeção'!$W$4,0%,Ranking!B$5)</f>
        <v>0.02</v>
      </c>
      <c r="C132" s="48">
        <f>IF('Resultado da inspeção'!G132='Resultado da inspeção'!$W$4,0%,Ranking!C$5)</f>
        <v>0.03</v>
      </c>
      <c r="D132" s="48">
        <f>IF('Resultado da inspeção'!H132='Resultado da inspeção'!$W$4,0%,Ranking!D$5)</f>
        <v>0.03</v>
      </c>
      <c r="E132" s="48">
        <f>IF('Resultado da inspeção'!I132='Resultado da inspeção'!$W$4,0%,Ranking!E$5)</f>
        <v>0.1</v>
      </c>
      <c r="F132" s="48">
        <f>IF('Resultado da inspeção'!J132='Resultado da inspeção'!$W$4,0%,Ranking!F$5)</f>
        <v>0.21</v>
      </c>
      <c r="G132" s="48">
        <f>IF('Resultado da inspeção'!K132='Resultado da inspeção'!$W$4,0%,Ranking!G$5)</f>
        <v>0.05</v>
      </c>
      <c r="H132" s="48">
        <f>IF('Resultado da inspeção'!L132='Resultado da inspeção'!$W$4,0%,Ranking!H$5)</f>
        <v>0.24</v>
      </c>
      <c r="I132" s="48">
        <f>IF('Resultado da inspeção'!M132='Resultado da inspeção'!$W$4,0%,Ranking!I$5)</f>
        <v>0.05</v>
      </c>
      <c r="J132" s="48">
        <f>IF('Resultado da inspeção'!N132='Resultado da inspeção'!$W$4,0%,Ranking!J$5)</f>
        <v>0.04</v>
      </c>
      <c r="K132" s="48">
        <f>IF('Resultado da inspeção'!O132='Resultado da inspeção'!$W$4,0%,Ranking!K$5)</f>
        <v>0.06</v>
      </c>
      <c r="L132" s="48">
        <f>IF('Resultado da inspeção'!P132='Resultado da inspeção'!$W$4,0%,Ranking!L$5)</f>
        <v>0.08</v>
      </c>
      <c r="M132" s="48">
        <f>IF('Resultado da inspeção'!Q132='Resultado da inspeção'!$W$4,0%,Ranking!M$5)</f>
        <v>0.05</v>
      </c>
      <c r="N132" s="48">
        <f>IF('Resultado da inspeção'!R132='Resultado da inspeção'!$W$4,0%,Ranking!N$5)</f>
        <v>0.02</v>
      </c>
      <c r="O132" s="48">
        <f>IF('Resultado da inspeção'!S132='Resultado da inspeção'!$W$4,0%,Ranking!O$5)</f>
        <v>0.02</v>
      </c>
      <c r="P132" s="47">
        <f t="shared" si="19"/>
        <v>1</v>
      </c>
      <c r="Q132" s="49">
        <f t="shared" si="34"/>
        <v>0</v>
      </c>
      <c r="R132" s="50">
        <f t="shared" si="20"/>
        <v>0.02</v>
      </c>
      <c r="S132" s="50">
        <f t="shared" si="21"/>
        <v>0.03</v>
      </c>
      <c r="T132" s="50">
        <f t="shared" si="22"/>
        <v>0.03</v>
      </c>
      <c r="U132" s="50">
        <f t="shared" si="23"/>
        <v>0.1</v>
      </c>
      <c r="V132" s="50">
        <f t="shared" si="24"/>
        <v>0.21</v>
      </c>
      <c r="W132" s="50">
        <f t="shared" si="25"/>
        <v>0.05</v>
      </c>
      <c r="X132" s="50">
        <f t="shared" si="26"/>
        <v>0.24</v>
      </c>
      <c r="Y132" s="50">
        <f t="shared" si="27"/>
        <v>0.05</v>
      </c>
      <c r="Z132" s="50">
        <f t="shared" si="28"/>
        <v>0.04</v>
      </c>
      <c r="AA132" s="50">
        <f t="shared" si="29"/>
        <v>0.06</v>
      </c>
      <c r="AB132" s="50">
        <f t="shared" si="30"/>
        <v>0.08</v>
      </c>
      <c r="AC132" s="50">
        <f t="shared" si="31"/>
        <v>0.05</v>
      </c>
      <c r="AD132" s="50">
        <f t="shared" si="32"/>
        <v>0.02</v>
      </c>
      <c r="AE132" s="50">
        <f t="shared" si="33"/>
        <v>0.02</v>
      </c>
      <c r="AF132" s="47">
        <f t="shared" si="35"/>
        <v>1</v>
      </c>
      <c r="AG132" s="50">
        <f>IF('Resultado da inspeção'!F132='Resultado da inspeção'!$W$3,0%,Ranking!R132)</f>
        <v>0.02</v>
      </c>
      <c r="AH132" s="50">
        <f>IF('Resultado da inspeção'!G132='Resultado da inspeção'!$W$3,0%,Ranking!S132)</f>
        <v>0.03</v>
      </c>
      <c r="AI132" s="50">
        <f>IF('Resultado da inspeção'!H132='Resultado da inspeção'!$W$3,0%,Ranking!T132)</f>
        <v>0.03</v>
      </c>
      <c r="AJ132" s="50">
        <f>IF('Resultado da inspeção'!I132='Resultado da inspeção'!$W$3,0%,Ranking!U132)</f>
        <v>0.1</v>
      </c>
      <c r="AK132" s="50">
        <f>IF('Resultado da inspeção'!J132='Resultado da inspeção'!$W$3,0%,Ranking!V132)</f>
        <v>0.21</v>
      </c>
      <c r="AL132" s="50">
        <f>IF('Resultado da inspeção'!K132='Resultado da inspeção'!$W$3,0%,Ranking!W132)</f>
        <v>0.05</v>
      </c>
      <c r="AM132" s="50">
        <f>IF('Resultado da inspeção'!L132='Resultado da inspeção'!$W$3,0%,Ranking!X132)</f>
        <v>0.24</v>
      </c>
      <c r="AN132" s="50">
        <f>IF('Resultado da inspeção'!M132='Resultado da inspeção'!$W$3,0%,Ranking!Y132)</f>
        <v>0.05</v>
      </c>
      <c r="AO132" s="50">
        <f>IF('Resultado da inspeção'!N132='Resultado da inspeção'!$W$3,0%,Ranking!Z132)</f>
        <v>0.04</v>
      </c>
      <c r="AP132" s="50">
        <f>IF('Resultado da inspeção'!O132='Resultado da inspeção'!$W$3,0%,Ranking!AA132)</f>
        <v>0.06</v>
      </c>
      <c r="AQ132" s="50">
        <f>IF('Resultado da inspeção'!P132='Resultado da inspeção'!$W$3,0%,Ranking!AB132)</f>
        <v>0.08</v>
      </c>
      <c r="AR132" s="50">
        <f>IF('Resultado da inspeção'!Q132='Resultado da inspeção'!$W$3,0%,Ranking!AC132)</f>
        <v>0.05</v>
      </c>
      <c r="AS132" s="50">
        <f>IF('Resultado da inspeção'!R132='Resultado da inspeção'!$W$3,0%,Ranking!AD132)</f>
        <v>0.02</v>
      </c>
      <c r="AT132" s="50">
        <f>IF('Resultado da inspeção'!S132='Resultado da inspeção'!$W$3,0%,Ranking!AE132)</f>
        <v>0.02</v>
      </c>
      <c r="AU132" s="49">
        <f t="shared" si="36"/>
        <v>1</v>
      </c>
    </row>
    <row r="133" spans="2:47" x14ac:dyDescent="0.25">
      <c r="B133" s="48">
        <f>IF('Resultado da inspeção'!F133='Resultado da inspeção'!$W$4,0%,Ranking!B$5)</f>
        <v>0.02</v>
      </c>
      <c r="C133" s="48">
        <f>IF('Resultado da inspeção'!G133='Resultado da inspeção'!$W$4,0%,Ranking!C$5)</f>
        <v>0.03</v>
      </c>
      <c r="D133" s="48">
        <f>IF('Resultado da inspeção'!H133='Resultado da inspeção'!$W$4,0%,Ranking!D$5)</f>
        <v>0.03</v>
      </c>
      <c r="E133" s="48">
        <f>IF('Resultado da inspeção'!I133='Resultado da inspeção'!$W$4,0%,Ranking!E$5)</f>
        <v>0.1</v>
      </c>
      <c r="F133" s="48">
        <f>IF('Resultado da inspeção'!J133='Resultado da inspeção'!$W$4,0%,Ranking!F$5)</f>
        <v>0.21</v>
      </c>
      <c r="G133" s="48">
        <f>IF('Resultado da inspeção'!K133='Resultado da inspeção'!$W$4,0%,Ranking!G$5)</f>
        <v>0.05</v>
      </c>
      <c r="H133" s="48">
        <f>IF('Resultado da inspeção'!L133='Resultado da inspeção'!$W$4,0%,Ranking!H$5)</f>
        <v>0.24</v>
      </c>
      <c r="I133" s="48">
        <f>IF('Resultado da inspeção'!M133='Resultado da inspeção'!$W$4,0%,Ranking!I$5)</f>
        <v>0.05</v>
      </c>
      <c r="J133" s="48">
        <f>IF('Resultado da inspeção'!N133='Resultado da inspeção'!$W$4,0%,Ranking!J$5)</f>
        <v>0.04</v>
      </c>
      <c r="K133" s="48">
        <f>IF('Resultado da inspeção'!O133='Resultado da inspeção'!$W$4,0%,Ranking!K$5)</f>
        <v>0.06</v>
      </c>
      <c r="L133" s="48">
        <f>IF('Resultado da inspeção'!P133='Resultado da inspeção'!$W$4,0%,Ranking!L$5)</f>
        <v>0.08</v>
      </c>
      <c r="M133" s="48">
        <f>IF('Resultado da inspeção'!Q133='Resultado da inspeção'!$W$4,0%,Ranking!M$5)</f>
        <v>0.05</v>
      </c>
      <c r="N133" s="48">
        <f>IF('Resultado da inspeção'!R133='Resultado da inspeção'!$W$4,0%,Ranking!N$5)</f>
        <v>0.02</v>
      </c>
      <c r="O133" s="48">
        <f>IF('Resultado da inspeção'!S133='Resultado da inspeção'!$W$4,0%,Ranking!O$5)</f>
        <v>0.02</v>
      </c>
      <c r="P133" s="47">
        <f t="shared" ref="P133:P196" si="37">SUM(B133:O133)</f>
        <v>1</v>
      </c>
      <c r="Q133" s="49">
        <f t="shared" si="34"/>
        <v>0</v>
      </c>
      <c r="R133" s="50">
        <f t="shared" si="20"/>
        <v>0.02</v>
      </c>
      <c r="S133" s="50">
        <f t="shared" si="21"/>
        <v>0.03</v>
      </c>
      <c r="T133" s="50">
        <f t="shared" si="22"/>
        <v>0.03</v>
      </c>
      <c r="U133" s="50">
        <f t="shared" si="23"/>
        <v>0.1</v>
      </c>
      <c r="V133" s="50">
        <f t="shared" si="24"/>
        <v>0.21</v>
      </c>
      <c r="W133" s="50">
        <f t="shared" si="25"/>
        <v>0.05</v>
      </c>
      <c r="X133" s="50">
        <f t="shared" si="26"/>
        <v>0.24</v>
      </c>
      <c r="Y133" s="50">
        <f t="shared" si="27"/>
        <v>0.05</v>
      </c>
      <c r="Z133" s="50">
        <f t="shared" si="28"/>
        <v>0.04</v>
      </c>
      <c r="AA133" s="50">
        <f t="shared" si="29"/>
        <v>0.06</v>
      </c>
      <c r="AB133" s="50">
        <f t="shared" si="30"/>
        <v>0.08</v>
      </c>
      <c r="AC133" s="50">
        <f t="shared" si="31"/>
        <v>0.05</v>
      </c>
      <c r="AD133" s="50">
        <f t="shared" si="32"/>
        <v>0.02</v>
      </c>
      <c r="AE133" s="50">
        <f t="shared" si="33"/>
        <v>0.02</v>
      </c>
      <c r="AF133" s="47">
        <f t="shared" si="35"/>
        <v>1</v>
      </c>
      <c r="AG133" s="50">
        <f>IF('Resultado da inspeção'!F133='Resultado da inspeção'!$W$3,0%,Ranking!R133)</f>
        <v>0.02</v>
      </c>
      <c r="AH133" s="50">
        <f>IF('Resultado da inspeção'!G133='Resultado da inspeção'!$W$3,0%,Ranking!S133)</f>
        <v>0.03</v>
      </c>
      <c r="AI133" s="50">
        <f>IF('Resultado da inspeção'!H133='Resultado da inspeção'!$W$3,0%,Ranking!T133)</f>
        <v>0.03</v>
      </c>
      <c r="AJ133" s="50">
        <f>IF('Resultado da inspeção'!I133='Resultado da inspeção'!$W$3,0%,Ranking!U133)</f>
        <v>0.1</v>
      </c>
      <c r="AK133" s="50">
        <f>IF('Resultado da inspeção'!J133='Resultado da inspeção'!$W$3,0%,Ranking!V133)</f>
        <v>0.21</v>
      </c>
      <c r="AL133" s="50">
        <f>IF('Resultado da inspeção'!K133='Resultado da inspeção'!$W$3,0%,Ranking!W133)</f>
        <v>0.05</v>
      </c>
      <c r="AM133" s="50">
        <f>IF('Resultado da inspeção'!L133='Resultado da inspeção'!$W$3,0%,Ranking!X133)</f>
        <v>0.24</v>
      </c>
      <c r="AN133" s="50">
        <f>IF('Resultado da inspeção'!M133='Resultado da inspeção'!$W$3,0%,Ranking!Y133)</f>
        <v>0.05</v>
      </c>
      <c r="AO133" s="50">
        <f>IF('Resultado da inspeção'!N133='Resultado da inspeção'!$W$3,0%,Ranking!Z133)</f>
        <v>0.04</v>
      </c>
      <c r="AP133" s="50">
        <f>IF('Resultado da inspeção'!O133='Resultado da inspeção'!$W$3,0%,Ranking!AA133)</f>
        <v>0.06</v>
      </c>
      <c r="AQ133" s="50">
        <f>IF('Resultado da inspeção'!P133='Resultado da inspeção'!$W$3,0%,Ranking!AB133)</f>
        <v>0.08</v>
      </c>
      <c r="AR133" s="50">
        <f>IF('Resultado da inspeção'!Q133='Resultado da inspeção'!$W$3,0%,Ranking!AC133)</f>
        <v>0.05</v>
      </c>
      <c r="AS133" s="50">
        <f>IF('Resultado da inspeção'!R133='Resultado da inspeção'!$W$3,0%,Ranking!AD133)</f>
        <v>0.02</v>
      </c>
      <c r="AT133" s="50">
        <f>IF('Resultado da inspeção'!S133='Resultado da inspeção'!$W$3,0%,Ranking!AE133)</f>
        <v>0.02</v>
      </c>
      <c r="AU133" s="49">
        <f t="shared" si="36"/>
        <v>1</v>
      </c>
    </row>
    <row r="134" spans="2:47" x14ac:dyDescent="0.25">
      <c r="B134" s="48">
        <f>IF('Resultado da inspeção'!F134='Resultado da inspeção'!$W$4,0%,Ranking!B$5)</f>
        <v>0.02</v>
      </c>
      <c r="C134" s="48">
        <f>IF('Resultado da inspeção'!G134='Resultado da inspeção'!$W$4,0%,Ranking!C$5)</f>
        <v>0.03</v>
      </c>
      <c r="D134" s="48">
        <f>IF('Resultado da inspeção'!H134='Resultado da inspeção'!$W$4,0%,Ranking!D$5)</f>
        <v>0.03</v>
      </c>
      <c r="E134" s="48">
        <f>IF('Resultado da inspeção'!I134='Resultado da inspeção'!$W$4,0%,Ranking!E$5)</f>
        <v>0.1</v>
      </c>
      <c r="F134" s="48">
        <f>IF('Resultado da inspeção'!J134='Resultado da inspeção'!$W$4,0%,Ranking!F$5)</f>
        <v>0.21</v>
      </c>
      <c r="G134" s="48">
        <f>IF('Resultado da inspeção'!K134='Resultado da inspeção'!$W$4,0%,Ranking!G$5)</f>
        <v>0.05</v>
      </c>
      <c r="H134" s="48">
        <f>IF('Resultado da inspeção'!L134='Resultado da inspeção'!$W$4,0%,Ranking!H$5)</f>
        <v>0.24</v>
      </c>
      <c r="I134" s="48">
        <f>IF('Resultado da inspeção'!M134='Resultado da inspeção'!$W$4,0%,Ranking!I$5)</f>
        <v>0.05</v>
      </c>
      <c r="J134" s="48">
        <f>IF('Resultado da inspeção'!N134='Resultado da inspeção'!$W$4,0%,Ranking!J$5)</f>
        <v>0.04</v>
      </c>
      <c r="K134" s="48">
        <f>IF('Resultado da inspeção'!O134='Resultado da inspeção'!$W$4,0%,Ranking!K$5)</f>
        <v>0.06</v>
      </c>
      <c r="L134" s="48">
        <f>IF('Resultado da inspeção'!P134='Resultado da inspeção'!$W$4,0%,Ranking!L$5)</f>
        <v>0.08</v>
      </c>
      <c r="M134" s="48">
        <f>IF('Resultado da inspeção'!Q134='Resultado da inspeção'!$W$4,0%,Ranking!M$5)</f>
        <v>0.05</v>
      </c>
      <c r="N134" s="48">
        <f>IF('Resultado da inspeção'!R134='Resultado da inspeção'!$W$4,0%,Ranking!N$5)</f>
        <v>0.02</v>
      </c>
      <c r="O134" s="48">
        <f>IF('Resultado da inspeção'!S134='Resultado da inspeção'!$W$4,0%,Ranking!O$5)</f>
        <v>0.02</v>
      </c>
      <c r="P134" s="47">
        <f t="shared" si="37"/>
        <v>1</v>
      </c>
      <c r="Q134" s="49">
        <f t="shared" si="34"/>
        <v>0</v>
      </c>
      <c r="R134" s="50">
        <f t="shared" ref="R134:R197" si="38">B134/$P134</f>
        <v>0.02</v>
      </c>
      <c r="S134" s="50">
        <f t="shared" ref="S134:S197" si="39">C134/$P134</f>
        <v>0.03</v>
      </c>
      <c r="T134" s="50">
        <f t="shared" ref="T134:T197" si="40">D134/$P134</f>
        <v>0.03</v>
      </c>
      <c r="U134" s="50">
        <f t="shared" ref="U134:U197" si="41">E134/$P134</f>
        <v>0.1</v>
      </c>
      <c r="V134" s="50">
        <f t="shared" ref="V134:V197" si="42">F134/$P134</f>
        <v>0.21</v>
      </c>
      <c r="W134" s="50">
        <f t="shared" ref="W134:W197" si="43">G134/$P134</f>
        <v>0.05</v>
      </c>
      <c r="X134" s="50">
        <f t="shared" ref="X134:X197" si="44">H134/$P134</f>
        <v>0.24</v>
      </c>
      <c r="Y134" s="50">
        <f t="shared" ref="Y134:Y197" si="45">I134/$P134</f>
        <v>0.05</v>
      </c>
      <c r="Z134" s="50">
        <f t="shared" ref="Z134:Z197" si="46">J134/$P134</f>
        <v>0.04</v>
      </c>
      <c r="AA134" s="50">
        <f t="shared" ref="AA134:AA197" si="47">K134/$P134</f>
        <v>0.06</v>
      </c>
      <c r="AB134" s="50">
        <f t="shared" ref="AB134:AB197" si="48">L134/$P134</f>
        <v>0.08</v>
      </c>
      <c r="AC134" s="50">
        <f t="shared" ref="AC134:AC197" si="49">M134/$P134</f>
        <v>0.05</v>
      </c>
      <c r="AD134" s="50">
        <f t="shared" ref="AD134:AD197" si="50">N134/$P134</f>
        <v>0.02</v>
      </c>
      <c r="AE134" s="50">
        <f t="shared" ref="AE134:AE197" si="51">O134/$P134</f>
        <v>0.02</v>
      </c>
      <c r="AF134" s="47">
        <f t="shared" si="35"/>
        <v>1</v>
      </c>
      <c r="AG134" s="50">
        <f>IF('Resultado da inspeção'!F134='Resultado da inspeção'!$W$3,0%,Ranking!R134)</f>
        <v>0.02</v>
      </c>
      <c r="AH134" s="50">
        <f>IF('Resultado da inspeção'!G134='Resultado da inspeção'!$W$3,0%,Ranking!S134)</f>
        <v>0.03</v>
      </c>
      <c r="AI134" s="50">
        <f>IF('Resultado da inspeção'!H134='Resultado da inspeção'!$W$3,0%,Ranking!T134)</f>
        <v>0.03</v>
      </c>
      <c r="AJ134" s="50">
        <f>IF('Resultado da inspeção'!I134='Resultado da inspeção'!$W$3,0%,Ranking!U134)</f>
        <v>0.1</v>
      </c>
      <c r="AK134" s="50">
        <f>IF('Resultado da inspeção'!J134='Resultado da inspeção'!$W$3,0%,Ranking!V134)</f>
        <v>0.21</v>
      </c>
      <c r="AL134" s="50">
        <f>IF('Resultado da inspeção'!K134='Resultado da inspeção'!$W$3,0%,Ranking!W134)</f>
        <v>0.05</v>
      </c>
      <c r="AM134" s="50">
        <f>IF('Resultado da inspeção'!L134='Resultado da inspeção'!$W$3,0%,Ranking!X134)</f>
        <v>0.24</v>
      </c>
      <c r="AN134" s="50">
        <f>IF('Resultado da inspeção'!M134='Resultado da inspeção'!$W$3,0%,Ranking!Y134)</f>
        <v>0.05</v>
      </c>
      <c r="AO134" s="50">
        <f>IF('Resultado da inspeção'!N134='Resultado da inspeção'!$W$3,0%,Ranking!Z134)</f>
        <v>0.04</v>
      </c>
      <c r="AP134" s="50">
        <f>IF('Resultado da inspeção'!O134='Resultado da inspeção'!$W$3,0%,Ranking!AA134)</f>
        <v>0.06</v>
      </c>
      <c r="AQ134" s="50">
        <f>IF('Resultado da inspeção'!P134='Resultado da inspeção'!$W$3,0%,Ranking!AB134)</f>
        <v>0.08</v>
      </c>
      <c r="AR134" s="50">
        <f>IF('Resultado da inspeção'!Q134='Resultado da inspeção'!$W$3,0%,Ranking!AC134)</f>
        <v>0.05</v>
      </c>
      <c r="AS134" s="50">
        <f>IF('Resultado da inspeção'!R134='Resultado da inspeção'!$W$3,0%,Ranking!AD134)</f>
        <v>0.02</v>
      </c>
      <c r="AT134" s="50">
        <f>IF('Resultado da inspeção'!S134='Resultado da inspeção'!$W$3,0%,Ranking!AE134)</f>
        <v>0.02</v>
      </c>
      <c r="AU134" s="49">
        <f t="shared" si="36"/>
        <v>1</v>
      </c>
    </row>
    <row r="135" spans="2:47" x14ac:dyDescent="0.25">
      <c r="B135" s="48">
        <f>IF('Resultado da inspeção'!F135='Resultado da inspeção'!$W$4,0%,Ranking!B$5)</f>
        <v>0.02</v>
      </c>
      <c r="C135" s="48">
        <f>IF('Resultado da inspeção'!G135='Resultado da inspeção'!$W$4,0%,Ranking!C$5)</f>
        <v>0.03</v>
      </c>
      <c r="D135" s="48">
        <f>IF('Resultado da inspeção'!H135='Resultado da inspeção'!$W$4,0%,Ranking!D$5)</f>
        <v>0.03</v>
      </c>
      <c r="E135" s="48">
        <f>IF('Resultado da inspeção'!I135='Resultado da inspeção'!$W$4,0%,Ranking!E$5)</f>
        <v>0.1</v>
      </c>
      <c r="F135" s="48">
        <f>IF('Resultado da inspeção'!J135='Resultado da inspeção'!$W$4,0%,Ranking!F$5)</f>
        <v>0.21</v>
      </c>
      <c r="G135" s="48">
        <f>IF('Resultado da inspeção'!K135='Resultado da inspeção'!$W$4,0%,Ranking!G$5)</f>
        <v>0.05</v>
      </c>
      <c r="H135" s="48">
        <f>IF('Resultado da inspeção'!L135='Resultado da inspeção'!$W$4,0%,Ranking!H$5)</f>
        <v>0.24</v>
      </c>
      <c r="I135" s="48">
        <f>IF('Resultado da inspeção'!M135='Resultado da inspeção'!$W$4,0%,Ranking!I$5)</f>
        <v>0.05</v>
      </c>
      <c r="J135" s="48">
        <f>IF('Resultado da inspeção'!N135='Resultado da inspeção'!$W$4,0%,Ranking!J$5)</f>
        <v>0.04</v>
      </c>
      <c r="K135" s="48">
        <f>IF('Resultado da inspeção'!O135='Resultado da inspeção'!$W$4,0%,Ranking!K$5)</f>
        <v>0.06</v>
      </c>
      <c r="L135" s="48">
        <f>IF('Resultado da inspeção'!P135='Resultado da inspeção'!$W$4,0%,Ranking!L$5)</f>
        <v>0.08</v>
      </c>
      <c r="M135" s="48">
        <f>IF('Resultado da inspeção'!Q135='Resultado da inspeção'!$W$4,0%,Ranking!M$5)</f>
        <v>0.05</v>
      </c>
      <c r="N135" s="48">
        <f>IF('Resultado da inspeção'!R135='Resultado da inspeção'!$W$4,0%,Ranking!N$5)</f>
        <v>0.02</v>
      </c>
      <c r="O135" s="48">
        <f>IF('Resultado da inspeção'!S135='Resultado da inspeção'!$W$4,0%,Ranking!O$5)</f>
        <v>0.02</v>
      </c>
      <c r="P135" s="47">
        <f t="shared" si="37"/>
        <v>1</v>
      </c>
      <c r="Q135" s="49">
        <f t="shared" ref="Q135:Q198" si="52">100%-P135</f>
        <v>0</v>
      </c>
      <c r="R135" s="50">
        <f t="shared" si="38"/>
        <v>0.02</v>
      </c>
      <c r="S135" s="50">
        <f t="shared" si="39"/>
        <v>0.03</v>
      </c>
      <c r="T135" s="50">
        <f t="shared" si="40"/>
        <v>0.03</v>
      </c>
      <c r="U135" s="50">
        <f t="shared" si="41"/>
        <v>0.1</v>
      </c>
      <c r="V135" s="50">
        <f t="shared" si="42"/>
        <v>0.21</v>
      </c>
      <c r="W135" s="50">
        <f t="shared" si="43"/>
        <v>0.05</v>
      </c>
      <c r="X135" s="50">
        <f t="shared" si="44"/>
        <v>0.24</v>
      </c>
      <c r="Y135" s="50">
        <f t="shared" si="45"/>
        <v>0.05</v>
      </c>
      <c r="Z135" s="50">
        <f t="shared" si="46"/>
        <v>0.04</v>
      </c>
      <c r="AA135" s="50">
        <f t="shared" si="47"/>
        <v>0.06</v>
      </c>
      <c r="AB135" s="50">
        <f t="shared" si="48"/>
        <v>0.08</v>
      </c>
      <c r="AC135" s="50">
        <f t="shared" si="49"/>
        <v>0.05</v>
      </c>
      <c r="AD135" s="50">
        <f t="shared" si="50"/>
        <v>0.02</v>
      </c>
      <c r="AE135" s="50">
        <f t="shared" si="51"/>
        <v>0.02</v>
      </c>
      <c r="AF135" s="47">
        <f t="shared" ref="AF135:AF198" si="53">SUM(R135:AE135)</f>
        <v>1</v>
      </c>
      <c r="AG135" s="50">
        <f>IF('Resultado da inspeção'!F135='Resultado da inspeção'!$W$3,0%,Ranking!R135)</f>
        <v>0.02</v>
      </c>
      <c r="AH135" s="50">
        <f>IF('Resultado da inspeção'!G135='Resultado da inspeção'!$W$3,0%,Ranking!S135)</f>
        <v>0.03</v>
      </c>
      <c r="AI135" s="50">
        <f>IF('Resultado da inspeção'!H135='Resultado da inspeção'!$W$3,0%,Ranking!T135)</f>
        <v>0.03</v>
      </c>
      <c r="AJ135" s="50">
        <f>IF('Resultado da inspeção'!I135='Resultado da inspeção'!$W$3,0%,Ranking!U135)</f>
        <v>0.1</v>
      </c>
      <c r="AK135" s="50">
        <f>IF('Resultado da inspeção'!J135='Resultado da inspeção'!$W$3,0%,Ranking!V135)</f>
        <v>0.21</v>
      </c>
      <c r="AL135" s="50">
        <f>IF('Resultado da inspeção'!K135='Resultado da inspeção'!$W$3,0%,Ranking!W135)</f>
        <v>0.05</v>
      </c>
      <c r="AM135" s="50">
        <f>IF('Resultado da inspeção'!L135='Resultado da inspeção'!$W$3,0%,Ranking!X135)</f>
        <v>0.24</v>
      </c>
      <c r="AN135" s="50">
        <f>IF('Resultado da inspeção'!M135='Resultado da inspeção'!$W$3,0%,Ranking!Y135)</f>
        <v>0.05</v>
      </c>
      <c r="AO135" s="50">
        <f>IF('Resultado da inspeção'!N135='Resultado da inspeção'!$W$3,0%,Ranking!Z135)</f>
        <v>0.04</v>
      </c>
      <c r="AP135" s="50">
        <f>IF('Resultado da inspeção'!O135='Resultado da inspeção'!$W$3,0%,Ranking!AA135)</f>
        <v>0.06</v>
      </c>
      <c r="AQ135" s="50">
        <f>IF('Resultado da inspeção'!P135='Resultado da inspeção'!$W$3,0%,Ranking!AB135)</f>
        <v>0.08</v>
      </c>
      <c r="AR135" s="50">
        <f>IF('Resultado da inspeção'!Q135='Resultado da inspeção'!$W$3,0%,Ranking!AC135)</f>
        <v>0.05</v>
      </c>
      <c r="AS135" s="50">
        <f>IF('Resultado da inspeção'!R135='Resultado da inspeção'!$W$3,0%,Ranking!AD135)</f>
        <v>0.02</v>
      </c>
      <c r="AT135" s="50">
        <f>IF('Resultado da inspeção'!S135='Resultado da inspeção'!$W$3,0%,Ranking!AE135)</f>
        <v>0.02</v>
      </c>
      <c r="AU135" s="49">
        <f t="shared" ref="AU135:AU198" si="54">SUM(AG135:AT135)</f>
        <v>1</v>
      </c>
    </row>
    <row r="136" spans="2:47" x14ac:dyDescent="0.25">
      <c r="B136" s="48">
        <f>IF('Resultado da inspeção'!F136='Resultado da inspeção'!$W$4,0%,Ranking!B$5)</f>
        <v>0.02</v>
      </c>
      <c r="C136" s="48">
        <f>IF('Resultado da inspeção'!G136='Resultado da inspeção'!$W$4,0%,Ranking!C$5)</f>
        <v>0.03</v>
      </c>
      <c r="D136" s="48">
        <f>IF('Resultado da inspeção'!H136='Resultado da inspeção'!$W$4,0%,Ranking!D$5)</f>
        <v>0.03</v>
      </c>
      <c r="E136" s="48">
        <f>IF('Resultado da inspeção'!I136='Resultado da inspeção'!$W$4,0%,Ranking!E$5)</f>
        <v>0.1</v>
      </c>
      <c r="F136" s="48">
        <f>IF('Resultado da inspeção'!J136='Resultado da inspeção'!$W$4,0%,Ranking!F$5)</f>
        <v>0.21</v>
      </c>
      <c r="G136" s="48">
        <f>IF('Resultado da inspeção'!K136='Resultado da inspeção'!$W$4,0%,Ranking!G$5)</f>
        <v>0.05</v>
      </c>
      <c r="H136" s="48">
        <f>IF('Resultado da inspeção'!L136='Resultado da inspeção'!$W$4,0%,Ranking!H$5)</f>
        <v>0.24</v>
      </c>
      <c r="I136" s="48">
        <f>IF('Resultado da inspeção'!M136='Resultado da inspeção'!$W$4,0%,Ranking!I$5)</f>
        <v>0.05</v>
      </c>
      <c r="J136" s="48">
        <f>IF('Resultado da inspeção'!N136='Resultado da inspeção'!$W$4,0%,Ranking!J$5)</f>
        <v>0.04</v>
      </c>
      <c r="K136" s="48">
        <f>IF('Resultado da inspeção'!O136='Resultado da inspeção'!$W$4,0%,Ranking!K$5)</f>
        <v>0.06</v>
      </c>
      <c r="L136" s="48">
        <f>IF('Resultado da inspeção'!P136='Resultado da inspeção'!$W$4,0%,Ranking!L$5)</f>
        <v>0.08</v>
      </c>
      <c r="M136" s="48">
        <f>IF('Resultado da inspeção'!Q136='Resultado da inspeção'!$W$4,0%,Ranking!M$5)</f>
        <v>0.05</v>
      </c>
      <c r="N136" s="48">
        <f>IF('Resultado da inspeção'!R136='Resultado da inspeção'!$W$4,0%,Ranking!N$5)</f>
        <v>0.02</v>
      </c>
      <c r="O136" s="48">
        <f>IF('Resultado da inspeção'!S136='Resultado da inspeção'!$W$4,0%,Ranking!O$5)</f>
        <v>0.02</v>
      </c>
      <c r="P136" s="47">
        <f t="shared" si="37"/>
        <v>1</v>
      </c>
      <c r="Q136" s="49">
        <f t="shared" si="52"/>
        <v>0</v>
      </c>
      <c r="R136" s="50">
        <f t="shared" si="38"/>
        <v>0.02</v>
      </c>
      <c r="S136" s="50">
        <f t="shared" si="39"/>
        <v>0.03</v>
      </c>
      <c r="T136" s="50">
        <f t="shared" si="40"/>
        <v>0.03</v>
      </c>
      <c r="U136" s="50">
        <f t="shared" si="41"/>
        <v>0.1</v>
      </c>
      <c r="V136" s="50">
        <f t="shared" si="42"/>
        <v>0.21</v>
      </c>
      <c r="W136" s="50">
        <f t="shared" si="43"/>
        <v>0.05</v>
      </c>
      <c r="X136" s="50">
        <f t="shared" si="44"/>
        <v>0.24</v>
      </c>
      <c r="Y136" s="50">
        <f t="shared" si="45"/>
        <v>0.05</v>
      </c>
      <c r="Z136" s="50">
        <f t="shared" si="46"/>
        <v>0.04</v>
      </c>
      <c r="AA136" s="50">
        <f t="shared" si="47"/>
        <v>0.06</v>
      </c>
      <c r="AB136" s="50">
        <f t="shared" si="48"/>
        <v>0.08</v>
      </c>
      <c r="AC136" s="50">
        <f t="shared" si="49"/>
        <v>0.05</v>
      </c>
      <c r="AD136" s="50">
        <f t="shared" si="50"/>
        <v>0.02</v>
      </c>
      <c r="AE136" s="50">
        <f t="shared" si="51"/>
        <v>0.02</v>
      </c>
      <c r="AF136" s="47">
        <f t="shared" si="53"/>
        <v>1</v>
      </c>
      <c r="AG136" s="50">
        <f>IF('Resultado da inspeção'!F136='Resultado da inspeção'!$W$3,0%,Ranking!R136)</f>
        <v>0.02</v>
      </c>
      <c r="AH136" s="50">
        <f>IF('Resultado da inspeção'!G136='Resultado da inspeção'!$W$3,0%,Ranking!S136)</f>
        <v>0.03</v>
      </c>
      <c r="AI136" s="50">
        <f>IF('Resultado da inspeção'!H136='Resultado da inspeção'!$W$3,0%,Ranking!T136)</f>
        <v>0.03</v>
      </c>
      <c r="AJ136" s="50">
        <f>IF('Resultado da inspeção'!I136='Resultado da inspeção'!$W$3,0%,Ranking!U136)</f>
        <v>0.1</v>
      </c>
      <c r="AK136" s="50">
        <f>IF('Resultado da inspeção'!J136='Resultado da inspeção'!$W$3,0%,Ranking!V136)</f>
        <v>0.21</v>
      </c>
      <c r="AL136" s="50">
        <f>IF('Resultado da inspeção'!K136='Resultado da inspeção'!$W$3,0%,Ranking!W136)</f>
        <v>0.05</v>
      </c>
      <c r="AM136" s="50">
        <f>IF('Resultado da inspeção'!L136='Resultado da inspeção'!$W$3,0%,Ranking!X136)</f>
        <v>0.24</v>
      </c>
      <c r="AN136" s="50">
        <f>IF('Resultado da inspeção'!M136='Resultado da inspeção'!$W$3,0%,Ranking!Y136)</f>
        <v>0.05</v>
      </c>
      <c r="AO136" s="50">
        <f>IF('Resultado da inspeção'!N136='Resultado da inspeção'!$W$3,0%,Ranking!Z136)</f>
        <v>0.04</v>
      </c>
      <c r="AP136" s="50">
        <f>IF('Resultado da inspeção'!O136='Resultado da inspeção'!$W$3,0%,Ranking!AA136)</f>
        <v>0.06</v>
      </c>
      <c r="AQ136" s="50">
        <f>IF('Resultado da inspeção'!P136='Resultado da inspeção'!$W$3,0%,Ranking!AB136)</f>
        <v>0.08</v>
      </c>
      <c r="AR136" s="50">
        <f>IF('Resultado da inspeção'!Q136='Resultado da inspeção'!$W$3,0%,Ranking!AC136)</f>
        <v>0.05</v>
      </c>
      <c r="AS136" s="50">
        <f>IF('Resultado da inspeção'!R136='Resultado da inspeção'!$W$3,0%,Ranking!AD136)</f>
        <v>0.02</v>
      </c>
      <c r="AT136" s="50">
        <f>IF('Resultado da inspeção'!S136='Resultado da inspeção'!$W$3,0%,Ranking!AE136)</f>
        <v>0.02</v>
      </c>
      <c r="AU136" s="49">
        <f t="shared" si="54"/>
        <v>1</v>
      </c>
    </row>
    <row r="137" spans="2:47" x14ac:dyDescent="0.25">
      <c r="B137" s="48">
        <f>IF('Resultado da inspeção'!F137='Resultado da inspeção'!$W$4,0%,Ranking!B$5)</f>
        <v>0.02</v>
      </c>
      <c r="C137" s="48">
        <f>IF('Resultado da inspeção'!G137='Resultado da inspeção'!$W$4,0%,Ranking!C$5)</f>
        <v>0.03</v>
      </c>
      <c r="D137" s="48">
        <f>IF('Resultado da inspeção'!H137='Resultado da inspeção'!$W$4,0%,Ranking!D$5)</f>
        <v>0.03</v>
      </c>
      <c r="E137" s="48">
        <f>IF('Resultado da inspeção'!I137='Resultado da inspeção'!$W$4,0%,Ranking!E$5)</f>
        <v>0.1</v>
      </c>
      <c r="F137" s="48">
        <f>IF('Resultado da inspeção'!J137='Resultado da inspeção'!$W$4,0%,Ranking!F$5)</f>
        <v>0.21</v>
      </c>
      <c r="G137" s="48">
        <f>IF('Resultado da inspeção'!K137='Resultado da inspeção'!$W$4,0%,Ranking!G$5)</f>
        <v>0.05</v>
      </c>
      <c r="H137" s="48">
        <f>IF('Resultado da inspeção'!L137='Resultado da inspeção'!$W$4,0%,Ranking!H$5)</f>
        <v>0.24</v>
      </c>
      <c r="I137" s="48">
        <f>IF('Resultado da inspeção'!M137='Resultado da inspeção'!$W$4,0%,Ranking!I$5)</f>
        <v>0.05</v>
      </c>
      <c r="J137" s="48">
        <f>IF('Resultado da inspeção'!N137='Resultado da inspeção'!$W$4,0%,Ranking!J$5)</f>
        <v>0.04</v>
      </c>
      <c r="K137" s="48">
        <f>IF('Resultado da inspeção'!O137='Resultado da inspeção'!$W$4,0%,Ranking!K$5)</f>
        <v>0.06</v>
      </c>
      <c r="L137" s="48">
        <f>IF('Resultado da inspeção'!P137='Resultado da inspeção'!$W$4,0%,Ranking!L$5)</f>
        <v>0.08</v>
      </c>
      <c r="M137" s="48">
        <f>IF('Resultado da inspeção'!Q137='Resultado da inspeção'!$W$4,0%,Ranking!M$5)</f>
        <v>0.05</v>
      </c>
      <c r="N137" s="48">
        <f>IF('Resultado da inspeção'!R137='Resultado da inspeção'!$W$4,0%,Ranking!N$5)</f>
        <v>0.02</v>
      </c>
      <c r="O137" s="48">
        <f>IF('Resultado da inspeção'!S137='Resultado da inspeção'!$W$4,0%,Ranking!O$5)</f>
        <v>0.02</v>
      </c>
      <c r="P137" s="47">
        <f t="shared" si="37"/>
        <v>1</v>
      </c>
      <c r="Q137" s="49">
        <f t="shared" si="52"/>
        <v>0</v>
      </c>
      <c r="R137" s="50">
        <f t="shared" si="38"/>
        <v>0.02</v>
      </c>
      <c r="S137" s="50">
        <f t="shared" si="39"/>
        <v>0.03</v>
      </c>
      <c r="T137" s="50">
        <f t="shared" si="40"/>
        <v>0.03</v>
      </c>
      <c r="U137" s="50">
        <f t="shared" si="41"/>
        <v>0.1</v>
      </c>
      <c r="V137" s="50">
        <f t="shared" si="42"/>
        <v>0.21</v>
      </c>
      <c r="W137" s="50">
        <f t="shared" si="43"/>
        <v>0.05</v>
      </c>
      <c r="X137" s="50">
        <f t="shared" si="44"/>
        <v>0.24</v>
      </c>
      <c r="Y137" s="50">
        <f t="shared" si="45"/>
        <v>0.05</v>
      </c>
      <c r="Z137" s="50">
        <f t="shared" si="46"/>
        <v>0.04</v>
      </c>
      <c r="AA137" s="50">
        <f t="shared" si="47"/>
        <v>0.06</v>
      </c>
      <c r="AB137" s="50">
        <f t="shared" si="48"/>
        <v>0.08</v>
      </c>
      <c r="AC137" s="50">
        <f t="shared" si="49"/>
        <v>0.05</v>
      </c>
      <c r="AD137" s="50">
        <f t="shared" si="50"/>
        <v>0.02</v>
      </c>
      <c r="AE137" s="50">
        <f t="shared" si="51"/>
        <v>0.02</v>
      </c>
      <c r="AF137" s="47">
        <f t="shared" si="53"/>
        <v>1</v>
      </c>
      <c r="AG137" s="50">
        <f>IF('Resultado da inspeção'!F137='Resultado da inspeção'!$W$3,0%,Ranking!R137)</f>
        <v>0.02</v>
      </c>
      <c r="AH137" s="50">
        <f>IF('Resultado da inspeção'!G137='Resultado da inspeção'!$W$3,0%,Ranking!S137)</f>
        <v>0.03</v>
      </c>
      <c r="AI137" s="50">
        <f>IF('Resultado da inspeção'!H137='Resultado da inspeção'!$W$3,0%,Ranking!T137)</f>
        <v>0.03</v>
      </c>
      <c r="AJ137" s="50">
        <f>IF('Resultado da inspeção'!I137='Resultado da inspeção'!$W$3,0%,Ranking!U137)</f>
        <v>0.1</v>
      </c>
      <c r="AK137" s="50">
        <f>IF('Resultado da inspeção'!J137='Resultado da inspeção'!$W$3,0%,Ranking!V137)</f>
        <v>0.21</v>
      </c>
      <c r="AL137" s="50">
        <f>IF('Resultado da inspeção'!K137='Resultado da inspeção'!$W$3,0%,Ranking!W137)</f>
        <v>0.05</v>
      </c>
      <c r="AM137" s="50">
        <f>IF('Resultado da inspeção'!L137='Resultado da inspeção'!$W$3,0%,Ranking!X137)</f>
        <v>0.24</v>
      </c>
      <c r="AN137" s="50">
        <f>IF('Resultado da inspeção'!M137='Resultado da inspeção'!$W$3,0%,Ranking!Y137)</f>
        <v>0.05</v>
      </c>
      <c r="AO137" s="50">
        <f>IF('Resultado da inspeção'!N137='Resultado da inspeção'!$W$3,0%,Ranking!Z137)</f>
        <v>0.04</v>
      </c>
      <c r="AP137" s="50">
        <f>IF('Resultado da inspeção'!O137='Resultado da inspeção'!$W$3,0%,Ranking!AA137)</f>
        <v>0.06</v>
      </c>
      <c r="AQ137" s="50">
        <f>IF('Resultado da inspeção'!P137='Resultado da inspeção'!$W$3,0%,Ranking!AB137)</f>
        <v>0.08</v>
      </c>
      <c r="AR137" s="50">
        <f>IF('Resultado da inspeção'!Q137='Resultado da inspeção'!$W$3,0%,Ranking!AC137)</f>
        <v>0.05</v>
      </c>
      <c r="AS137" s="50">
        <f>IF('Resultado da inspeção'!R137='Resultado da inspeção'!$W$3,0%,Ranking!AD137)</f>
        <v>0.02</v>
      </c>
      <c r="AT137" s="50">
        <f>IF('Resultado da inspeção'!S137='Resultado da inspeção'!$W$3,0%,Ranking!AE137)</f>
        <v>0.02</v>
      </c>
      <c r="AU137" s="49">
        <f t="shared" si="54"/>
        <v>1</v>
      </c>
    </row>
    <row r="138" spans="2:47" x14ac:dyDescent="0.25">
      <c r="B138" s="48">
        <f>IF('Resultado da inspeção'!F138='Resultado da inspeção'!$W$4,0%,Ranking!B$5)</f>
        <v>0.02</v>
      </c>
      <c r="C138" s="48">
        <f>IF('Resultado da inspeção'!G138='Resultado da inspeção'!$W$4,0%,Ranking!C$5)</f>
        <v>0.03</v>
      </c>
      <c r="D138" s="48">
        <f>IF('Resultado da inspeção'!H138='Resultado da inspeção'!$W$4,0%,Ranking!D$5)</f>
        <v>0.03</v>
      </c>
      <c r="E138" s="48">
        <f>IF('Resultado da inspeção'!I138='Resultado da inspeção'!$W$4,0%,Ranking!E$5)</f>
        <v>0.1</v>
      </c>
      <c r="F138" s="48">
        <f>IF('Resultado da inspeção'!J138='Resultado da inspeção'!$W$4,0%,Ranking!F$5)</f>
        <v>0.21</v>
      </c>
      <c r="G138" s="48">
        <f>IF('Resultado da inspeção'!K138='Resultado da inspeção'!$W$4,0%,Ranking!G$5)</f>
        <v>0.05</v>
      </c>
      <c r="H138" s="48">
        <f>IF('Resultado da inspeção'!L138='Resultado da inspeção'!$W$4,0%,Ranking!H$5)</f>
        <v>0.24</v>
      </c>
      <c r="I138" s="48">
        <f>IF('Resultado da inspeção'!M138='Resultado da inspeção'!$W$4,0%,Ranking!I$5)</f>
        <v>0.05</v>
      </c>
      <c r="J138" s="48">
        <f>IF('Resultado da inspeção'!N138='Resultado da inspeção'!$W$4,0%,Ranking!J$5)</f>
        <v>0.04</v>
      </c>
      <c r="K138" s="48">
        <f>IF('Resultado da inspeção'!O138='Resultado da inspeção'!$W$4,0%,Ranking!K$5)</f>
        <v>0.06</v>
      </c>
      <c r="L138" s="48">
        <f>IF('Resultado da inspeção'!P138='Resultado da inspeção'!$W$4,0%,Ranking!L$5)</f>
        <v>0.08</v>
      </c>
      <c r="M138" s="48">
        <f>IF('Resultado da inspeção'!Q138='Resultado da inspeção'!$W$4,0%,Ranking!M$5)</f>
        <v>0.05</v>
      </c>
      <c r="N138" s="48">
        <f>IF('Resultado da inspeção'!R138='Resultado da inspeção'!$W$4,0%,Ranking!N$5)</f>
        <v>0.02</v>
      </c>
      <c r="O138" s="48">
        <f>IF('Resultado da inspeção'!S138='Resultado da inspeção'!$W$4,0%,Ranking!O$5)</f>
        <v>0.02</v>
      </c>
      <c r="P138" s="47">
        <f t="shared" si="37"/>
        <v>1</v>
      </c>
      <c r="Q138" s="49">
        <f t="shared" si="52"/>
        <v>0</v>
      </c>
      <c r="R138" s="50">
        <f t="shared" si="38"/>
        <v>0.02</v>
      </c>
      <c r="S138" s="50">
        <f t="shared" si="39"/>
        <v>0.03</v>
      </c>
      <c r="T138" s="50">
        <f t="shared" si="40"/>
        <v>0.03</v>
      </c>
      <c r="U138" s="50">
        <f t="shared" si="41"/>
        <v>0.1</v>
      </c>
      <c r="V138" s="50">
        <f t="shared" si="42"/>
        <v>0.21</v>
      </c>
      <c r="W138" s="50">
        <f t="shared" si="43"/>
        <v>0.05</v>
      </c>
      <c r="X138" s="50">
        <f t="shared" si="44"/>
        <v>0.24</v>
      </c>
      <c r="Y138" s="50">
        <f t="shared" si="45"/>
        <v>0.05</v>
      </c>
      <c r="Z138" s="50">
        <f t="shared" si="46"/>
        <v>0.04</v>
      </c>
      <c r="AA138" s="50">
        <f t="shared" si="47"/>
        <v>0.06</v>
      </c>
      <c r="AB138" s="50">
        <f t="shared" si="48"/>
        <v>0.08</v>
      </c>
      <c r="AC138" s="50">
        <f t="shared" si="49"/>
        <v>0.05</v>
      </c>
      <c r="AD138" s="50">
        <f t="shared" si="50"/>
        <v>0.02</v>
      </c>
      <c r="AE138" s="50">
        <f t="shared" si="51"/>
        <v>0.02</v>
      </c>
      <c r="AF138" s="47">
        <f t="shared" si="53"/>
        <v>1</v>
      </c>
      <c r="AG138" s="50">
        <f>IF('Resultado da inspeção'!F138='Resultado da inspeção'!$W$3,0%,Ranking!R138)</f>
        <v>0.02</v>
      </c>
      <c r="AH138" s="50">
        <f>IF('Resultado da inspeção'!G138='Resultado da inspeção'!$W$3,0%,Ranking!S138)</f>
        <v>0.03</v>
      </c>
      <c r="AI138" s="50">
        <f>IF('Resultado da inspeção'!H138='Resultado da inspeção'!$W$3,0%,Ranking!T138)</f>
        <v>0.03</v>
      </c>
      <c r="AJ138" s="50">
        <f>IF('Resultado da inspeção'!I138='Resultado da inspeção'!$W$3,0%,Ranking!U138)</f>
        <v>0.1</v>
      </c>
      <c r="AK138" s="50">
        <f>IF('Resultado da inspeção'!J138='Resultado da inspeção'!$W$3,0%,Ranking!V138)</f>
        <v>0.21</v>
      </c>
      <c r="AL138" s="50">
        <f>IF('Resultado da inspeção'!K138='Resultado da inspeção'!$W$3,0%,Ranking!W138)</f>
        <v>0.05</v>
      </c>
      <c r="AM138" s="50">
        <f>IF('Resultado da inspeção'!L138='Resultado da inspeção'!$W$3,0%,Ranking!X138)</f>
        <v>0.24</v>
      </c>
      <c r="AN138" s="50">
        <f>IF('Resultado da inspeção'!M138='Resultado da inspeção'!$W$3,0%,Ranking!Y138)</f>
        <v>0.05</v>
      </c>
      <c r="AO138" s="50">
        <f>IF('Resultado da inspeção'!N138='Resultado da inspeção'!$W$3,0%,Ranking!Z138)</f>
        <v>0.04</v>
      </c>
      <c r="AP138" s="50">
        <f>IF('Resultado da inspeção'!O138='Resultado da inspeção'!$W$3,0%,Ranking!AA138)</f>
        <v>0.06</v>
      </c>
      <c r="AQ138" s="50">
        <f>IF('Resultado da inspeção'!P138='Resultado da inspeção'!$W$3,0%,Ranking!AB138)</f>
        <v>0.08</v>
      </c>
      <c r="AR138" s="50">
        <f>IF('Resultado da inspeção'!Q138='Resultado da inspeção'!$W$3,0%,Ranking!AC138)</f>
        <v>0.05</v>
      </c>
      <c r="AS138" s="50">
        <f>IF('Resultado da inspeção'!R138='Resultado da inspeção'!$W$3,0%,Ranking!AD138)</f>
        <v>0.02</v>
      </c>
      <c r="AT138" s="50">
        <f>IF('Resultado da inspeção'!S138='Resultado da inspeção'!$W$3,0%,Ranking!AE138)</f>
        <v>0.02</v>
      </c>
      <c r="AU138" s="49">
        <f t="shared" si="54"/>
        <v>1</v>
      </c>
    </row>
    <row r="139" spans="2:47" x14ac:dyDescent="0.25">
      <c r="B139" s="48">
        <f>IF('Resultado da inspeção'!F139='Resultado da inspeção'!$W$4,0%,Ranking!B$5)</f>
        <v>0.02</v>
      </c>
      <c r="C139" s="48">
        <f>IF('Resultado da inspeção'!G139='Resultado da inspeção'!$W$4,0%,Ranking!C$5)</f>
        <v>0.03</v>
      </c>
      <c r="D139" s="48">
        <f>IF('Resultado da inspeção'!H139='Resultado da inspeção'!$W$4,0%,Ranking!D$5)</f>
        <v>0.03</v>
      </c>
      <c r="E139" s="48">
        <f>IF('Resultado da inspeção'!I139='Resultado da inspeção'!$W$4,0%,Ranking!E$5)</f>
        <v>0.1</v>
      </c>
      <c r="F139" s="48">
        <f>IF('Resultado da inspeção'!J139='Resultado da inspeção'!$W$4,0%,Ranking!F$5)</f>
        <v>0.21</v>
      </c>
      <c r="G139" s="48">
        <f>IF('Resultado da inspeção'!K139='Resultado da inspeção'!$W$4,0%,Ranking!G$5)</f>
        <v>0.05</v>
      </c>
      <c r="H139" s="48">
        <f>IF('Resultado da inspeção'!L139='Resultado da inspeção'!$W$4,0%,Ranking!H$5)</f>
        <v>0.24</v>
      </c>
      <c r="I139" s="48">
        <f>IF('Resultado da inspeção'!M139='Resultado da inspeção'!$W$4,0%,Ranking!I$5)</f>
        <v>0.05</v>
      </c>
      <c r="J139" s="48">
        <f>IF('Resultado da inspeção'!N139='Resultado da inspeção'!$W$4,0%,Ranking!J$5)</f>
        <v>0.04</v>
      </c>
      <c r="K139" s="48">
        <f>IF('Resultado da inspeção'!O139='Resultado da inspeção'!$W$4,0%,Ranking!K$5)</f>
        <v>0.06</v>
      </c>
      <c r="L139" s="48">
        <f>IF('Resultado da inspeção'!P139='Resultado da inspeção'!$W$4,0%,Ranking!L$5)</f>
        <v>0.08</v>
      </c>
      <c r="M139" s="48">
        <f>IF('Resultado da inspeção'!Q139='Resultado da inspeção'!$W$4,0%,Ranking!M$5)</f>
        <v>0.05</v>
      </c>
      <c r="N139" s="48">
        <f>IF('Resultado da inspeção'!R139='Resultado da inspeção'!$W$4,0%,Ranking!N$5)</f>
        <v>0.02</v>
      </c>
      <c r="O139" s="48">
        <f>IF('Resultado da inspeção'!S139='Resultado da inspeção'!$W$4,0%,Ranking!O$5)</f>
        <v>0.02</v>
      </c>
      <c r="P139" s="47">
        <f t="shared" si="37"/>
        <v>1</v>
      </c>
      <c r="Q139" s="49">
        <f t="shared" si="52"/>
        <v>0</v>
      </c>
      <c r="R139" s="50">
        <f t="shared" si="38"/>
        <v>0.02</v>
      </c>
      <c r="S139" s="50">
        <f t="shared" si="39"/>
        <v>0.03</v>
      </c>
      <c r="T139" s="50">
        <f t="shared" si="40"/>
        <v>0.03</v>
      </c>
      <c r="U139" s="50">
        <f t="shared" si="41"/>
        <v>0.1</v>
      </c>
      <c r="V139" s="50">
        <f t="shared" si="42"/>
        <v>0.21</v>
      </c>
      <c r="W139" s="50">
        <f t="shared" si="43"/>
        <v>0.05</v>
      </c>
      <c r="X139" s="50">
        <f t="shared" si="44"/>
        <v>0.24</v>
      </c>
      <c r="Y139" s="50">
        <f t="shared" si="45"/>
        <v>0.05</v>
      </c>
      <c r="Z139" s="50">
        <f t="shared" si="46"/>
        <v>0.04</v>
      </c>
      <c r="AA139" s="50">
        <f t="shared" si="47"/>
        <v>0.06</v>
      </c>
      <c r="AB139" s="50">
        <f t="shared" si="48"/>
        <v>0.08</v>
      </c>
      <c r="AC139" s="50">
        <f t="shared" si="49"/>
        <v>0.05</v>
      </c>
      <c r="AD139" s="50">
        <f t="shared" si="50"/>
        <v>0.02</v>
      </c>
      <c r="AE139" s="50">
        <f t="shared" si="51"/>
        <v>0.02</v>
      </c>
      <c r="AF139" s="47">
        <f t="shared" si="53"/>
        <v>1</v>
      </c>
      <c r="AG139" s="50">
        <f>IF('Resultado da inspeção'!F139='Resultado da inspeção'!$W$3,0%,Ranking!R139)</f>
        <v>0.02</v>
      </c>
      <c r="AH139" s="50">
        <f>IF('Resultado da inspeção'!G139='Resultado da inspeção'!$W$3,0%,Ranking!S139)</f>
        <v>0.03</v>
      </c>
      <c r="AI139" s="50">
        <f>IF('Resultado da inspeção'!H139='Resultado da inspeção'!$W$3,0%,Ranking!T139)</f>
        <v>0.03</v>
      </c>
      <c r="AJ139" s="50">
        <f>IF('Resultado da inspeção'!I139='Resultado da inspeção'!$W$3,0%,Ranking!U139)</f>
        <v>0.1</v>
      </c>
      <c r="AK139" s="50">
        <f>IF('Resultado da inspeção'!J139='Resultado da inspeção'!$W$3,0%,Ranking!V139)</f>
        <v>0.21</v>
      </c>
      <c r="AL139" s="50">
        <f>IF('Resultado da inspeção'!K139='Resultado da inspeção'!$W$3,0%,Ranking!W139)</f>
        <v>0.05</v>
      </c>
      <c r="AM139" s="50">
        <f>IF('Resultado da inspeção'!L139='Resultado da inspeção'!$W$3,0%,Ranking!X139)</f>
        <v>0.24</v>
      </c>
      <c r="AN139" s="50">
        <f>IF('Resultado da inspeção'!M139='Resultado da inspeção'!$W$3,0%,Ranking!Y139)</f>
        <v>0.05</v>
      </c>
      <c r="AO139" s="50">
        <f>IF('Resultado da inspeção'!N139='Resultado da inspeção'!$W$3,0%,Ranking!Z139)</f>
        <v>0.04</v>
      </c>
      <c r="AP139" s="50">
        <f>IF('Resultado da inspeção'!O139='Resultado da inspeção'!$W$3,0%,Ranking!AA139)</f>
        <v>0.06</v>
      </c>
      <c r="AQ139" s="50">
        <f>IF('Resultado da inspeção'!P139='Resultado da inspeção'!$W$3,0%,Ranking!AB139)</f>
        <v>0.08</v>
      </c>
      <c r="AR139" s="50">
        <f>IF('Resultado da inspeção'!Q139='Resultado da inspeção'!$W$3,0%,Ranking!AC139)</f>
        <v>0.05</v>
      </c>
      <c r="AS139" s="50">
        <f>IF('Resultado da inspeção'!R139='Resultado da inspeção'!$W$3,0%,Ranking!AD139)</f>
        <v>0.02</v>
      </c>
      <c r="AT139" s="50">
        <f>IF('Resultado da inspeção'!S139='Resultado da inspeção'!$W$3,0%,Ranking!AE139)</f>
        <v>0.02</v>
      </c>
      <c r="AU139" s="49">
        <f t="shared" si="54"/>
        <v>1</v>
      </c>
    </row>
    <row r="140" spans="2:47" x14ac:dyDescent="0.25">
      <c r="B140" s="48">
        <f>IF('Resultado da inspeção'!F140='Resultado da inspeção'!$W$4,0%,Ranking!B$5)</f>
        <v>0.02</v>
      </c>
      <c r="C140" s="48">
        <f>IF('Resultado da inspeção'!G140='Resultado da inspeção'!$W$4,0%,Ranking!C$5)</f>
        <v>0.03</v>
      </c>
      <c r="D140" s="48">
        <f>IF('Resultado da inspeção'!H140='Resultado da inspeção'!$W$4,0%,Ranking!D$5)</f>
        <v>0.03</v>
      </c>
      <c r="E140" s="48">
        <f>IF('Resultado da inspeção'!I140='Resultado da inspeção'!$W$4,0%,Ranking!E$5)</f>
        <v>0.1</v>
      </c>
      <c r="F140" s="48">
        <f>IF('Resultado da inspeção'!J140='Resultado da inspeção'!$W$4,0%,Ranking!F$5)</f>
        <v>0.21</v>
      </c>
      <c r="G140" s="48">
        <f>IF('Resultado da inspeção'!K140='Resultado da inspeção'!$W$4,0%,Ranking!G$5)</f>
        <v>0.05</v>
      </c>
      <c r="H140" s="48">
        <f>IF('Resultado da inspeção'!L140='Resultado da inspeção'!$W$4,0%,Ranking!H$5)</f>
        <v>0.24</v>
      </c>
      <c r="I140" s="48">
        <f>IF('Resultado da inspeção'!M140='Resultado da inspeção'!$W$4,0%,Ranking!I$5)</f>
        <v>0.05</v>
      </c>
      <c r="J140" s="48">
        <f>IF('Resultado da inspeção'!N140='Resultado da inspeção'!$W$4,0%,Ranking!J$5)</f>
        <v>0.04</v>
      </c>
      <c r="K140" s="48">
        <f>IF('Resultado da inspeção'!O140='Resultado da inspeção'!$W$4,0%,Ranking!K$5)</f>
        <v>0.06</v>
      </c>
      <c r="L140" s="48">
        <f>IF('Resultado da inspeção'!P140='Resultado da inspeção'!$W$4,0%,Ranking!L$5)</f>
        <v>0.08</v>
      </c>
      <c r="M140" s="48">
        <f>IF('Resultado da inspeção'!Q140='Resultado da inspeção'!$W$4,0%,Ranking!M$5)</f>
        <v>0.05</v>
      </c>
      <c r="N140" s="48">
        <f>IF('Resultado da inspeção'!R140='Resultado da inspeção'!$W$4,0%,Ranking!N$5)</f>
        <v>0.02</v>
      </c>
      <c r="O140" s="48">
        <f>IF('Resultado da inspeção'!S140='Resultado da inspeção'!$W$4,0%,Ranking!O$5)</f>
        <v>0.02</v>
      </c>
      <c r="P140" s="47">
        <f t="shared" si="37"/>
        <v>1</v>
      </c>
      <c r="Q140" s="49">
        <f t="shared" si="52"/>
        <v>0</v>
      </c>
      <c r="R140" s="50">
        <f t="shared" si="38"/>
        <v>0.02</v>
      </c>
      <c r="S140" s="50">
        <f t="shared" si="39"/>
        <v>0.03</v>
      </c>
      <c r="T140" s="50">
        <f t="shared" si="40"/>
        <v>0.03</v>
      </c>
      <c r="U140" s="50">
        <f t="shared" si="41"/>
        <v>0.1</v>
      </c>
      <c r="V140" s="50">
        <f t="shared" si="42"/>
        <v>0.21</v>
      </c>
      <c r="W140" s="50">
        <f t="shared" si="43"/>
        <v>0.05</v>
      </c>
      <c r="X140" s="50">
        <f t="shared" si="44"/>
        <v>0.24</v>
      </c>
      <c r="Y140" s="50">
        <f t="shared" si="45"/>
        <v>0.05</v>
      </c>
      <c r="Z140" s="50">
        <f t="shared" si="46"/>
        <v>0.04</v>
      </c>
      <c r="AA140" s="50">
        <f t="shared" si="47"/>
        <v>0.06</v>
      </c>
      <c r="AB140" s="50">
        <f t="shared" si="48"/>
        <v>0.08</v>
      </c>
      <c r="AC140" s="50">
        <f t="shared" si="49"/>
        <v>0.05</v>
      </c>
      <c r="AD140" s="50">
        <f t="shared" si="50"/>
        <v>0.02</v>
      </c>
      <c r="AE140" s="50">
        <f t="shared" si="51"/>
        <v>0.02</v>
      </c>
      <c r="AF140" s="47">
        <f t="shared" si="53"/>
        <v>1</v>
      </c>
      <c r="AG140" s="50">
        <f>IF('Resultado da inspeção'!F140='Resultado da inspeção'!$W$3,0%,Ranking!R140)</f>
        <v>0.02</v>
      </c>
      <c r="AH140" s="50">
        <f>IF('Resultado da inspeção'!G140='Resultado da inspeção'!$W$3,0%,Ranking!S140)</f>
        <v>0.03</v>
      </c>
      <c r="AI140" s="50">
        <f>IF('Resultado da inspeção'!H140='Resultado da inspeção'!$W$3,0%,Ranking!T140)</f>
        <v>0.03</v>
      </c>
      <c r="AJ140" s="50">
        <f>IF('Resultado da inspeção'!I140='Resultado da inspeção'!$W$3,0%,Ranking!U140)</f>
        <v>0.1</v>
      </c>
      <c r="AK140" s="50">
        <f>IF('Resultado da inspeção'!J140='Resultado da inspeção'!$W$3,0%,Ranking!V140)</f>
        <v>0.21</v>
      </c>
      <c r="AL140" s="50">
        <f>IF('Resultado da inspeção'!K140='Resultado da inspeção'!$W$3,0%,Ranking!W140)</f>
        <v>0.05</v>
      </c>
      <c r="AM140" s="50">
        <f>IF('Resultado da inspeção'!L140='Resultado da inspeção'!$W$3,0%,Ranking!X140)</f>
        <v>0.24</v>
      </c>
      <c r="AN140" s="50">
        <f>IF('Resultado da inspeção'!M140='Resultado da inspeção'!$W$3,0%,Ranking!Y140)</f>
        <v>0.05</v>
      </c>
      <c r="AO140" s="50">
        <f>IF('Resultado da inspeção'!N140='Resultado da inspeção'!$W$3,0%,Ranking!Z140)</f>
        <v>0.04</v>
      </c>
      <c r="AP140" s="50">
        <f>IF('Resultado da inspeção'!O140='Resultado da inspeção'!$W$3,0%,Ranking!AA140)</f>
        <v>0.06</v>
      </c>
      <c r="AQ140" s="50">
        <f>IF('Resultado da inspeção'!P140='Resultado da inspeção'!$W$3,0%,Ranking!AB140)</f>
        <v>0.08</v>
      </c>
      <c r="AR140" s="50">
        <f>IF('Resultado da inspeção'!Q140='Resultado da inspeção'!$W$3,0%,Ranking!AC140)</f>
        <v>0.05</v>
      </c>
      <c r="AS140" s="50">
        <f>IF('Resultado da inspeção'!R140='Resultado da inspeção'!$W$3,0%,Ranking!AD140)</f>
        <v>0.02</v>
      </c>
      <c r="AT140" s="50">
        <f>IF('Resultado da inspeção'!S140='Resultado da inspeção'!$W$3,0%,Ranking!AE140)</f>
        <v>0.02</v>
      </c>
      <c r="AU140" s="49">
        <f t="shared" si="54"/>
        <v>1</v>
      </c>
    </row>
    <row r="141" spans="2:47" x14ac:dyDescent="0.25">
      <c r="B141" s="48">
        <f>IF('Resultado da inspeção'!F141='Resultado da inspeção'!$W$4,0%,Ranking!B$5)</f>
        <v>0.02</v>
      </c>
      <c r="C141" s="48">
        <f>IF('Resultado da inspeção'!G141='Resultado da inspeção'!$W$4,0%,Ranking!C$5)</f>
        <v>0.03</v>
      </c>
      <c r="D141" s="48">
        <f>IF('Resultado da inspeção'!H141='Resultado da inspeção'!$W$4,0%,Ranking!D$5)</f>
        <v>0.03</v>
      </c>
      <c r="E141" s="48">
        <f>IF('Resultado da inspeção'!I141='Resultado da inspeção'!$W$4,0%,Ranking!E$5)</f>
        <v>0.1</v>
      </c>
      <c r="F141" s="48">
        <f>IF('Resultado da inspeção'!J141='Resultado da inspeção'!$W$4,0%,Ranking!F$5)</f>
        <v>0.21</v>
      </c>
      <c r="G141" s="48">
        <f>IF('Resultado da inspeção'!K141='Resultado da inspeção'!$W$4,0%,Ranking!G$5)</f>
        <v>0.05</v>
      </c>
      <c r="H141" s="48">
        <f>IF('Resultado da inspeção'!L141='Resultado da inspeção'!$W$4,0%,Ranking!H$5)</f>
        <v>0.24</v>
      </c>
      <c r="I141" s="48">
        <f>IF('Resultado da inspeção'!M141='Resultado da inspeção'!$W$4,0%,Ranking!I$5)</f>
        <v>0.05</v>
      </c>
      <c r="J141" s="48">
        <f>IF('Resultado da inspeção'!N141='Resultado da inspeção'!$W$4,0%,Ranking!J$5)</f>
        <v>0.04</v>
      </c>
      <c r="K141" s="48">
        <f>IF('Resultado da inspeção'!O141='Resultado da inspeção'!$W$4,0%,Ranking!K$5)</f>
        <v>0.06</v>
      </c>
      <c r="L141" s="48">
        <f>IF('Resultado da inspeção'!P141='Resultado da inspeção'!$W$4,0%,Ranking!L$5)</f>
        <v>0.08</v>
      </c>
      <c r="M141" s="48">
        <f>IF('Resultado da inspeção'!Q141='Resultado da inspeção'!$W$4,0%,Ranking!M$5)</f>
        <v>0.05</v>
      </c>
      <c r="N141" s="48">
        <f>IF('Resultado da inspeção'!R141='Resultado da inspeção'!$W$4,0%,Ranking!N$5)</f>
        <v>0.02</v>
      </c>
      <c r="O141" s="48">
        <f>IF('Resultado da inspeção'!S141='Resultado da inspeção'!$W$4,0%,Ranking!O$5)</f>
        <v>0.02</v>
      </c>
      <c r="P141" s="47">
        <f t="shared" si="37"/>
        <v>1</v>
      </c>
      <c r="Q141" s="49">
        <f t="shared" si="52"/>
        <v>0</v>
      </c>
      <c r="R141" s="50">
        <f t="shared" si="38"/>
        <v>0.02</v>
      </c>
      <c r="S141" s="50">
        <f t="shared" si="39"/>
        <v>0.03</v>
      </c>
      <c r="T141" s="50">
        <f t="shared" si="40"/>
        <v>0.03</v>
      </c>
      <c r="U141" s="50">
        <f t="shared" si="41"/>
        <v>0.1</v>
      </c>
      <c r="V141" s="50">
        <f t="shared" si="42"/>
        <v>0.21</v>
      </c>
      <c r="W141" s="50">
        <f t="shared" si="43"/>
        <v>0.05</v>
      </c>
      <c r="X141" s="50">
        <f t="shared" si="44"/>
        <v>0.24</v>
      </c>
      <c r="Y141" s="50">
        <f t="shared" si="45"/>
        <v>0.05</v>
      </c>
      <c r="Z141" s="50">
        <f t="shared" si="46"/>
        <v>0.04</v>
      </c>
      <c r="AA141" s="50">
        <f t="shared" si="47"/>
        <v>0.06</v>
      </c>
      <c r="AB141" s="50">
        <f t="shared" si="48"/>
        <v>0.08</v>
      </c>
      <c r="AC141" s="50">
        <f t="shared" si="49"/>
        <v>0.05</v>
      </c>
      <c r="AD141" s="50">
        <f t="shared" si="50"/>
        <v>0.02</v>
      </c>
      <c r="AE141" s="50">
        <f t="shared" si="51"/>
        <v>0.02</v>
      </c>
      <c r="AF141" s="47">
        <f t="shared" si="53"/>
        <v>1</v>
      </c>
      <c r="AG141" s="50">
        <f>IF('Resultado da inspeção'!F141='Resultado da inspeção'!$W$3,0%,Ranking!R141)</f>
        <v>0.02</v>
      </c>
      <c r="AH141" s="50">
        <f>IF('Resultado da inspeção'!G141='Resultado da inspeção'!$W$3,0%,Ranking!S141)</f>
        <v>0.03</v>
      </c>
      <c r="AI141" s="50">
        <f>IF('Resultado da inspeção'!H141='Resultado da inspeção'!$W$3,0%,Ranking!T141)</f>
        <v>0.03</v>
      </c>
      <c r="AJ141" s="50">
        <f>IF('Resultado da inspeção'!I141='Resultado da inspeção'!$W$3,0%,Ranking!U141)</f>
        <v>0.1</v>
      </c>
      <c r="AK141" s="50">
        <f>IF('Resultado da inspeção'!J141='Resultado da inspeção'!$W$3,0%,Ranking!V141)</f>
        <v>0.21</v>
      </c>
      <c r="AL141" s="50">
        <f>IF('Resultado da inspeção'!K141='Resultado da inspeção'!$W$3,0%,Ranking!W141)</f>
        <v>0.05</v>
      </c>
      <c r="AM141" s="50">
        <f>IF('Resultado da inspeção'!L141='Resultado da inspeção'!$W$3,0%,Ranking!X141)</f>
        <v>0.24</v>
      </c>
      <c r="AN141" s="50">
        <f>IF('Resultado da inspeção'!M141='Resultado da inspeção'!$W$3,0%,Ranking!Y141)</f>
        <v>0.05</v>
      </c>
      <c r="AO141" s="50">
        <f>IF('Resultado da inspeção'!N141='Resultado da inspeção'!$W$3,0%,Ranking!Z141)</f>
        <v>0.04</v>
      </c>
      <c r="AP141" s="50">
        <f>IF('Resultado da inspeção'!O141='Resultado da inspeção'!$W$3,0%,Ranking!AA141)</f>
        <v>0.06</v>
      </c>
      <c r="AQ141" s="50">
        <f>IF('Resultado da inspeção'!P141='Resultado da inspeção'!$W$3,0%,Ranking!AB141)</f>
        <v>0.08</v>
      </c>
      <c r="AR141" s="50">
        <f>IF('Resultado da inspeção'!Q141='Resultado da inspeção'!$W$3,0%,Ranking!AC141)</f>
        <v>0.05</v>
      </c>
      <c r="AS141" s="50">
        <f>IF('Resultado da inspeção'!R141='Resultado da inspeção'!$W$3,0%,Ranking!AD141)</f>
        <v>0.02</v>
      </c>
      <c r="AT141" s="50">
        <f>IF('Resultado da inspeção'!S141='Resultado da inspeção'!$W$3,0%,Ranking!AE141)</f>
        <v>0.02</v>
      </c>
      <c r="AU141" s="49">
        <f t="shared" si="54"/>
        <v>1</v>
      </c>
    </row>
    <row r="142" spans="2:47" x14ac:dyDescent="0.25">
      <c r="B142" s="48">
        <f>IF('Resultado da inspeção'!F142='Resultado da inspeção'!$W$4,0%,Ranking!B$5)</f>
        <v>0.02</v>
      </c>
      <c r="C142" s="48">
        <f>IF('Resultado da inspeção'!G142='Resultado da inspeção'!$W$4,0%,Ranking!C$5)</f>
        <v>0.03</v>
      </c>
      <c r="D142" s="48">
        <f>IF('Resultado da inspeção'!H142='Resultado da inspeção'!$W$4,0%,Ranking!D$5)</f>
        <v>0.03</v>
      </c>
      <c r="E142" s="48">
        <f>IF('Resultado da inspeção'!I142='Resultado da inspeção'!$W$4,0%,Ranking!E$5)</f>
        <v>0.1</v>
      </c>
      <c r="F142" s="48">
        <f>IF('Resultado da inspeção'!J142='Resultado da inspeção'!$W$4,0%,Ranking!F$5)</f>
        <v>0.21</v>
      </c>
      <c r="G142" s="48">
        <f>IF('Resultado da inspeção'!K142='Resultado da inspeção'!$W$4,0%,Ranking!G$5)</f>
        <v>0.05</v>
      </c>
      <c r="H142" s="48">
        <f>IF('Resultado da inspeção'!L142='Resultado da inspeção'!$W$4,0%,Ranking!H$5)</f>
        <v>0.24</v>
      </c>
      <c r="I142" s="48">
        <f>IF('Resultado da inspeção'!M142='Resultado da inspeção'!$W$4,0%,Ranking!I$5)</f>
        <v>0.05</v>
      </c>
      <c r="J142" s="48">
        <f>IF('Resultado da inspeção'!N142='Resultado da inspeção'!$W$4,0%,Ranking!J$5)</f>
        <v>0.04</v>
      </c>
      <c r="K142" s="48">
        <f>IF('Resultado da inspeção'!O142='Resultado da inspeção'!$W$4,0%,Ranking!K$5)</f>
        <v>0.06</v>
      </c>
      <c r="L142" s="48">
        <f>IF('Resultado da inspeção'!P142='Resultado da inspeção'!$W$4,0%,Ranking!L$5)</f>
        <v>0.08</v>
      </c>
      <c r="M142" s="48">
        <f>IF('Resultado da inspeção'!Q142='Resultado da inspeção'!$W$4,0%,Ranking!M$5)</f>
        <v>0.05</v>
      </c>
      <c r="N142" s="48">
        <f>IF('Resultado da inspeção'!R142='Resultado da inspeção'!$W$4,0%,Ranking!N$5)</f>
        <v>0.02</v>
      </c>
      <c r="O142" s="48">
        <f>IF('Resultado da inspeção'!S142='Resultado da inspeção'!$W$4,0%,Ranking!O$5)</f>
        <v>0.02</v>
      </c>
      <c r="P142" s="47">
        <f t="shared" si="37"/>
        <v>1</v>
      </c>
      <c r="Q142" s="49">
        <f t="shared" si="52"/>
        <v>0</v>
      </c>
      <c r="R142" s="50">
        <f t="shared" si="38"/>
        <v>0.02</v>
      </c>
      <c r="S142" s="50">
        <f t="shared" si="39"/>
        <v>0.03</v>
      </c>
      <c r="T142" s="50">
        <f t="shared" si="40"/>
        <v>0.03</v>
      </c>
      <c r="U142" s="50">
        <f t="shared" si="41"/>
        <v>0.1</v>
      </c>
      <c r="V142" s="50">
        <f t="shared" si="42"/>
        <v>0.21</v>
      </c>
      <c r="W142" s="50">
        <f t="shared" si="43"/>
        <v>0.05</v>
      </c>
      <c r="X142" s="50">
        <f t="shared" si="44"/>
        <v>0.24</v>
      </c>
      <c r="Y142" s="50">
        <f t="shared" si="45"/>
        <v>0.05</v>
      </c>
      <c r="Z142" s="50">
        <f t="shared" si="46"/>
        <v>0.04</v>
      </c>
      <c r="AA142" s="50">
        <f t="shared" si="47"/>
        <v>0.06</v>
      </c>
      <c r="AB142" s="50">
        <f t="shared" si="48"/>
        <v>0.08</v>
      </c>
      <c r="AC142" s="50">
        <f t="shared" si="49"/>
        <v>0.05</v>
      </c>
      <c r="AD142" s="50">
        <f t="shared" si="50"/>
        <v>0.02</v>
      </c>
      <c r="AE142" s="50">
        <f t="shared" si="51"/>
        <v>0.02</v>
      </c>
      <c r="AF142" s="47">
        <f t="shared" si="53"/>
        <v>1</v>
      </c>
      <c r="AG142" s="50">
        <f>IF('Resultado da inspeção'!F142='Resultado da inspeção'!$W$3,0%,Ranking!R142)</f>
        <v>0.02</v>
      </c>
      <c r="AH142" s="50">
        <f>IF('Resultado da inspeção'!G142='Resultado da inspeção'!$W$3,0%,Ranking!S142)</f>
        <v>0.03</v>
      </c>
      <c r="AI142" s="50">
        <f>IF('Resultado da inspeção'!H142='Resultado da inspeção'!$W$3,0%,Ranking!T142)</f>
        <v>0.03</v>
      </c>
      <c r="AJ142" s="50">
        <f>IF('Resultado da inspeção'!I142='Resultado da inspeção'!$W$3,0%,Ranking!U142)</f>
        <v>0.1</v>
      </c>
      <c r="AK142" s="50">
        <f>IF('Resultado da inspeção'!J142='Resultado da inspeção'!$W$3,0%,Ranking!V142)</f>
        <v>0.21</v>
      </c>
      <c r="AL142" s="50">
        <f>IF('Resultado da inspeção'!K142='Resultado da inspeção'!$W$3,0%,Ranking!W142)</f>
        <v>0.05</v>
      </c>
      <c r="AM142" s="50">
        <f>IF('Resultado da inspeção'!L142='Resultado da inspeção'!$W$3,0%,Ranking!X142)</f>
        <v>0.24</v>
      </c>
      <c r="AN142" s="50">
        <f>IF('Resultado da inspeção'!M142='Resultado da inspeção'!$W$3,0%,Ranking!Y142)</f>
        <v>0.05</v>
      </c>
      <c r="AO142" s="50">
        <f>IF('Resultado da inspeção'!N142='Resultado da inspeção'!$W$3,0%,Ranking!Z142)</f>
        <v>0.04</v>
      </c>
      <c r="AP142" s="50">
        <f>IF('Resultado da inspeção'!O142='Resultado da inspeção'!$W$3,0%,Ranking!AA142)</f>
        <v>0.06</v>
      </c>
      <c r="AQ142" s="50">
        <f>IF('Resultado da inspeção'!P142='Resultado da inspeção'!$W$3,0%,Ranking!AB142)</f>
        <v>0.08</v>
      </c>
      <c r="AR142" s="50">
        <f>IF('Resultado da inspeção'!Q142='Resultado da inspeção'!$W$3,0%,Ranking!AC142)</f>
        <v>0.05</v>
      </c>
      <c r="AS142" s="50">
        <f>IF('Resultado da inspeção'!R142='Resultado da inspeção'!$W$3,0%,Ranking!AD142)</f>
        <v>0.02</v>
      </c>
      <c r="AT142" s="50">
        <f>IF('Resultado da inspeção'!S142='Resultado da inspeção'!$W$3,0%,Ranking!AE142)</f>
        <v>0.02</v>
      </c>
      <c r="AU142" s="49">
        <f t="shared" si="54"/>
        <v>1</v>
      </c>
    </row>
    <row r="143" spans="2:47" x14ac:dyDescent="0.25">
      <c r="B143" s="48">
        <f>IF('Resultado da inspeção'!F143='Resultado da inspeção'!$W$4,0%,Ranking!B$5)</f>
        <v>0.02</v>
      </c>
      <c r="C143" s="48">
        <f>IF('Resultado da inspeção'!G143='Resultado da inspeção'!$W$4,0%,Ranking!C$5)</f>
        <v>0.03</v>
      </c>
      <c r="D143" s="48">
        <f>IF('Resultado da inspeção'!H143='Resultado da inspeção'!$W$4,0%,Ranking!D$5)</f>
        <v>0.03</v>
      </c>
      <c r="E143" s="48">
        <f>IF('Resultado da inspeção'!I143='Resultado da inspeção'!$W$4,0%,Ranking!E$5)</f>
        <v>0.1</v>
      </c>
      <c r="F143" s="48">
        <f>IF('Resultado da inspeção'!J143='Resultado da inspeção'!$W$4,0%,Ranking!F$5)</f>
        <v>0.21</v>
      </c>
      <c r="G143" s="48">
        <f>IF('Resultado da inspeção'!K143='Resultado da inspeção'!$W$4,0%,Ranking!G$5)</f>
        <v>0.05</v>
      </c>
      <c r="H143" s="48">
        <f>IF('Resultado da inspeção'!L143='Resultado da inspeção'!$W$4,0%,Ranking!H$5)</f>
        <v>0.24</v>
      </c>
      <c r="I143" s="48">
        <f>IF('Resultado da inspeção'!M143='Resultado da inspeção'!$W$4,0%,Ranking!I$5)</f>
        <v>0.05</v>
      </c>
      <c r="J143" s="48">
        <f>IF('Resultado da inspeção'!N143='Resultado da inspeção'!$W$4,0%,Ranking!J$5)</f>
        <v>0.04</v>
      </c>
      <c r="K143" s="48">
        <f>IF('Resultado da inspeção'!O143='Resultado da inspeção'!$W$4,0%,Ranking!K$5)</f>
        <v>0.06</v>
      </c>
      <c r="L143" s="48">
        <f>IF('Resultado da inspeção'!P143='Resultado da inspeção'!$W$4,0%,Ranking!L$5)</f>
        <v>0.08</v>
      </c>
      <c r="M143" s="48">
        <f>IF('Resultado da inspeção'!Q143='Resultado da inspeção'!$W$4,0%,Ranking!M$5)</f>
        <v>0.05</v>
      </c>
      <c r="N143" s="48">
        <f>IF('Resultado da inspeção'!R143='Resultado da inspeção'!$W$4,0%,Ranking!N$5)</f>
        <v>0.02</v>
      </c>
      <c r="O143" s="48">
        <f>IF('Resultado da inspeção'!S143='Resultado da inspeção'!$W$4,0%,Ranking!O$5)</f>
        <v>0.02</v>
      </c>
      <c r="P143" s="47">
        <f t="shared" si="37"/>
        <v>1</v>
      </c>
      <c r="Q143" s="49">
        <f t="shared" si="52"/>
        <v>0</v>
      </c>
      <c r="R143" s="50">
        <f t="shared" si="38"/>
        <v>0.02</v>
      </c>
      <c r="S143" s="50">
        <f t="shared" si="39"/>
        <v>0.03</v>
      </c>
      <c r="T143" s="50">
        <f t="shared" si="40"/>
        <v>0.03</v>
      </c>
      <c r="U143" s="50">
        <f t="shared" si="41"/>
        <v>0.1</v>
      </c>
      <c r="V143" s="50">
        <f t="shared" si="42"/>
        <v>0.21</v>
      </c>
      <c r="W143" s="50">
        <f t="shared" si="43"/>
        <v>0.05</v>
      </c>
      <c r="X143" s="50">
        <f t="shared" si="44"/>
        <v>0.24</v>
      </c>
      <c r="Y143" s="50">
        <f t="shared" si="45"/>
        <v>0.05</v>
      </c>
      <c r="Z143" s="50">
        <f t="shared" si="46"/>
        <v>0.04</v>
      </c>
      <c r="AA143" s="50">
        <f t="shared" si="47"/>
        <v>0.06</v>
      </c>
      <c r="AB143" s="50">
        <f t="shared" si="48"/>
        <v>0.08</v>
      </c>
      <c r="AC143" s="50">
        <f t="shared" si="49"/>
        <v>0.05</v>
      </c>
      <c r="AD143" s="50">
        <f t="shared" si="50"/>
        <v>0.02</v>
      </c>
      <c r="AE143" s="50">
        <f t="shared" si="51"/>
        <v>0.02</v>
      </c>
      <c r="AF143" s="47">
        <f t="shared" si="53"/>
        <v>1</v>
      </c>
      <c r="AG143" s="50">
        <f>IF('Resultado da inspeção'!F143='Resultado da inspeção'!$W$3,0%,Ranking!R143)</f>
        <v>0.02</v>
      </c>
      <c r="AH143" s="50">
        <f>IF('Resultado da inspeção'!G143='Resultado da inspeção'!$W$3,0%,Ranking!S143)</f>
        <v>0.03</v>
      </c>
      <c r="AI143" s="50">
        <f>IF('Resultado da inspeção'!H143='Resultado da inspeção'!$W$3,0%,Ranking!T143)</f>
        <v>0.03</v>
      </c>
      <c r="AJ143" s="50">
        <f>IF('Resultado da inspeção'!I143='Resultado da inspeção'!$W$3,0%,Ranking!U143)</f>
        <v>0.1</v>
      </c>
      <c r="AK143" s="50">
        <f>IF('Resultado da inspeção'!J143='Resultado da inspeção'!$W$3,0%,Ranking!V143)</f>
        <v>0.21</v>
      </c>
      <c r="AL143" s="50">
        <f>IF('Resultado da inspeção'!K143='Resultado da inspeção'!$W$3,0%,Ranking!W143)</f>
        <v>0.05</v>
      </c>
      <c r="AM143" s="50">
        <f>IF('Resultado da inspeção'!L143='Resultado da inspeção'!$W$3,0%,Ranking!X143)</f>
        <v>0.24</v>
      </c>
      <c r="AN143" s="50">
        <f>IF('Resultado da inspeção'!M143='Resultado da inspeção'!$W$3,0%,Ranking!Y143)</f>
        <v>0.05</v>
      </c>
      <c r="AO143" s="50">
        <f>IF('Resultado da inspeção'!N143='Resultado da inspeção'!$W$3,0%,Ranking!Z143)</f>
        <v>0.04</v>
      </c>
      <c r="AP143" s="50">
        <f>IF('Resultado da inspeção'!O143='Resultado da inspeção'!$W$3,0%,Ranking!AA143)</f>
        <v>0.06</v>
      </c>
      <c r="AQ143" s="50">
        <f>IF('Resultado da inspeção'!P143='Resultado da inspeção'!$W$3,0%,Ranking!AB143)</f>
        <v>0.08</v>
      </c>
      <c r="AR143" s="50">
        <f>IF('Resultado da inspeção'!Q143='Resultado da inspeção'!$W$3,0%,Ranking!AC143)</f>
        <v>0.05</v>
      </c>
      <c r="AS143" s="50">
        <f>IF('Resultado da inspeção'!R143='Resultado da inspeção'!$W$3,0%,Ranking!AD143)</f>
        <v>0.02</v>
      </c>
      <c r="AT143" s="50">
        <f>IF('Resultado da inspeção'!S143='Resultado da inspeção'!$W$3,0%,Ranking!AE143)</f>
        <v>0.02</v>
      </c>
      <c r="AU143" s="49">
        <f t="shared" si="54"/>
        <v>1</v>
      </c>
    </row>
    <row r="144" spans="2:47" x14ac:dyDescent="0.25">
      <c r="B144" s="48">
        <f>IF('Resultado da inspeção'!F144='Resultado da inspeção'!$W$4,0%,Ranking!B$5)</f>
        <v>0.02</v>
      </c>
      <c r="C144" s="48">
        <f>IF('Resultado da inspeção'!G144='Resultado da inspeção'!$W$4,0%,Ranking!C$5)</f>
        <v>0.03</v>
      </c>
      <c r="D144" s="48">
        <f>IF('Resultado da inspeção'!H144='Resultado da inspeção'!$W$4,0%,Ranking!D$5)</f>
        <v>0.03</v>
      </c>
      <c r="E144" s="48">
        <f>IF('Resultado da inspeção'!I144='Resultado da inspeção'!$W$4,0%,Ranking!E$5)</f>
        <v>0.1</v>
      </c>
      <c r="F144" s="48">
        <f>IF('Resultado da inspeção'!J144='Resultado da inspeção'!$W$4,0%,Ranking!F$5)</f>
        <v>0.21</v>
      </c>
      <c r="G144" s="48">
        <f>IF('Resultado da inspeção'!K144='Resultado da inspeção'!$W$4,0%,Ranking!G$5)</f>
        <v>0.05</v>
      </c>
      <c r="H144" s="48">
        <f>IF('Resultado da inspeção'!L144='Resultado da inspeção'!$W$4,0%,Ranking!H$5)</f>
        <v>0.24</v>
      </c>
      <c r="I144" s="48">
        <f>IF('Resultado da inspeção'!M144='Resultado da inspeção'!$W$4,0%,Ranking!I$5)</f>
        <v>0.05</v>
      </c>
      <c r="J144" s="48">
        <f>IF('Resultado da inspeção'!N144='Resultado da inspeção'!$W$4,0%,Ranking!J$5)</f>
        <v>0.04</v>
      </c>
      <c r="K144" s="48">
        <f>IF('Resultado da inspeção'!O144='Resultado da inspeção'!$W$4,0%,Ranking!K$5)</f>
        <v>0.06</v>
      </c>
      <c r="L144" s="48">
        <f>IF('Resultado da inspeção'!P144='Resultado da inspeção'!$W$4,0%,Ranking!L$5)</f>
        <v>0.08</v>
      </c>
      <c r="M144" s="48">
        <f>IF('Resultado da inspeção'!Q144='Resultado da inspeção'!$W$4,0%,Ranking!M$5)</f>
        <v>0.05</v>
      </c>
      <c r="N144" s="48">
        <f>IF('Resultado da inspeção'!R144='Resultado da inspeção'!$W$4,0%,Ranking!N$5)</f>
        <v>0.02</v>
      </c>
      <c r="O144" s="48">
        <f>IF('Resultado da inspeção'!S144='Resultado da inspeção'!$W$4,0%,Ranking!O$5)</f>
        <v>0.02</v>
      </c>
      <c r="P144" s="47">
        <f t="shared" si="37"/>
        <v>1</v>
      </c>
      <c r="Q144" s="49">
        <f t="shared" si="52"/>
        <v>0</v>
      </c>
      <c r="R144" s="50">
        <f t="shared" si="38"/>
        <v>0.02</v>
      </c>
      <c r="S144" s="50">
        <f t="shared" si="39"/>
        <v>0.03</v>
      </c>
      <c r="T144" s="50">
        <f t="shared" si="40"/>
        <v>0.03</v>
      </c>
      <c r="U144" s="50">
        <f t="shared" si="41"/>
        <v>0.1</v>
      </c>
      <c r="V144" s="50">
        <f t="shared" si="42"/>
        <v>0.21</v>
      </c>
      <c r="W144" s="50">
        <f t="shared" si="43"/>
        <v>0.05</v>
      </c>
      <c r="X144" s="50">
        <f t="shared" si="44"/>
        <v>0.24</v>
      </c>
      <c r="Y144" s="50">
        <f t="shared" si="45"/>
        <v>0.05</v>
      </c>
      <c r="Z144" s="50">
        <f t="shared" si="46"/>
        <v>0.04</v>
      </c>
      <c r="AA144" s="50">
        <f t="shared" si="47"/>
        <v>0.06</v>
      </c>
      <c r="AB144" s="50">
        <f t="shared" si="48"/>
        <v>0.08</v>
      </c>
      <c r="AC144" s="50">
        <f t="shared" si="49"/>
        <v>0.05</v>
      </c>
      <c r="AD144" s="50">
        <f t="shared" si="50"/>
        <v>0.02</v>
      </c>
      <c r="AE144" s="50">
        <f t="shared" si="51"/>
        <v>0.02</v>
      </c>
      <c r="AF144" s="47">
        <f t="shared" si="53"/>
        <v>1</v>
      </c>
      <c r="AG144" s="50">
        <f>IF('Resultado da inspeção'!F144='Resultado da inspeção'!$W$3,0%,Ranking!R144)</f>
        <v>0.02</v>
      </c>
      <c r="AH144" s="50">
        <f>IF('Resultado da inspeção'!G144='Resultado da inspeção'!$W$3,0%,Ranking!S144)</f>
        <v>0.03</v>
      </c>
      <c r="AI144" s="50">
        <f>IF('Resultado da inspeção'!H144='Resultado da inspeção'!$W$3,0%,Ranking!T144)</f>
        <v>0.03</v>
      </c>
      <c r="AJ144" s="50">
        <f>IF('Resultado da inspeção'!I144='Resultado da inspeção'!$W$3,0%,Ranking!U144)</f>
        <v>0.1</v>
      </c>
      <c r="AK144" s="50">
        <f>IF('Resultado da inspeção'!J144='Resultado da inspeção'!$W$3,0%,Ranking!V144)</f>
        <v>0.21</v>
      </c>
      <c r="AL144" s="50">
        <f>IF('Resultado da inspeção'!K144='Resultado da inspeção'!$W$3,0%,Ranking!W144)</f>
        <v>0.05</v>
      </c>
      <c r="AM144" s="50">
        <f>IF('Resultado da inspeção'!L144='Resultado da inspeção'!$W$3,0%,Ranking!X144)</f>
        <v>0.24</v>
      </c>
      <c r="AN144" s="50">
        <f>IF('Resultado da inspeção'!M144='Resultado da inspeção'!$W$3,0%,Ranking!Y144)</f>
        <v>0.05</v>
      </c>
      <c r="AO144" s="50">
        <f>IF('Resultado da inspeção'!N144='Resultado da inspeção'!$W$3,0%,Ranking!Z144)</f>
        <v>0.04</v>
      </c>
      <c r="AP144" s="50">
        <f>IF('Resultado da inspeção'!O144='Resultado da inspeção'!$W$3,0%,Ranking!AA144)</f>
        <v>0.06</v>
      </c>
      <c r="AQ144" s="50">
        <f>IF('Resultado da inspeção'!P144='Resultado da inspeção'!$W$3,0%,Ranking!AB144)</f>
        <v>0.08</v>
      </c>
      <c r="AR144" s="50">
        <f>IF('Resultado da inspeção'!Q144='Resultado da inspeção'!$W$3,0%,Ranking!AC144)</f>
        <v>0.05</v>
      </c>
      <c r="AS144" s="50">
        <f>IF('Resultado da inspeção'!R144='Resultado da inspeção'!$W$3,0%,Ranking!AD144)</f>
        <v>0.02</v>
      </c>
      <c r="AT144" s="50">
        <f>IF('Resultado da inspeção'!S144='Resultado da inspeção'!$W$3,0%,Ranking!AE144)</f>
        <v>0.02</v>
      </c>
      <c r="AU144" s="49">
        <f t="shared" si="54"/>
        <v>1</v>
      </c>
    </row>
    <row r="145" spans="2:47" x14ac:dyDescent="0.25">
      <c r="B145" s="48">
        <f>IF('Resultado da inspeção'!F145='Resultado da inspeção'!$W$4,0%,Ranking!B$5)</f>
        <v>0.02</v>
      </c>
      <c r="C145" s="48">
        <f>IF('Resultado da inspeção'!G145='Resultado da inspeção'!$W$4,0%,Ranking!C$5)</f>
        <v>0.03</v>
      </c>
      <c r="D145" s="48">
        <f>IF('Resultado da inspeção'!H145='Resultado da inspeção'!$W$4,0%,Ranking!D$5)</f>
        <v>0.03</v>
      </c>
      <c r="E145" s="48">
        <f>IF('Resultado da inspeção'!I145='Resultado da inspeção'!$W$4,0%,Ranking!E$5)</f>
        <v>0.1</v>
      </c>
      <c r="F145" s="48">
        <f>IF('Resultado da inspeção'!J145='Resultado da inspeção'!$W$4,0%,Ranking!F$5)</f>
        <v>0.21</v>
      </c>
      <c r="G145" s="48">
        <f>IF('Resultado da inspeção'!K145='Resultado da inspeção'!$W$4,0%,Ranking!G$5)</f>
        <v>0.05</v>
      </c>
      <c r="H145" s="48">
        <f>IF('Resultado da inspeção'!L145='Resultado da inspeção'!$W$4,0%,Ranking!H$5)</f>
        <v>0.24</v>
      </c>
      <c r="I145" s="48">
        <f>IF('Resultado da inspeção'!M145='Resultado da inspeção'!$W$4,0%,Ranking!I$5)</f>
        <v>0.05</v>
      </c>
      <c r="J145" s="48">
        <f>IF('Resultado da inspeção'!N145='Resultado da inspeção'!$W$4,0%,Ranking!J$5)</f>
        <v>0.04</v>
      </c>
      <c r="K145" s="48">
        <f>IF('Resultado da inspeção'!O145='Resultado da inspeção'!$W$4,0%,Ranking!K$5)</f>
        <v>0.06</v>
      </c>
      <c r="L145" s="48">
        <f>IF('Resultado da inspeção'!P145='Resultado da inspeção'!$W$4,0%,Ranking!L$5)</f>
        <v>0.08</v>
      </c>
      <c r="M145" s="48">
        <f>IF('Resultado da inspeção'!Q145='Resultado da inspeção'!$W$4,0%,Ranking!M$5)</f>
        <v>0.05</v>
      </c>
      <c r="N145" s="48">
        <f>IF('Resultado da inspeção'!R145='Resultado da inspeção'!$W$4,0%,Ranking!N$5)</f>
        <v>0.02</v>
      </c>
      <c r="O145" s="48">
        <f>IF('Resultado da inspeção'!S145='Resultado da inspeção'!$W$4,0%,Ranking!O$5)</f>
        <v>0.02</v>
      </c>
      <c r="P145" s="47">
        <f t="shared" si="37"/>
        <v>1</v>
      </c>
      <c r="Q145" s="49">
        <f t="shared" si="52"/>
        <v>0</v>
      </c>
      <c r="R145" s="50">
        <f t="shared" si="38"/>
        <v>0.02</v>
      </c>
      <c r="S145" s="50">
        <f t="shared" si="39"/>
        <v>0.03</v>
      </c>
      <c r="T145" s="50">
        <f t="shared" si="40"/>
        <v>0.03</v>
      </c>
      <c r="U145" s="50">
        <f t="shared" si="41"/>
        <v>0.1</v>
      </c>
      <c r="V145" s="50">
        <f t="shared" si="42"/>
        <v>0.21</v>
      </c>
      <c r="W145" s="50">
        <f t="shared" si="43"/>
        <v>0.05</v>
      </c>
      <c r="X145" s="50">
        <f t="shared" si="44"/>
        <v>0.24</v>
      </c>
      <c r="Y145" s="50">
        <f t="shared" si="45"/>
        <v>0.05</v>
      </c>
      <c r="Z145" s="50">
        <f t="shared" si="46"/>
        <v>0.04</v>
      </c>
      <c r="AA145" s="50">
        <f t="shared" si="47"/>
        <v>0.06</v>
      </c>
      <c r="AB145" s="50">
        <f t="shared" si="48"/>
        <v>0.08</v>
      </c>
      <c r="AC145" s="50">
        <f t="shared" si="49"/>
        <v>0.05</v>
      </c>
      <c r="AD145" s="50">
        <f t="shared" si="50"/>
        <v>0.02</v>
      </c>
      <c r="AE145" s="50">
        <f t="shared" si="51"/>
        <v>0.02</v>
      </c>
      <c r="AF145" s="47">
        <f t="shared" si="53"/>
        <v>1</v>
      </c>
      <c r="AG145" s="50">
        <f>IF('Resultado da inspeção'!F145='Resultado da inspeção'!$W$3,0%,Ranking!R145)</f>
        <v>0.02</v>
      </c>
      <c r="AH145" s="50">
        <f>IF('Resultado da inspeção'!G145='Resultado da inspeção'!$W$3,0%,Ranking!S145)</f>
        <v>0.03</v>
      </c>
      <c r="AI145" s="50">
        <f>IF('Resultado da inspeção'!H145='Resultado da inspeção'!$W$3,0%,Ranking!T145)</f>
        <v>0.03</v>
      </c>
      <c r="AJ145" s="50">
        <f>IF('Resultado da inspeção'!I145='Resultado da inspeção'!$W$3,0%,Ranking!U145)</f>
        <v>0.1</v>
      </c>
      <c r="AK145" s="50">
        <f>IF('Resultado da inspeção'!J145='Resultado da inspeção'!$W$3,0%,Ranking!V145)</f>
        <v>0.21</v>
      </c>
      <c r="AL145" s="50">
        <f>IF('Resultado da inspeção'!K145='Resultado da inspeção'!$W$3,0%,Ranking!W145)</f>
        <v>0.05</v>
      </c>
      <c r="AM145" s="50">
        <f>IF('Resultado da inspeção'!L145='Resultado da inspeção'!$W$3,0%,Ranking!X145)</f>
        <v>0.24</v>
      </c>
      <c r="AN145" s="50">
        <f>IF('Resultado da inspeção'!M145='Resultado da inspeção'!$W$3,0%,Ranking!Y145)</f>
        <v>0.05</v>
      </c>
      <c r="AO145" s="50">
        <f>IF('Resultado da inspeção'!N145='Resultado da inspeção'!$W$3,0%,Ranking!Z145)</f>
        <v>0.04</v>
      </c>
      <c r="AP145" s="50">
        <f>IF('Resultado da inspeção'!O145='Resultado da inspeção'!$W$3,0%,Ranking!AA145)</f>
        <v>0.06</v>
      </c>
      <c r="AQ145" s="50">
        <f>IF('Resultado da inspeção'!P145='Resultado da inspeção'!$W$3,0%,Ranking!AB145)</f>
        <v>0.08</v>
      </c>
      <c r="AR145" s="50">
        <f>IF('Resultado da inspeção'!Q145='Resultado da inspeção'!$W$3,0%,Ranking!AC145)</f>
        <v>0.05</v>
      </c>
      <c r="AS145" s="50">
        <f>IF('Resultado da inspeção'!R145='Resultado da inspeção'!$W$3,0%,Ranking!AD145)</f>
        <v>0.02</v>
      </c>
      <c r="AT145" s="50">
        <f>IF('Resultado da inspeção'!S145='Resultado da inspeção'!$W$3,0%,Ranking!AE145)</f>
        <v>0.02</v>
      </c>
      <c r="AU145" s="49">
        <f t="shared" si="54"/>
        <v>1</v>
      </c>
    </row>
    <row r="146" spans="2:47" x14ac:dyDescent="0.25">
      <c r="B146" s="48">
        <f>IF('Resultado da inspeção'!F146='Resultado da inspeção'!$W$4,0%,Ranking!B$5)</f>
        <v>0.02</v>
      </c>
      <c r="C146" s="48">
        <f>IF('Resultado da inspeção'!G146='Resultado da inspeção'!$W$4,0%,Ranking!C$5)</f>
        <v>0.03</v>
      </c>
      <c r="D146" s="48">
        <f>IF('Resultado da inspeção'!H146='Resultado da inspeção'!$W$4,0%,Ranking!D$5)</f>
        <v>0.03</v>
      </c>
      <c r="E146" s="48">
        <f>IF('Resultado da inspeção'!I146='Resultado da inspeção'!$W$4,0%,Ranking!E$5)</f>
        <v>0.1</v>
      </c>
      <c r="F146" s="48">
        <f>IF('Resultado da inspeção'!J146='Resultado da inspeção'!$W$4,0%,Ranking!F$5)</f>
        <v>0.21</v>
      </c>
      <c r="G146" s="48">
        <f>IF('Resultado da inspeção'!K146='Resultado da inspeção'!$W$4,0%,Ranking!G$5)</f>
        <v>0.05</v>
      </c>
      <c r="H146" s="48">
        <f>IF('Resultado da inspeção'!L146='Resultado da inspeção'!$W$4,0%,Ranking!H$5)</f>
        <v>0.24</v>
      </c>
      <c r="I146" s="48">
        <f>IF('Resultado da inspeção'!M146='Resultado da inspeção'!$W$4,0%,Ranking!I$5)</f>
        <v>0.05</v>
      </c>
      <c r="J146" s="48">
        <f>IF('Resultado da inspeção'!N146='Resultado da inspeção'!$W$4,0%,Ranking!J$5)</f>
        <v>0.04</v>
      </c>
      <c r="K146" s="48">
        <f>IF('Resultado da inspeção'!O146='Resultado da inspeção'!$W$4,0%,Ranking!K$5)</f>
        <v>0.06</v>
      </c>
      <c r="L146" s="48">
        <f>IF('Resultado da inspeção'!P146='Resultado da inspeção'!$W$4,0%,Ranking!L$5)</f>
        <v>0.08</v>
      </c>
      <c r="M146" s="48">
        <f>IF('Resultado da inspeção'!Q146='Resultado da inspeção'!$W$4,0%,Ranking!M$5)</f>
        <v>0.05</v>
      </c>
      <c r="N146" s="48">
        <f>IF('Resultado da inspeção'!R146='Resultado da inspeção'!$W$4,0%,Ranking!N$5)</f>
        <v>0.02</v>
      </c>
      <c r="O146" s="48">
        <f>IF('Resultado da inspeção'!S146='Resultado da inspeção'!$W$4,0%,Ranking!O$5)</f>
        <v>0.02</v>
      </c>
      <c r="P146" s="47">
        <f t="shared" si="37"/>
        <v>1</v>
      </c>
      <c r="Q146" s="49">
        <f t="shared" si="52"/>
        <v>0</v>
      </c>
      <c r="R146" s="50">
        <f t="shared" si="38"/>
        <v>0.02</v>
      </c>
      <c r="S146" s="50">
        <f t="shared" si="39"/>
        <v>0.03</v>
      </c>
      <c r="T146" s="50">
        <f t="shared" si="40"/>
        <v>0.03</v>
      </c>
      <c r="U146" s="50">
        <f t="shared" si="41"/>
        <v>0.1</v>
      </c>
      <c r="V146" s="50">
        <f t="shared" si="42"/>
        <v>0.21</v>
      </c>
      <c r="W146" s="50">
        <f t="shared" si="43"/>
        <v>0.05</v>
      </c>
      <c r="X146" s="50">
        <f t="shared" si="44"/>
        <v>0.24</v>
      </c>
      <c r="Y146" s="50">
        <f t="shared" si="45"/>
        <v>0.05</v>
      </c>
      <c r="Z146" s="50">
        <f t="shared" si="46"/>
        <v>0.04</v>
      </c>
      <c r="AA146" s="50">
        <f t="shared" si="47"/>
        <v>0.06</v>
      </c>
      <c r="AB146" s="50">
        <f t="shared" si="48"/>
        <v>0.08</v>
      </c>
      <c r="AC146" s="50">
        <f t="shared" si="49"/>
        <v>0.05</v>
      </c>
      <c r="AD146" s="50">
        <f t="shared" si="50"/>
        <v>0.02</v>
      </c>
      <c r="AE146" s="50">
        <f t="shared" si="51"/>
        <v>0.02</v>
      </c>
      <c r="AF146" s="47">
        <f t="shared" si="53"/>
        <v>1</v>
      </c>
      <c r="AG146" s="50">
        <f>IF('Resultado da inspeção'!F146='Resultado da inspeção'!$W$3,0%,Ranking!R146)</f>
        <v>0.02</v>
      </c>
      <c r="AH146" s="50">
        <f>IF('Resultado da inspeção'!G146='Resultado da inspeção'!$W$3,0%,Ranking!S146)</f>
        <v>0.03</v>
      </c>
      <c r="AI146" s="50">
        <f>IF('Resultado da inspeção'!H146='Resultado da inspeção'!$W$3,0%,Ranking!T146)</f>
        <v>0.03</v>
      </c>
      <c r="AJ146" s="50">
        <f>IF('Resultado da inspeção'!I146='Resultado da inspeção'!$W$3,0%,Ranking!U146)</f>
        <v>0.1</v>
      </c>
      <c r="AK146" s="50">
        <f>IF('Resultado da inspeção'!J146='Resultado da inspeção'!$W$3,0%,Ranking!V146)</f>
        <v>0.21</v>
      </c>
      <c r="AL146" s="50">
        <f>IF('Resultado da inspeção'!K146='Resultado da inspeção'!$W$3,0%,Ranking!W146)</f>
        <v>0.05</v>
      </c>
      <c r="AM146" s="50">
        <f>IF('Resultado da inspeção'!L146='Resultado da inspeção'!$W$3,0%,Ranking!X146)</f>
        <v>0.24</v>
      </c>
      <c r="AN146" s="50">
        <f>IF('Resultado da inspeção'!M146='Resultado da inspeção'!$W$3,0%,Ranking!Y146)</f>
        <v>0.05</v>
      </c>
      <c r="AO146" s="50">
        <f>IF('Resultado da inspeção'!N146='Resultado da inspeção'!$W$3,0%,Ranking!Z146)</f>
        <v>0.04</v>
      </c>
      <c r="AP146" s="50">
        <f>IF('Resultado da inspeção'!O146='Resultado da inspeção'!$W$3,0%,Ranking!AA146)</f>
        <v>0.06</v>
      </c>
      <c r="AQ146" s="50">
        <f>IF('Resultado da inspeção'!P146='Resultado da inspeção'!$W$3,0%,Ranking!AB146)</f>
        <v>0.08</v>
      </c>
      <c r="AR146" s="50">
        <f>IF('Resultado da inspeção'!Q146='Resultado da inspeção'!$W$3,0%,Ranking!AC146)</f>
        <v>0.05</v>
      </c>
      <c r="AS146" s="50">
        <f>IF('Resultado da inspeção'!R146='Resultado da inspeção'!$W$3,0%,Ranking!AD146)</f>
        <v>0.02</v>
      </c>
      <c r="AT146" s="50">
        <f>IF('Resultado da inspeção'!S146='Resultado da inspeção'!$W$3,0%,Ranking!AE146)</f>
        <v>0.02</v>
      </c>
      <c r="AU146" s="49">
        <f t="shared" si="54"/>
        <v>1</v>
      </c>
    </row>
    <row r="147" spans="2:47" x14ac:dyDescent="0.25">
      <c r="B147" s="48">
        <f>IF('Resultado da inspeção'!F147='Resultado da inspeção'!$W$4,0%,Ranking!B$5)</f>
        <v>0.02</v>
      </c>
      <c r="C147" s="48">
        <f>IF('Resultado da inspeção'!G147='Resultado da inspeção'!$W$4,0%,Ranking!C$5)</f>
        <v>0.03</v>
      </c>
      <c r="D147" s="48">
        <f>IF('Resultado da inspeção'!H147='Resultado da inspeção'!$W$4,0%,Ranking!D$5)</f>
        <v>0.03</v>
      </c>
      <c r="E147" s="48">
        <f>IF('Resultado da inspeção'!I147='Resultado da inspeção'!$W$4,0%,Ranking!E$5)</f>
        <v>0.1</v>
      </c>
      <c r="F147" s="48">
        <f>IF('Resultado da inspeção'!J147='Resultado da inspeção'!$W$4,0%,Ranking!F$5)</f>
        <v>0.21</v>
      </c>
      <c r="G147" s="48">
        <f>IF('Resultado da inspeção'!K147='Resultado da inspeção'!$W$4,0%,Ranking!G$5)</f>
        <v>0.05</v>
      </c>
      <c r="H147" s="48">
        <f>IF('Resultado da inspeção'!L147='Resultado da inspeção'!$W$4,0%,Ranking!H$5)</f>
        <v>0.24</v>
      </c>
      <c r="I147" s="48">
        <f>IF('Resultado da inspeção'!M147='Resultado da inspeção'!$W$4,0%,Ranking!I$5)</f>
        <v>0.05</v>
      </c>
      <c r="J147" s="48">
        <f>IF('Resultado da inspeção'!N147='Resultado da inspeção'!$W$4,0%,Ranking!J$5)</f>
        <v>0.04</v>
      </c>
      <c r="K147" s="48">
        <f>IF('Resultado da inspeção'!O147='Resultado da inspeção'!$W$4,0%,Ranking!K$5)</f>
        <v>0.06</v>
      </c>
      <c r="L147" s="48">
        <f>IF('Resultado da inspeção'!P147='Resultado da inspeção'!$W$4,0%,Ranking!L$5)</f>
        <v>0.08</v>
      </c>
      <c r="M147" s="48">
        <f>IF('Resultado da inspeção'!Q147='Resultado da inspeção'!$W$4,0%,Ranking!M$5)</f>
        <v>0.05</v>
      </c>
      <c r="N147" s="48">
        <f>IF('Resultado da inspeção'!R147='Resultado da inspeção'!$W$4,0%,Ranking!N$5)</f>
        <v>0.02</v>
      </c>
      <c r="O147" s="48">
        <f>IF('Resultado da inspeção'!S147='Resultado da inspeção'!$W$4,0%,Ranking!O$5)</f>
        <v>0.02</v>
      </c>
      <c r="P147" s="47">
        <f t="shared" si="37"/>
        <v>1</v>
      </c>
      <c r="Q147" s="49">
        <f t="shared" si="52"/>
        <v>0</v>
      </c>
      <c r="R147" s="50">
        <f t="shared" si="38"/>
        <v>0.02</v>
      </c>
      <c r="S147" s="50">
        <f t="shared" si="39"/>
        <v>0.03</v>
      </c>
      <c r="T147" s="50">
        <f t="shared" si="40"/>
        <v>0.03</v>
      </c>
      <c r="U147" s="50">
        <f t="shared" si="41"/>
        <v>0.1</v>
      </c>
      <c r="V147" s="50">
        <f t="shared" si="42"/>
        <v>0.21</v>
      </c>
      <c r="W147" s="50">
        <f t="shared" si="43"/>
        <v>0.05</v>
      </c>
      <c r="X147" s="50">
        <f t="shared" si="44"/>
        <v>0.24</v>
      </c>
      <c r="Y147" s="50">
        <f t="shared" si="45"/>
        <v>0.05</v>
      </c>
      <c r="Z147" s="50">
        <f t="shared" si="46"/>
        <v>0.04</v>
      </c>
      <c r="AA147" s="50">
        <f t="shared" si="47"/>
        <v>0.06</v>
      </c>
      <c r="AB147" s="50">
        <f t="shared" si="48"/>
        <v>0.08</v>
      </c>
      <c r="AC147" s="50">
        <f t="shared" si="49"/>
        <v>0.05</v>
      </c>
      <c r="AD147" s="50">
        <f t="shared" si="50"/>
        <v>0.02</v>
      </c>
      <c r="AE147" s="50">
        <f t="shared" si="51"/>
        <v>0.02</v>
      </c>
      <c r="AF147" s="47">
        <f t="shared" si="53"/>
        <v>1</v>
      </c>
      <c r="AG147" s="50">
        <f>IF('Resultado da inspeção'!F147='Resultado da inspeção'!$W$3,0%,Ranking!R147)</f>
        <v>0.02</v>
      </c>
      <c r="AH147" s="50">
        <f>IF('Resultado da inspeção'!G147='Resultado da inspeção'!$W$3,0%,Ranking!S147)</f>
        <v>0.03</v>
      </c>
      <c r="AI147" s="50">
        <f>IF('Resultado da inspeção'!H147='Resultado da inspeção'!$W$3,0%,Ranking!T147)</f>
        <v>0.03</v>
      </c>
      <c r="AJ147" s="50">
        <f>IF('Resultado da inspeção'!I147='Resultado da inspeção'!$W$3,0%,Ranking!U147)</f>
        <v>0.1</v>
      </c>
      <c r="AK147" s="50">
        <f>IF('Resultado da inspeção'!J147='Resultado da inspeção'!$W$3,0%,Ranking!V147)</f>
        <v>0.21</v>
      </c>
      <c r="AL147" s="50">
        <f>IF('Resultado da inspeção'!K147='Resultado da inspeção'!$W$3,0%,Ranking!W147)</f>
        <v>0.05</v>
      </c>
      <c r="AM147" s="50">
        <f>IF('Resultado da inspeção'!L147='Resultado da inspeção'!$W$3,0%,Ranking!X147)</f>
        <v>0.24</v>
      </c>
      <c r="AN147" s="50">
        <f>IF('Resultado da inspeção'!M147='Resultado da inspeção'!$W$3,0%,Ranking!Y147)</f>
        <v>0.05</v>
      </c>
      <c r="AO147" s="50">
        <f>IF('Resultado da inspeção'!N147='Resultado da inspeção'!$W$3,0%,Ranking!Z147)</f>
        <v>0.04</v>
      </c>
      <c r="AP147" s="50">
        <f>IF('Resultado da inspeção'!O147='Resultado da inspeção'!$W$3,0%,Ranking!AA147)</f>
        <v>0.06</v>
      </c>
      <c r="AQ147" s="50">
        <f>IF('Resultado da inspeção'!P147='Resultado da inspeção'!$W$3,0%,Ranking!AB147)</f>
        <v>0.08</v>
      </c>
      <c r="AR147" s="50">
        <f>IF('Resultado da inspeção'!Q147='Resultado da inspeção'!$W$3,0%,Ranking!AC147)</f>
        <v>0.05</v>
      </c>
      <c r="AS147" s="50">
        <f>IF('Resultado da inspeção'!R147='Resultado da inspeção'!$W$3,0%,Ranking!AD147)</f>
        <v>0.02</v>
      </c>
      <c r="AT147" s="50">
        <f>IF('Resultado da inspeção'!S147='Resultado da inspeção'!$W$3,0%,Ranking!AE147)</f>
        <v>0.02</v>
      </c>
      <c r="AU147" s="49">
        <f t="shared" si="54"/>
        <v>1</v>
      </c>
    </row>
    <row r="148" spans="2:47" x14ac:dyDescent="0.25">
      <c r="B148" s="48">
        <f>IF('Resultado da inspeção'!F148='Resultado da inspeção'!$W$4,0%,Ranking!B$5)</f>
        <v>0.02</v>
      </c>
      <c r="C148" s="48">
        <f>IF('Resultado da inspeção'!G148='Resultado da inspeção'!$W$4,0%,Ranking!C$5)</f>
        <v>0.03</v>
      </c>
      <c r="D148" s="48">
        <f>IF('Resultado da inspeção'!H148='Resultado da inspeção'!$W$4,0%,Ranking!D$5)</f>
        <v>0.03</v>
      </c>
      <c r="E148" s="48">
        <f>IF('Resultado da inspeção'!I148='Resultado da inspeção'!$W$4,0%,Ranking!E$5)</f>
        <v>0.1</v>
      </c>
      <c r="F148" s="48">
        <f>IF('Resultado da inspeção'!J148='Resultado da inspeção'!$W$4,0%,Ranking!F$5)</f>
        <v>0.21</v>
      </c>
      <c r="G148" s="48">
        <f>IF('Resultado da inspeção'!K148='Resultado da inspeção'!$W$4,0%,Ranking!G$5)</f>
        <v>0.05</v>
      </c>
      <c r="H148" s="48">
        <f>IF('Resultado da inspeção'!L148='Resultado da inspeção'!$W$4,0%,Ranking!H$5)</f>
        <v>0.24</v>
      </c>
      <c r="I148" s="48">
        <f>IF('Resultado da inspeção'!M148='Resultado da inspeção'!$W$4,0%,Ranking!I$5)</f>
        <v>0.05</v>
      </c>
      <c r="J148" s="48">
        <f>IF('Resultado da inspeção'!N148='Resultado da inspeção'!$W$4,0%,Ranking!J$5)</f>
        <v>0.04</v>
      </c>
      <c r="K148" s="48">
        <f>IF('Resultado da inspeção'!O148='Resultado da inspeção'!$W$4,0%,Ranking!K$5)</f>
        <v>0.06</v>
      </c>
      <c r="L148" s="48">
        <f>IF('Resultado da inspeção'!P148='Resultado da inspeção'!$W$4,0%,Ranking!L$5)</f>
        <v>0.08</v>
      </c>
      <c r="M148" s="48">
        <f>IF('Resultado da inspeção'!Q148='Resultado da inspeção'!$W$4,0%,Ranking!M$5)</f>
        <v>0.05</v>
      </c>
      <c r="N148" s="48">
        <f>IF('Resultado da inspeção'!R148='Resultado da inspeção'!$W$4,0%,Ranking!N$5)</f>
        <v>0.02</v>
      </c>
      <c r="O148" s="48">
        <f>IF('Resultado da inspeção'!S148='Resultado da inspeção'!$W$4,0%,Ranking!O$5)</f>
        <v>0.02</v>
      </c>
      <c r="P148" s="47">
        <f t="shared" si="37"/>
        <v>1</v>
      </c>
      <c r="Q148" s="49">
        <f t="shared" si="52"/>
        <v>0</v>
      </c>
      <c r="R148" s="50">
        <f t="shared" si="38"/>
        <v>0.02</v>
      </c>
      <c r="S148" s="50">
        <f t="shared" si="39"/>
        <v>0.03</v>
      </c>
      <c r="T148" s="50">
        <f t="shared" si="40"/>
        <v>0.03</v>
      </c>
      <c r="U148" s="50">
        <f t="shared" si="41"/>
        <v>0.1</v>
      </c>
      <c r="V148" s="50">
        <f t="shared" si="42"/>
        <v>0.21</v>
      </c>
      <c r="W148" s="50">
        <f t="shared" si="43"/>
        <v>0.05</v>
      </c>
      <c r="X148" s="50">
        <f t="shared" si="44"/>
        <v>0.24</v>
      </c>
      <c r="Y148" s="50">
        <f t="shared" si="45"/>
        <v>0.05</v>
      </c>
      <c r="Z148" s="50">
        <f t="shared" si="46"/>
        <v>0.04</v>
      </c>
      <c r="AA148" s="50">
        <f t="shared" si="47"/>
        <v>0.06</v>
      </c>
      <c r="AB148" s="50">
        <f t="shared" si="48"/>
        <v>0.08</v>
      </c>
      <c r="AC148" s="50">
        <f t="shared" si="49"/>
        <v>0.05</v>
      </c>
      <c r="AD148" s="50">
        <f t="shared" si="50"/>
        <v>0.02</v>
      </c>
      <c r="AE148" s="50">
        <f t="shared" si="51"/>
        <v>0.02</v>
      </c>
      <c r="AF148" s="47">
        <f t="shared" si="53"/>
        <v>1</v>
      </c>
      <c r="AG148" s="50">
        <f>IF('Resultado da inspeção'!F148='Resultado da inspeção'!$W$3,0%,Ranking!R148)</f>
        <v>0.02</v>
      </c>
      <c r="AH148" s="50">
        <f>IF('Resultado da inspeção'!G148='Resultado da inspeção'!$W$3,0%,Ranking!S148)</f>
        <v>0.03</v>
      </c>
      <c r="AI148" s="50">
        <f>IF('Resultado da inspeção'!H148='Resultado da inspeção'!$W$3,0%,Ranking!T148)</f>
        <v>0.03</v>
      </c>
      <c r="AJ148" s="50">
        <f>IF('Resultado da inspeção'!I148='Resultado da inspeção'!$W$3,0%,Ranking!U148)</f>
        <v>0.1</v>
      </c>
      <c r="AK148" s="50">
        <f>IF('Resultado da inspeção'!J148='Resultado da inspeção'!$W$3,0%,Ranking!V148)</f>
        <v>0.21</v>
      </c>
      <c r="AL148" s="50">
        <f>IF('Resultado da inspeção'!K148='Resultado da inspeção'!$W$3,0%,Ranking!W148)</f>
        <v>0.05</v>
      </c>
      <c r="AM148" s="50">
        <f>IF('Resultado da inspeção'!L148='Resultado da inspeção'!$W$3,0%,Ranking!X148)</f>
        <v>0.24</v>
      </c>
      <c r="AN148" s="50">
        <f>IF('Resultado da inspeção'!M148='Resultado da inspeção'!$W$3,0%,Ranking!Y148)</f>
        <v>0.05</v>
      </c>
      <c r="AO148" s="50">
        <f>IF('Resultado da inspeção'!N148='Resultado da inspeção'!$W$3,0%,Ranking!Z148)</f>
        <v>0.04</v>
      </c>
      <c r="AP148" s="50">
        <f>IF('Resultado da inspeção'!O148='Resultado da inspeção'!$W$3,0%,Ranking!AA148)</f>
        <v>0.06</v>
      </c>
      <c r="AQ148" s="50">
        <f>IF('Resultado da inspeção'!P148='Resultado da inspeção'!$W$3,0%,Ranking!AB148)</f>
        <v>0.08</v>
      </c>
      <c r="AR148" s="50">
        <f>IF('Resultado da inspeção'!Q148='Resultado da inspeção'!$W$3,0%,Ranking!AC148)</f>
        <v>0.05</v>
      </c>
      <c r="AS148" s="50">
        <f>IF('Resultado da inspeção'!R148='Resultado da inspeção'!$W$3,0%,Ranking!AD148)</f>
        <v>0.02</v>
      </c>
      <c r="AT148" s="50">
        <f>IF('Resultado da inspeção'!S148='Resultado da inspeção'!$W$3,0%,Ranking!AE148)</f>
        <v>0.02</v>
      </c>
      <c r="AU148" s="49">
        <f t="shared" si="54"/>
        <v>1</v>
      </c>
    </row>
    <row r="149" spans="2:47" x14ac:dyDescent="0.25">
      <c r="B149" s="48">
        <f>IF('Resultado da inspeção'!F149='Resultado da inspeção'!$W$4,0%,Ranking!B$5)</f>
        <v>0.02</v>
      </c>
      <c r="C149" s="48">
        <f>IF('Resultado da inspeção'!G149='Resultado da inspeção'!$W$4,0%,Ranking!C$5)</f>
        <v>0.03</v>
      </c>
      <c r="D149" s="48">
        <f>IF('Resultado da inspeção'!H149='Resultado da inspeção'!$W$4,0%,Ranking!D$5)</f>
        <v>0.03</v>
      </c>
      <c r="E149" s="48">
        <f>IF('Resultado da inspeção'!I149='Resultado da inspeção'!$W$4,0%,Ranking!E$5)</f>
        <v>0.1</v>
      </c>
      <c r="F149" s="48">
        <f>IF('Resultado da inspeção'!J149='Resultado da inspeção'!$W$4,0%,Ranking!F$5)</f>
        <v>0.21</v>
      </c>
      <c r="G149" s="48">
        <f>IF('Resultado da inspeção'!K149='Resultado da inspeção'!$W$4,0%,Ranking!G$5)</f>
        <v>0.05</v>
      </c>
      <c r="H149" s="48">
        <f>IF('Resultado da inspeção'!L149='Resultado da inspeção'!$W$4,0%,Ranking!H$5)</f>
        <v>0.24</v>
      </c>
      <c r="I149" s="48">
        <f>IF('Resultado da inspeção'!M149='Resultado da inspeção'!$W$4,0%,Ranking!I$5)</f>
        <v>0.05</v>
      </c>
      <c r="J149" s="48">
        <f>IF('Resultado da inspeção'!N149='Resultado da inspeção'!$W$4,0%,Ranking!J$5)</f>
        <v>0.04</v>
      </c>
      <c r="K149" s="48">
        <f>IF('Resultado da inspeção'!O149='Resultado da inspeção'!$W$4,0%,Ranking!K$5)</f>
        <v>0.06</v>
      </c>
      <c r="L149" s="48">
        <f>IF('Resultado da inspeção'!P149='Resultado da inspeção'!$W$4,0%,Ranking!L$5)</f>
        <v>0.08</v>
      </c>
      <c r="M149" s="48">
        <f>IF('Resultado da inspeção'!Q149='Resultado da inspeção'!$W$4,0%,Ranking!M$5)</f>
        <v>0.05</v>
      </c>
      <c r="N149" s="48">
        <f>IF('Resultado da inspeção'!R149='Resultado da inspeção'!$W$4,0%,Ranking!N$5)</f>
        <v>0.02</v>
      </c>
      <c r="O149" s="48">
        <f>IF('Resultado da inspeção'!S149='Resultado da inspeção'!$W$4,0%,Ranking!O$5)</f>
        <v>0.02</v>
      </c>
      <c r="P149" s="47">
        <f t="shared" si="37"/>
        <v>1</v>
      </c>
      <c r="Q149" s="49">
        <f t="shared" si="52"/>
        <v>0</v>
      </c>
      <c r="R149" s="50">
        <f t="shared" si="38"/>
        <v>0.02</v>
      </c>
      <c r="S149" s="50">
        <f t="shared" si="39"/>
        <v>0.03</v>
      </c>
      <c r="T149" s="50">
        <f t="shared" si="40"/>
        <v>0.03</v>
      </c>
      <c r="U149" s="50">
        <f t="shared" si="41"/>
        <v>0.1</v>
      </c>
      <c r="V149" s="50">
        <f t="shared" si="42"/>
        <v>0.21</v>
      </c>
      <c r="W149" s="50">
        <f t="shared" si="43"/>
        <v>0.05</v>
      </c>
      <c r="X149" s="50">
        <f t="shared" si="44"/>
        <v>0.24</v>
      </c>
      <c r="Y149" s="50">
        <f t="shared" si="45"/>
        <v>0.05</v>
      </c>
      <c r="Z149" s="50">
        <f t="shared" si="46"/>
        <v>0.04</v>
      </c>
      <c r="AA149" s="50">
        <f t="shared" si="47"/>
        <v>0.06</v>
      </c>
      <c r="AB149" s="50">
        <f t="shared" si="48"/>
        <v>0.08</v>
      </c>
      <c r="AC149" s="50">
        <f t="shared" si="49"/>
        <v>0.05</v>
      </c>
      <c r="AD149" s="50">
        <f t="shared" si="50"/>
        <v>0.02</v>
      </c>
      <c r="AE149" s="50">
        <f t="shared" si="51"/>
        <v>0.02</v>
      </c>
      <c r="AF149" s="47">
        <f t="shared" si="53"/>
        <v>1</v>
      </c>
      <c r="AG149" s="50">
        <f>IF('Resultado da inspeção'!F149='Resultado da inspeção'!$W$3,0%,Ranking!R149)</f>
        <v>0.02</v>
      </c>
      <c r="AH149" s="50">
        <f>IF('Resultado da inspeção'!G149='Resultado da inspeção'!$W$3,0%,Ranking!S149)</f>
        <v>0.03</v>
      </c>
      <c r="AI149" s="50">
        <f>IF('Resultado da inspeção'!H149='Resultado da inspeção'!$W$3,0%,Ranking!T149)</f>
        <v>0.03</v>
      </c>
      <c r="AJ149" s="50">
        <f>IF('Resultado da inspeção'!I149='Resultado da inspeção'!$W$3,0%,Ranking!U149)</f>
        <v>0.1</v>
      </c>
      <c r="AK149" s="50">
        <f>IF('Resultado da inspeção'!J149='Resultado da inspeção'!$W$3,0%,Ranking!V149)</f>
        <v>0.21</v>
      </c>
      <c r="AL149" s="50">
        <f>IF('Resultado da inspeção'!K149='Resultado da inspeção'!$W$3,0%,Ranking!W149)</f>
        <v>0.05</v>
      </c>
      <c r="AM149" s="50">
        <f>IF('Resultado da inspeção'!L149='Resultado da inspeção'!$W$3,0%,Ranking!X149)</f>
        <v>0.24</v>
      </c>
      <c r="AN149" s="50">
        <f>IF('Resultado da inspeção'!M149='Resultado da inspeção'!$W$3,0%,Ranking!Y149)</f>
        <v>0.05</v>
      </c>
      <c r="AO149" s="50">
        <f>IF('Resultado da inspeção'!N149='Resultado da inspeção'!$W$3,0%,Ranking!Z149)</f>
        <v>0.04</v>
      </c>
      <c r="AP149" s="50">
        <f>IF('Resultado da inspeção'!O149='Resultado da inspeção'!$W$3,0%,Ranking!AA149)</f>
        <v>0.06</v>
      </c>
      <c r="AQ149" s="50">
        <f>IF('Resultado da inspeção'!P149='Resultado da inspeção'!$W$3,0%,Ranking!AB149)</f>
        <v>0.08</v>
      </c>
      <c r="AR149" s="50">
        <f>IF('Resultado da inspeção'!Q149='Resultado da inspeção'!$W$3,0%,Ranking!AC149)</f>
        <v>0.05</v>
      </c>
      <c r="AS149" s="50">
        <f>IF('Resultado da inspeção'!R149='Resultado da inspeção'!$W$3,0%,Ranking!AD149)</f>
        <v>0.02</v>
      </c>
      <c r="AT149" s="50">
        <f>IF('Resultado da inspeção'!S149='Resultado da inspeção'!$W$3,0%,Ranking!AE149)</f>
        <v>0.02</v>
      </c>
      <c r="AU149" s="49">
        <f t="shared" si="54"/>
        <v>1</v>
      </c>
    </row>
    <row r="150" spans="2:47" x14ac:dyDescent="0.25">
      <c r="B150" s="48">
        <f>IF('Resultado da inspeção'!F150='Resultado da inspeção'!$W$4,0%,Ranking!B$5)</f>
        <v>0.02</v>
      </c>
      <c r="C150" s="48">
        <f>IF('Resultado da inspeção'!G150='Resultado da inspeção'!$W$4,0%,Ranking!C$5)</f>
        <v>0.03</v>
      </c>
      <c r="D150" s="48">
        <f>IF('Resultado da inspeção'!H150='Resultado da inspeção'!$W$4,0%,Ranking!D$5)</f>
        <v>0.03</v>
      </c>
      <c r="E150" s="48">
        <f>IF('Resultado da inspeção'!I150='Resultado da inspeção'!$W$4,0%,Ranking!E$5)</f>
        <v>0.1</v>
      </c>
      <c r="F150" s="48">
        <f>IF('Resultado da inspeção'!J150='Resultado da inspeção'!$W$4,0%,Ranking!F$5)</f>
        <v>0.21</v>
      </c>
      <c r="G150" s="48">
        <f>IF('Resultado da inspeção'!K150='Resultado da inspeção'!$W$4,0%,Ranking!G$5)</f>
        <v>0.05</v>
      </c>
      <c r="H150" s="48">
        <f>IF('Resultado da inspeção'!L150='Resultado da inspeção'!$W$4,0%,Ranking!H$5)</f>
        <v>0.24</v>
      </c>
      <c r="I150" s="48">
        <f>IF('Resultado da inspeção'!M150='Resultado da inspeção'!$W$4,0%,Ranking!I$5)</f>
        <v>0.05</v>
      </c>
      <c r="J150" s="48">
        <f>IF('Resultado da inspeção'!N150='Resultado da inspeção'!$W$4,0%,Ranking!J$5)</f>
        <v>0.04</v>
      </c>
      <c r="K150" s="48">
        <f>IF('Resultado da inspeção'!O150='Resultado da inspeção'!$W$4,0%,Ranking!K$5)</f>
        <v>0.06</v>
      </c>
      <c r="L150" s="48">
        <f>IF('Resultado da inspeção'!P150='Resultado da inspeção'!$W$4,0%,Ranking!L$5)</f>
        <v>0.08</v>
      </c>
      <c r="M150" s="48">
        <f>IF('Resultado da inspeção'!Q150='Resultado da inspeção'!$W$4,0%,Ranking!M$5)</f>
        <v>0.05</v>
      </c>
      <c r="N150" s="48">
        <f>IF('Resultado da inspeção'!R150='Resultado da inspeção'!$W$4,0%,Ranking!N$5)</f>
        <v>0.02</v>
      </c>
      <c r="O150" s="48">
        <f>IF('Resultado da inspeção'!S150='Resultado da inspeção'!$W$4,0%,Ranking!O$5)</f>
        <v>0.02</v>
      </c>
      <c r="P150" s="47">
        <f t="shared" si="37"/>
        <v>1</v>
      </c>
      <c r="Q150" s="49">
        <f t="shared" si="52"/>
        <v>0</v>
      </c>
      <c r="R150" s="50">
        <f t="shared" si="38"/>
        <v>0.02</v>
      </c>
      <c r="S150" s="50">
        <f t="shared" si="39"/>
        <v>0.03</v>
      </c>
      <c r="T150" s="50">
        <f t="shared" si="40"/>
        <v>0.03</v>
      </c>
      <c r="U150" s="50">
        <f t="shared" si="41"/>
        <v>0.1</v>
      </c>
      <c r="V150" s="50">
        <f t="shared" si="42"/>
        <v>0.21</v>
      </c>
      <c r="W150" s="50">
        <f t="shared" si="43"/>
        <v>0.05</v>
      </c>
      <c r="X150" s="50">
        <f t="shared" si="44"/>
        <v>0.24</v>
      </c>
      <c r="Y150" s="50">
        <f t="shared" si="45"/>
        <v>0.05</v>
      </c>
      <c r="Z150" s="50">
        <f t="shared" si="46"/>
        <v>0.04</v>
      </c>
      <c r="AA150" s="50">
        <f t="shared" si="47"/>
        <v>0.06</v>
      </c>
      <c r="AB150" s="50">
        <f t="shared" si="48"/>
        <v>0.08</v>
      </c>
      <c r="AC150" s="50">
        <f t="shared" si="49"/>
        <v>0.05</v>
      </c>
      <c r="AD150" s="50">
        <f t="shared" si="50"/>
        <v>0.02</v>
      </c>
      <c r="AE150" s="50">
        <f t="shared" si="51"/>
        <v>0.02</v>
      </c>
      <c r="AF150" s="47">
        <f t="shared" si="53"/>
        <v>1</v>
      </c>
      <c r="AG150" s="50">
        <f>IF('Resultado da inspeção'!F150='Resultado da inspeção'!$W$3,0%,Ranking!R150)</f>
        <v>0.02</v>
      </c>
      <c r="AH150" s="50">
        <f>IF('Resultado da inspeção'!G150='Resultado da inspeção'!$W$3,0%,Ranking!S150)</f>
        <v>0.03</v>
      </c>
      <c r="AI150" s="50">
        <f>IF('Resultado da inspeção'!H150='Resultado da inspeção'!$W$3,0%,Ranking!T150)</f>
        <v>0.03</v>
      </c>
      <c r="AJ150" s="50">
        <f>IF('Resultado da inspeção'!I150='Resultado da inspeção'!$W$3,0%,Ranking!U150)</f>
        <v>0.1</v>
      </c>
      <c r="AK150" s="50">
        <f>IF('Resultado da inspeção'!J150='Resultado da inspeção'!$W$3,0%,Ranking!V150)</f>
        <v>0.21</v>
      </c>
      <c r="AL150" s="50">
        <f>IF('Resultado da inspeção'!K150='Resultado da inspeção'!$W$3,0%,Ranking!W150)</f>
        <v>0.05</v>
      </c>
      <c r="AM150" s="50">
        <f>IF('Resultado da inspeção'!L150='Resultado da inspeção'!$W$3,0%,Ranking!X150)</f>
        <v>0.24</v>
      </c>
      <c r="AN150" s="50">
        <f>IF('Resultado da inspeção'!M150='Resultado da inspeção'!$W$3,0%,Ranking!Y150)</f>
        <v>0.05</v>
      </c>
      <c r="AO150" s="50">
        <f>IF('Resultado da inspeção'!N150='Resultado da inspeção'!$W$3,0%,Ranking!Z150)</f>
        <v>0.04</v>
      </c>
      <c r="AP150" s="50">
        <f>IF('Resultado da inspeção'!O150='Resultado da inspeção'!$W$3,0%,Ranking!AA150)</f>
        <v>0.06</v>
      </c>
      <c r="AQ150" s="50">
        <f>IF('Resultado da inspeção'!P150='Resultado da inspeção'!$W$3,0%,Ranking!AB150)</f>
        <v>0.08</v>
      </c>
      <c r="AR150" s="50">
        <f>IF('Resultado da inspeção'!Q150='Resultado da inspeção'!$W$3,0%,Ranking!AC150)</f>
        <v>0.05</v>
      </c>
      <c r="AS150" s="50">
        <f>IF('Resultado da inspeção'!R150='Resultado da inspeção'!$W$3,0%,Ranking!AD150)</f>
        <v>0.02</v>
      </c>
      <c r="AT150" s="50">
        <f>IF('Resultado da inspeção'!S150='Resultado da inspeção'!$W$3,0%,Ranking!AE150)</f>
        <v>0.02</v>
      </c>
      <c r="AU150" s="49">
        <f t="shared" si="54"/>
        <v>1</v>
      </c>
    </row>
    <row r="151" spans="2:47" x14ac:dyDescent="0.25">
      <c r="B151" s="48">
        <f>IF('Resultado da inspeção'!F151='Resultado da inspeção'!$W$4,0%,Ranking!B$5)</f>
        <v>0.02</v>
      </c>
      <c r="C151" s="48">
        <f>IF('Resultado da inspeção'!G151='Resultado da inspeção'!$W$4,0%,Ranking!C$5)</f>
        <v>0.03</v>
      </c>
      <c r="D151" s="48">
        <f>IF('Resultado da inspeção'!H151='Resultado da inspeção'!$W$4,0%,Ranking!D$5)</f>
        <v>0.03</v>
      </c>
      <c r="E151" s="48">
        <f>IF('Resultado da inspeção'!I151='Resultado da inspeção'!$W$4,0%,Ranking!E$5)</f>
        <v>0.1</v>
      </c>
      <c r="F151" s="48">
        <f>IF('Resultado da inspeção'!J151='Resultado da inspeção'!$W$4,0%,Ranking!F$5)</f>
        <v>0.21</v>
      </c>
      <c r="G151" s="48">
        <f>IF('Resultado da inspeção'!K151='Resultado da inspeção'!$W$4,0%,Ranking!G$5)</f>
        <v>0.05</v>
      </c>
      <c r="H151" s="48">
        <f>IF('Resultado da inspeção'!L151='Resultado da inspeção'!$W$4,0%,Ranking!H$5)</f>
        <v>0.24</v>
      </c>
      <c r="I151" s="48">
        <f>IF('Resultado da inspeção'!M151='Resultado da inspeção'!$W$4,0%,Ranking!I$5)</f>
        <v>0.05</v>
      </c>
      <c r="J151" s="48">
        <f>IF('Resultado da inspeção'!N151='Resultado da inspeção'!$W$4,0%,Ranking!J$5)</f>
        <v>0.04</v>
      </c>
      <c r="K151" s="48">
        <f>IF('Resultado da inspeção'!O151='Resultado da inspeção'!$W$4,0%,Ranking!K$5)</f>
        <v>0.06</v>
      </c>
      <c r="L151" s="48">
        <f>IF('Resultado da inspeção'!P151='Resultado da inspeção'!$W$4,0%,Ranking!L$5)</f>
        <v>0.08</v>
      </c>
      <c r="M151" s="48">
        <f>IF('Resultado da inspeção'!Q151='Resultado da inspeção'!$W$4,0%,Ranking!M$5)</f>
        <v>0.05</v>
      </c>
      <c r="N151" s="48">
        <f>IF('Resultado da inspeção'!R151='Resultado da inspeção'!$W$4,0%,Ranking!N$5)</f>
        <v>0.02</v>
      </c>
      <c r="O151" s="48">
        <f>IF('Resultado da inspeção'!S151='Resultado da inspeção'!$W$4,0%,Ranking!O$5)</f>
        <v>0.02</v>
      </c>
      <c r="P151" s="47">
        <f t="shared" si="37"/>
        <v>1</v>
      </c>
      <c r="Q151" s="49">
        <f t="shared" si="52"/>
        <v>0</v>
      </c>
      <c r="R151" s="50">
        <f t="shared" si="38"/>
        <v>0.02</v>
      </c>
      <c r="S151" s="50">
        <f t="shared" si="39"/>
        <v>0.03</v>
      </c>
      <c r="T151" s="50">
        <f t="shared" si="40"/>
        <v>0.03</v>
      </c>
      <c r="U151" s="50">
        <f t="shared" si="41"/>
        <v>0.1</v>
      </c>
      <c r="V151" s="50">
        <f t="shared" si="42"/>
        <v>0.21</v>
      </c>
      <c r="W151" s="50">
        <f t="shared" si="43"/>
        <v>0.05</v>
      </c>
      <c r="X151" s="50">
        <f t="shared" si="44"/>
        <v>0.24</v>
      </c>
      <c r="Y151" s="50">
        <f t="shared" si="45"/>
        <v>0.05</v>
      </c>
      <c r="Z151" s="50">
        <f t="shared" si="46"/>
        <v>0.04</v>
      </c>
      <c r="AA151" s="50">
        <f t="shared" si="47"/>
        <v>0.06</v>
      </c>
      <c r="AB151" s="50">
        <f t="shared" si="48"/>
        <v>0.08</v>
      </c>
      <c r="AC151" s="50">
        <f t="shared" si="49"/>
        <v>0.05</v>
      </c>
      <c r="AD151" s="50">
        <f t="shared" si="50"/>
        <v>0.02</v>
      </c>
      <c r="AE151" s="50">
        <f t="shared" si="51"/>
        <v>0.02</v>
      </c>
      <c r="AF151" s="47">
        <f t="shared" si="53"/>
        <v>1</v>
      </c>
      <c r="AG151" s="50">
        <f>IF('Resultado da inspeção'!F151='Resultado da inspeção'!$W$3,0%,Ranking!R151)</f>
        <v>0.02</v>
      </c>
      <c r="AH151" s="50">
        <f>IF('Resultado da inspeção'!G151='Resultado da inspeção'!$W$3,0%,Ranking!S151)</f>
        <v>0.03</v>
      </c>
      <c r="AI151" s="50">
        <f>IF('Resultado da inspeção'!H151='Resultado da inspeção'!$W$3,0%,Ranking!T151)</f>
        <v>0.03</v>
      </c>
      <c r="AJ151" s="50">
        <f>IF('Resultado da inspeção'!I151='Resultado da inspeção'!$W$3,0%,Ranking!U151)</f>
        <v>0.1</v>
      </c>
      <c r="AK151" s="50">
        <f>IF('Resultado da inspeção'!J151='Resultado da inspeção'!$W$3,0%,Ranking!V151)</f>
        <v>0.21</v>
      </c>
      <c r="AL151" s="50">
        <f>IF('Resultado da inspeção'!K151='Resultado da inspeção'!$W$3,0%,Ranking!W151)</f>
        <v>0.05</v>
      </c>
      <c r="AM151" s="50">
        <f>IF('Resultado da inspeção'!L151='Resultado da inspeção'!$W$3,0%,Ranking!X151)</f>
        <v>0.24</v>
      </c>
      <c r="AN151" s="50">
        <f>IF('Resultado da inspeção'!M151='Resultado da inspeção'!$W$3,0%,Ranking!Y151)</f>
        <v>0.05</v>
      </c>
      <c r="AO151" s="50">
        <f>IF('Resultado da inspeção'!N151='Resultado da inspeção'!$W$3,0%,Ranking!Z151)</f>
        <v>0.04</v>
      </c>
      <c r="AP151" s="50">
        <f>IF('Resultado da inspeção'!O151='Resultado da inspeção'!$W$3,0%,Ranking!AA151)</f>
        <v>0.06</v>
      </c>
      <c r="AQ151" s="50">
        <f>IF('Resultado da inspeção'!P151='Resultado da inspeção'!$W$3,0%,Ranking!AB151)</f>
        <v>0.08</v>
      </c>
      <c r="AR151" s="50">
        <f>IF('Resultado da inspeção'!Q151='Resultado da inspeção'!$W$3,0%,Ranking!AC151)</f>
        <v>0.05</v>
      </c>
      <c r="AS151" s="50">
        <f>IF('Resultado da inspeção'!R151='Resultado da inspeção'!$W$3,0%,Ranking!AD151)</f>
        <v>0.02</v>
      </c>
      <c r="AT151" s="50">
        <f>IF('Resultado da inspeção'!S151='Resultado da inspeção'!$W$3,0%,Ranking!AE151)</f>
        <v>0.02</v>
      </c>
      <c r="AU151" s="49">
        <f t="shared" si="54"/>
        <v>1</v>
      </c>
    </row>
    <row r="152" spans="2:47" x14ac:dyDescent="0.25">
      <c r="B152" s="48">
        <f>IF('Resultado da inspeção'!F152='Resultado da inspeção'!$W$4,0%,Ranking!B$5)</f>
        <v>0.02</v>
      </c>
      <c r="C152" s="48">
        <f>IF('Resultado da inspeção'!G152='Resultado da inspeção'!$W$4,0%,Ranking!C$5)</f>
        <v>0.03</v>
      </c>
      <c r="D152" s="48">
        <f>IF('Resultado da inspeção'!H152='Resultado da inspeção'!$W$4,0%,Ranking!D$5)</f>
        <v>0.03</v>
      </c>
      <c r="E152" s="48">
        <f>IF('Resultado da inspeção'!I152='Resultado da inspeção'!$W$4,0%,Ranking!E$5)</f>
        <v>0.1</v>
      </c>
      <c r="F152" s="48">
        <f>IF('Resultado da inspeção'!J152='Resultado da inspeção'!$W$4,0%,Ranking!F$5)</f>
        <v>0.21</v>
      </c>
      <c r="G152" s="48">
        <f>IF('Resultado da inspeção'!K152='Resultado da inspeção'!$W$4,0%,Ranking!G$5)</f>
        <v>0.05</v>
      </c>
      <c r="H152" s="48">
        <f>IF('Resultado da inspeção'!L152='Resultado da inspeção'!$W$4,0%,Ranking!H$5)</f>
        <v>0.24</v>
      </c>
      <c r="I152" s="48">
        <f>IF('Resultado da inspeção'!M152='Resultado da inspeção'!$W$4,0%,Ranking!I$5)</f>
        <v>0.05</v>
      </c>
      <c r="J152" s="48">
        <f>IF('Resultado da inspeção'!N152='Resultado da inspeção'!$W$4,0%,Ranking!J$5)</f>
        <v>0.04</v>
      </c>
      <c r="K152" s="48">
        <f>IF('Resultado da inspeção'!O152='Resultado da inspeção'!$W$4,0%,Ranking!K$5)</f>
        <v>0.06</v>
      </c>
      <c r="L152" s="48">
        <f>IF('Resultado da inspeção'!P152='Resultado da inspeção'!$W$4,0%,Ranking!L$5)</f>
        <v>0.08</v>
      </c>
      <c r="M152" s="48">
        <f>IF('Resultado da inspeção'!Q152='Resultado da inspeção'!$W$4,0%,Ranking!M$5)</f>
        <v>0.05</v>
      </c>
      <c r="N152" s="48">
        <f>IF('Resultado da inspeção'!R152='Resultado da inspeção'!$W$4,0%,Ranking!N$5)</f>
        <v>0.02</v>
      </c>
      <c r="O152" s="48">
        <f>IF('Resultado da inspeção'!S152='Resultado da inspeção'!$W$4,0%,Ranking!O$5)</f>
        <v>0.02</v>
      </c>
      <c r="P152" s="47">
        <f t="shared" si="37"/>
        <v>1</v>
      </c>
      <c r="Q152" s="49">
        <f t="shared" si="52"/>
        <v>0</v>
      </c>
      <c r="R152" s="50">
        <f t="shared" si="38"/>
        <v>0.02</v>
      </c>
      <c r="S152" s="50">
        <f t="shared" si="39"/>
        <v>0.03</v>
      </c>
      <c r="T152" s="50">
        <f t="shared" si="40"/>
        <v>0.03</v>
      </c>
      <c r="U152" s="50">
        <f t="shared" si="41"/>
        <v>0.1</v>
      </c>
      <c r="V152" s="50">
        <f t="shared" si="42"/>
        <v>0.21</v>
      </c>
      <c r="W152" s="50">
        <f t="shared" si="43"/>
        <v>0.05</v>
      </c>
      <c r="X152" s="50">
        <f t="shared" si="44"/>
        <v>0.24</v>
      </c>
      <c r="Y152" s="50">
        <f t="shared" si="45"/>
        <v>0.05</v>
      </c>
      <c r="Z152" s="50">
        <f t="shared" si="46"/>
        <v>0.04</v>
      </c>
      <c r="AA152" s="50">
        <f t="shared" si="47"/>
        <v>0.06</v>
      </c>
      <c r="AB152" s="50">
        <f t="shared" si="48"/>
        <v>0.08</v>
      </c>
      <c r="AC152" s="50">
        <f t="shared" si="49"/>
        <v>0.05</v>
      </c>
      <c r="AD152" s="50">
        <f t="shared" si="50"/>
        <v>0.02</v>
      </c>
      <c r="AE152" s="50">
        <f t="shared" si="51"/>
        <v>0.02</v>
      </c>
      <c r="AF152" s="47">
        <f t="shared" si="53"/>
        <v>1</v>
      </c>
      <c r="AG152" s="50">
        <f>IF('Resultado da inspeção'!F152='Resultado da inspeção'!$W$3,0%,Ranking!R152)</f>
        <v>0.02</v>
      </c>
      <c r="AH152" s="50">
        <f>IF('Resultado da inspeção'!G152='Resultado da inspeção'!$W$3,0%,Ranking!S152)</f>
        <v>0.03</v>
      </c>
      <c r="AI152" s="50">
        <f>IF('Resultado da inspeção'!H152='Resultado da inspeção'!$W$3,0%,Ranking!T152)</f>
        <v>0.03</v>
      </c>
      <c r="AJ152" s="50">
        <f>IF('Resultado da inspeção'!I152='Resultado da inspeção'!$W$3,0%,Ranking!U152)</f>
        <v>0.1</v>
      </c>
      <c r="AK152" s="50">
        <f>IF('Resultado da inspeção'!J152='Resultado da inspeção'!$W$3,0%,Ranking!V152)</f>
        <v>0.21</v>
      </c>
      <c r="AL152" s="50">
        <f>IF('Resultado da inspeção'!K152='Resultado da inspeção'!$W$3,0%,Ranking!W152)</f>
        <v>0.05</v>
      </c>
      <c r="AM152" s="50">
        <f>IF('Resultado da inspeção'!L152='Resultado da inspeção'!$W$3,0%,Ranking!X152)</f>
        <v>0.24</v>
      </c>
      <c r="AN152" s="50">
        <f>IF('Resultado da inspeção'!M152='Resultado da inspeção'!$W$3,0%,Ranking!Y152)</f>
        <v>0.05</v>
      </c>
      <c r="AO152" s="50">
        <f>IF('Resultado da inspeção'!N152='Resultado da inspeção'!$W$3,0%,Ranking!Z152)</f>
        <v>0.04</v>
      </c>
      <c r="AP152" s="50">
        <f>IF('Resultado da inspeção'!O152='Resultado da inspeção'!$W$3,0%,Ranking!AA152)</f>
        <v>0.06</v>
      </c>
      <c r="AQ152" s="50">
        <f>IF('Resultado da inspeção'!P152='Resultado da inspeção'!$W$3,0%,Ranking!AB152)</f>
        <v>0.08</v>
      </c>
      <c r="AR152" s="50">
        <f>IF('Resultado da inspeção'!Q152='Resultado da inspeção'!$W$3,0%,Ranking!AC152)</f>
        <v>0.05</v>
      </c>
      <c r="AS152" s="50">
        <f>IF('Resultado da inspeção'!R152='Resultado da inspeção'!$W$3,0%,Ranking!AD152)</f>
        <v>0.02</v>
      </c>
      <c r="AT152" s="50">
        <f>IF('Resultado da inspeção'!S152='Resultado da inspeção'!$W$3,0%,Ranking!AE152)</f>
        <v>0.02</v>
      </c>
      <c r="AU152" s="49">
        <f t="shared" si="54"/>
        <v>1</v>
      </c>
    </row>
    <row r="153" spans="2:47" x14ac:dyDescent="0.25">
      <c r="B153" s="48">
        <f>IF('Resultado da inspeção'!F153='Resultado da inspeção'!$W$4,0%,Ranking!B$5)</f>
        <v>0.02</v>
      </c>
      <c r="C153" s="48">
        <f>IF('Resultado da inspeção'!G153='Resultado da inspeção'!$W$4,0%,Ranking!C$5)</f>
        <v>0.03</v>
      </c>
      <c r="D153" s="48">
        <f>IF('Resultado da inspeção'!H153='Resultado da inspeção'!$W$4,0%,Ranking!D$5)</f>
        <v>0.03</v>
      </c>
      <c r="E153" s="48">
        <f>IF('Resultado da inspeção'!I153='Resultado da inspeção'!$W$4,0%,Ranking!E$5)</f>
        <v>0.1</v>
      </c>
      <c r="F153" s="48">
        <f>IF('Resultado da inspeção'!J153='Resultado da inspeção'!$W$4,0%,Ranking!F$5)</f>
        <v>0.21</v>
      </c>
      <c r="G153" s="48">
        <f>IF('Resultado da inspeção'!K153='Resultado da inspeção'!$W$4,0%,Ranking!G$5)</f>
        <v>0.05</v>
      </c>
      <c r="H153" s="48">
        <f>IF('Resultado da inspeção'!L153='Resultado da inspeção'!$W$4,0%,Ranking!H$5)</f>
        <v>0.24</v>
      </c>
      <c r="I153" s="48">
        <f>IF('Resultado da inspeção'!M153='Resultado da inspeção'!$W$4,0%,Ranking!I$5)</f>
        <v>0.05</v>
      </c>
      <c r="J153" s="48">
        <f>IF('Resultado da inspeção'!N153='Resultado da inspeção'!$W$4,0%,Ranking!J$5)</f>
        <v>0.04</v>
      </c>
      <c r="K153" s="48">
        <f>IF('Resultado da inspeção'!O153='Resultado da inspeção'!$W$4,0%,Ranking!K$5)</f>
        <v>0.06</v>
      </c>
      <c r="L153" s="48">
        <f>IF('Resultado da inspeção'!P153='Resultado da inspeção'!$W$4,0%,Ranking!L$5)</f>
        <v>0.08</v>
      </c>
      <c r="M153" s="48">
        <f>IF('Resultado da inspeção'!Q153='Resultado da inspeção'!$W$4,0%,Ranking!M$5)</f>
        <v>0.05</v>
      </c>
      <c r="N153" s="48">
        <f>IF('Resultado da inspeção'!R153='Resultado da inspeção'!$W$4,0%,Ranking!N$5)</f>
        <v>0.02</v>
      </c>
      <c r="O153" s="48">
        <f>IF('Resultado da inspeção'!S153='Resultado da inspeção'!$W$4,0%,Ranking!O$5)</f>
        <v>0.02</v>
      </c>
      <c r="P153" s="47">
        <f t="shared" si="37"/>
        <v>1</v>
      </c>
      <c r="Q153" s="49">
        <f t="shared" si="52"/>
        <v>0</v>
      </c>
      <c r="R153" s="50">
        <f t="shared" si="38"/>
        <v>0.02</v>
      </c>
      <c r="S153" s="50">
        <f t="shared" si="39"/>
        <v>0.03</v>
      </c>
      <c r="T153" s="50">
        <f t="shared" si="40"/>
        <v>0.03</v>
      </c>
      <c r="U153" s="50">
        <f t="shared" si="41"/>
        <v>0.1</v>
      </c>
      <c r="V153" s="50">
        <f t="shared" si="42"/>
        <v>0.21</v>
      </c>
      <c r="W153" s="50">
        <f t="shared" si="43"/>
        <v>0.05</v>
      </c>
      <c r="X153" s="50">
        <f t="shared" si="44"/>
        <v>0.24</v>
      </c>
      <c r="Y153" s="50">
        <f t="shared" si="45"/>
        <v>0.05</v>
      </c>
      <c r="Z153" s="50">
        <f t="shared" si="46"/>
        <v>0.04</v>
      </c>
      <c r="AA153" s="50">
        <f t="shared" si="47"/>
        <v>0.06</v>
      </c>
      <c r="AB153" s="50">
        <f t="shared" si="48"/>
        <v>0.08</v>
      </c>
      <c r="AC153" s="50">
        <f t="shared" si="49"/>
        <v>0.05</v>
      </c>
      <c r="AD153" s="50">
        <f t="shared" si="50"/>
        <v>0.02</v>
      </c>
      <c r="AE153" s="50">
        <f t="shared" si="51"/>
        <v>0.02</v>
      </c>
      <c r="AF153" s="47">
        <f t="shared" si="53"/>
        <v>1</v>
      </c>
      <c r="AG153" s="50">
        <f>IF('Resultado da inspeção'!F153='Resultado da inspeção'!$W$3,0%,Ranking!R153)</f>
        <v>0.02</v>
      </c>
      <c r="AH153" s="50">
        <f>IF('Resultado da inspeção'!G153='Resultado da inspeção'!$W$3,0%,Ranking!S153)</f>
        <v>0.03</v>
      </c>
      <c r="AI153" s="50">
        <f>IF('Resultado da inspeção'!H153='Resultado da inspeção'!$W$3,0%,Ranking!T153)</f>
        <v>0.03</v>
      </c>
      <c r="AJ153" s="50">
        <f>IF('Resultado da inspeção'!I153='Resultado da inspeção'!$W$3,0%,Ranking!U153)</f>
        <v>0.1</v>
      </c>
      <c r="AK153" s="50">
        <f>IF('Resultado da inspeção'!J153='Resultado da inspeção'!$W$3,0%,Ranking!V153)</f>
        <v>0.21</v>
      </c>
      <c r="AL153" s="50">
        <f>IF('Resultado da inspeção'!K153='Resultado da inspeção'!$W$3,0%,Ranking!W153)</f>
        <v>0.05</v>
      </c>
      <c r="AM153" s="50">
        <f>IF('Resultado da inspeção'!L153='Resultado da inspeção'!$W$3,0%,Ranking!X153)</f>
        <v>0.24</v>
      </c>
      <c r="AN153" s="50">
        <f>IF('Resultado da inspeção'!M153='Resultado da inspeção'!$W$3,0%,Ranking!Y153)</f>
        <v>0.05</v>
      </c>
      <c r="AO153" s="50">
        <f>IF('Resultado da inspeção'!N153='Resultado da inspeção'!$W$3,0%,Ranking!Z153)</f>
        <v>0.04</v>
      </c>
      <c r="AP153" s="50">
        <f>IF('Resultado da inspeção'!O153='Resultado da inspeção'!$W$3,0%,Ranking!AA153)</f>
        <v>0.06</v>
      </c>
      <c r="AQ153" s="50">
        <f>IF('Resultado da inspeção'!P153='Resultado da inspeção'!$W$3,0%,Ranking!AB153)</f>
        <v>0.08</v>
      </c>
      <c r="AR153" s="50">
        <f>IF('Resultado da inspeção'!Q153='Resultado da inspeção'!$W$3,0%,Ranking!AC153)</f>
        <v>0.05</v>
      </c>
      <c r="AS153" s="50">
        <f>IF('Resultado da inspeção'!R153='Resultado da inspeção'!$W$3,0%,Ranking!AD153)</f>
        <v>0.02</v>
      </c>
      <c r="AT153" s="50">
        <f>IF('Resultado da inspeção'!S153='Resultado da inspeção'!$W$3,0%,Ranking!AE153)</f>
        <v>0.02</v>
      </c>
      <c r="AU153" s="49">
        <f t="shared" si="54"/>
        <v>1</v>
      </c>
    </row>
    <row r="154" spans="2:47" x14ac:dyDescent="0.25">
      <c r="B154" s="48">
        <f>IF('Resultado da inspeção'!F154='Resultado da inspeção'!$W$4,0%,Ranking!B$5)</f>
        <v>0.02</v>
      </c>
      <c r="C154" s="48">
        <f>IF('Resultado da inspeção'!G154='Resultado da inspeção'!$W$4,0%,Ranking!C$5)</f>
        <v>0.03</v>
      </c>
      <c r="D154" s="48">
        <f>IF('Resultado da inspeção'!H154='Resultado da inspeção'!$W$4,0%,Ranking!D$5)</f>
        <v>0.03</v>
      </c>
      <c r="E154" s="48">
        <f>IF('Resultado da inspeção'!I154='Resultado da inspeção'!$W$4,0%,Ranking!E$5)</f>
        <v>0.1</v>
      </c>
      <c r="F154" s="48">
        <f>IF('Resultado da inspeção'!J154='Resultado da inspeção'!$W$4,0%,Ranking!F$5)</f>
        <v>0.21</v>
      </c>
      <c r="G154" s="48">
        <f>IF('Resultado da inspeção'!K154='Resultado da inspeção'!$W$4,0%,Ranking!G$5)</f>
        <v>0.05</v>
      </c>
      <c r="H154" s="48">
        <f>IF('Resultado da inspeção'!L154='Resultado da inspeção'!$W$4,0%,Ranking!H$5)</f>
        <v>0.24</v>
      </c>
      <c r="I154" s="48">
        <f>IF('Resultado da inspeção'!M154='Resultado da inspeção'!$W$4,0%,Ranking!I$5)</f>
        <v>0.05</v>
      </c>
      <c r="J154" s="48">
        <f>IF('Resultado da inspeção'!N154='Resultado da inspeção'!$W$4,0%,Ranking!J$5)</f>
        <v>0.04</v>
      </c>
      <c r="K154" s="48">
        <f>IF('Resultado da inspeção'!O154='Resultado da inspeção'!$W$4,0%,Ranking!K$5)</f>
        <v>0.06</v>
      </c>
      <c r="L154" s="48">
        <f>IF('Resultado da inspeção'!P154='Resultado da inspeção'!$W$4,0%,Ranking!L$5)</f>
        <v>0.08</v>
      </c>
      <c r="M154" s="48">
        <f>IF('Resultado da inspeção'!Q154='Resultado da inspeção'!$W$4,0%,Ranking!M$5)</f>
        <v>0.05</v>
      </c>
      <c r="N154" s="48">
        <f>IF('Resultado da inspeção'!R154='Resultado da inspeção'!$W$4,0%,Ranking!N$5)</f>
        <v>0.02</v>
      </c>
      <c r="O154" s="48">
        <f>IF('Resultado da inspeção'!S154='Resultado da inspeção'!$W$4,0%,Ranking!O$5)</f>
        <v>0.02</v>
      </c>
      <c r="P154" s="47">
        <f t="shared" si="37"/>
        <v>1</v>
      </c>
      <c r="Q154" s="49">
        <f t="shared" si="52"/>
        <v>0</v>
      </c>
      <c r="R154" s="50">
        <f t="shared" si="38"/>
        <v>0.02</v>
      </c>
      <c r="S154" s="50">
        <f t="shared" si="39"/>
        <v>0.03</v>
      </c>
      <c r="T154" s="50">
        <f t="shared" si="40"/>
        <v>0.03</v>
      </c>
      <c r="U154" s="50">
        <f t="shared" si="41"/>
        <v>0.1</v>
      </c>
      <c r="V154" s="50">
        <f t="shared" si="42"/>
        <v>0.21</v>
      </c>
      <c r="W154" s="50">
        <f t="shared" si="43"/>
        <v>0.05</v>
      </c>
      <c r="X154" s="50">
        <f t="shared" si="44"/>
        <v>0.24</v>
      </c>
      <c r="Y154" s="50">
        <f t="shared" si="45"/>
        <v>0.05</v>
      </c>
      <c r="Z154" s="50">
        <f t="shared" si="46"/>
        <v>0.04</v>
      </c>
      <c r="AA154" s="50">
        <f t="shared" si="47"/>
        <v>0.06</v>
      </c>
      <c r="AB154" s="50">
        <f t="shared" si="48"/>
        <v>0.08</v>
      </c>
      <c r="AC154" s="50">
        <f t="shared" si="49"/>
        <v>0.05</v>
      </c>
      <c r="AD154" s="50">
        <f t="shared" si="50"/>
        <v>0.02</v>
      </c>
      <c r="AE154" s="50">
        <f t="shared" si="51"/>
        <v>0.02</v>
      </c>
      <c r="AF154" s="47">
        <f t="shared" si="53"/>
        <v>1</v>
      </c>
      <c r="AG154" s="50">
        <f>IF('Resultado da inspeção'!F154='Resultado da inspeção'!$W$3,0%,Ranking!R154)</f>
        <v>0.02</v>
      </c>
      <c r="AH154" s="50">
        <f>IF('Resultado da inspeção'!G154='Resultado da inspeção'!$W$3,0%,Ranking!S154)</f>
        <v>0.03</v>
      </c>
      <c r="AI154" s="50">
        <f>IF('Resultado da inspeção'!H154='Resultado da inspeção'!$W$3,0%,Ranking!T154)</f>
        <v>0.03</v>
      </c>
      <c r="AJ154" s="50">
        <f>IF('Resultado da inspeção'!I154='Resultado da inspeção'!$W$3,0%,Ranking!U154)</f>
        <v>0.1</v>
      </c>
      <c r="AK154" s="50">
        <f>IF('Resultado da inspeção'!J154='Resultado da inspeção'!$W$3,0%,Ranking!V154)</f>
        <v>0.21</v>
      </c>
      <c r="AL154" s="50">
        <f>IF('Resultado da inspeção'!K154='Resultado da inspeção'!$W$3,0%,Ranking!W154)</f>
        <v>0.05</v>
      </c>
      <c r="AM154" s="50">
        <f>IF('Resultado da inspeção'!L154='Resultado da inspeção'!$W$3,0%,Ranking!X154)</f>
        <v>0.24</v>
      </c>
      <c r="AN154" s="50">
        <f>IF('Resultado da inspeção'!M154='Resultado da inspeção'!$W$3,0%,Ranking!Y154)</f>
        <v>0.05</v>
      </c>
      <c r="AO154" s="50">
        <f>IF('Resultado da inspeção'!N154='Resultado da inspeção'!$W$3,0%,Ranking!Z154)</f>
        <v>0.04</v>
      </c>
      <c r="AP154" s="50">
        <f>IF('Resultado da inspeção'!O154='Resultado da inspeção'!$W$3,0%,Ranking!AA154)</f>
        <v>0.06</v>
      </c>
      <c r="AQ154" s="50">
        <f>IF('Resultado da inspeção'!P154='Resultado da inspeção'!$W$3,0%,Ranking!AB154)</f>
        <v>0.08</v>
      </c>
      <c r="AR154" s="50">
        <f>IF('Resultado da inspeção'!Q154='Resultado da inspeção'!$W$3,0%,Ranking!AC154)</f>
        <v>0.05</v>
      </c>
      <c r="AS154" s="50">
        <f>IF('Resultado da inspeção'!R154='Resultado da inspeção'!$W$3,0%,Ranking!AD154)</f>
        <v>0.02</v>
      </c>
      <c r="AT154" s="50">
        <f>IF('Resultado da inspeção'!S154='Resultado da inspeção'!$W$3,0%,Ranking!AE154)</f>
        <v>0.02</v>
      </c>
      <c r="AU154" s="49">
        <f t="shared" si="54"/>
        <v>1</v>
      </c>
    </row>
    <row r="155" spans="2:47" x14ac:dyDescent="0.25">
      <c r="B155" s="48">
        <f>IF('Resultado da inspeção'!F155='Resultado da inspeção'!$W$4,0%,Ranking!B$5)</f>
        <v>0.02</v>
      </c>
      <c r="C155" s="48">
        <f>IF('Resultado da inspeção'!G155='Resultado da inspeção'!$W$4,0%,Ranking!C$5)</f>
        <v>0.03</v>
      </c>
      <c r="D155" s="48">
        <f>IF('Resultado da inspeção'!H155='Resultado da inspeção'!$W$4,0%,Ranking!D$5)</f>
        <v>0.03</v>
      </c>
      <c r="E155" s="48">
        <f>IF('Resultado da inspeção'!I155='Resultado da inspeção'!$W$4,0%,Ranking!E$5)</f>
        <v>0.1</v>
      </c>
      <c r="F155" s="48">
        <f>IF('Resultado da inspeção'!J155='Resultado da inspeção'!$W$4,0%,Ranking!F$5)</f>
        <v>0.21</v>
      </c>
      <c r="G155" s="48">
        <f>IF('Resultado da inspeção'!K155='Resultado da inspeção'!$W$4,0%,Ranking!G$5)</f>
        <v>0.05</v>
      </c>
      <c r="H155" s="48">
        <f>IF('Resultado da inspeção'!L155='Resultado da inspeção'!$W$4,0%,Ranking!H$5)</f>
        <v>0.24</v>
      </c>
      <c r="I155" s="48">
        <f>IF('Resultado da inspeção'!M155='Resultado da inspeção'!$W$4,0%,Ranking!I$5)</f>
        <v>0.05</v>
      </c>
      <c r="J155" s="48">
        <f>IF('Resultado da inspeção'!N155='Resultado da inspeção'!$W$4,0%,Ranking!J$5)</f>
        <v>0.04</v>
      </c>
      <c r="K155" s="48">
        <f>IF('Resultado da inspeção'!O155='Resultado da inspeção'!$W$4,0%,Ranking!K$5)</f>
        <v>0.06</v>
      </c>
      <c r="L155" s="48">
        <f>IF('Resultado da inspeção'!P155='Resultado da inspeção'!$W$4,0%,Ranking!L$5)</f>
        <v>0.08</v>
      </c>
      <c r="M155" s="48">
        <f>IF('Resultado da inspeção'!Q155='Resultado da inspeção'!$W$4,0%,Ranking!M$5)</f>
        <v>0.05</v>
      </c>
      <c r="N155" s="48">
        <f>IF('Resultado da inspeção'!R155='Resultado da inspeção'!$W$4,0%,Ranking!N$5)</f>
        <v>0.02</v>
      </c>
      <c r="O155" s="48">
        <f>IF('Resultado da inspeção'!S155='Resultado da inspeção'!$W$4,0%,Ranking!O$5)</f>
        <v>0.02</v>
      </c>
      <c r="P155" s="47">
        <f t="shared" si="37"/>
        <v>1</v>
      </c>
      <c r="Q155" s="49">
        <f t="shared" si="52"/>
        <v>0</v>
      </c>
      <c r="R155" s="50">
        <f t="shared" si="38"/>
        <v>0.02</v>
      </c>
      <c r="S155" s="50">
        <f t="shared" si="39"/>
        <v>0.03</v>
      </c>
      <c r="T155" s="50">
        <f t="shared" si="40"/>
        <v>0.03</v>
      </c>
      <c r="U155" s="50">
        <f t="shared" si="41"/>
        <v>0.1</v>
      </c>
      <c r="V155" s="50">
        <f t="shared" si="42"/>
        <v>0.21</v>
      </c>
      <c r="W155" s="50">
        <f t="shared" si="43"/>
        <v>0.05</v>
      </c>
      <c r="X155" s="50">
        <f t="shared" si="44"/>
        <v>0.24</v>
      </c>
      <c r="Y155" s="50">
        <f t="shared" si="45"/>
        <v>0.05</v>
      </c>
      <c r="Z155" s="50">
        <f t="shared" si="46"/>
        <v>0.04</v>
      </c>
      <c r="AA155" s="50">
        <f t="shared" si="47"/>
        <v>0.06</v>
      </c>
      <c r="AB155" s="50">
        <f t="shared" si="48"/>
        <v>0.08</v>
      </c>
      <c r="AC155" s="50">
        <f t="shared" si="49"/>
        <v>0.05</v>
      </c>
      <c r="AD155" s="50">
        <f t="shared" si="50"/>
        <v>0.02</v>
      </c>
      <c r="AE155" s="50">
        <f t="shared" si="51"/>
        <v>0.02</v>
      </c>
      <c r="AF155" s="47">
        <f t="shared" si="53"/>
        <v>1</v>
      </c>
      <c r="AG155" s="50">
        <f>IF('Resultado da inspeção'!F155='Resultado da inspeção'!$W$3,0%,Ranking!R155)</f>
        <v>0.02</v>
      </c>
      <c r="AH155" s="50">
        <f>IF('Resultado da inspeção'!G155='Resultado da inspeção'!$W$3,0%,Ranking!S155)</f>
        <v>0.03</v>
      </c>
      <c r="AI155" s="50">
        <f>IF('Resultado da inspeção'!H155='Resultado da inspeção'!$W$3,0%,Ranking!T155)</f>
        <v>0.03</v>
      </c>
      <c r="AJ155" s="50">
        <f>IF('Resultado da inspeção'!I155='Resultado da inspeção'!$W$3,0%,Ranking!U155)</f>
        <v>0.1</v>
      </c>
      <c r="AK155" s="50">
        <f>IF('Resultado da inspeção'!J155='Resultado da inspeção'!$W$3,0%,Ranking!V155)</f>
        <v>0.21</v>
      </c>
      <c r="AL155" s="50">
        <f>IF('Resultado da inspeção'!K155='Resultado da inspeção'!$W$3,0%,Ranking!W155)</f>
        <v>0.05</v>
      </c>
      <c r="AM155" s="50">
        <f>IF('Resultado da inspeção'!L155='Resultado da inspeção'!$W$3,0%,Ranking!X155)</f>
        <v>0.24</v>
      </c>
      <c r="AN155" s="50">
        <f>IF('Resultado da inspeção'!M155='Resultado da inspeção'!$W$3,0%,Ranking!Y155)</f>
        <v>0.05</v>
      </c>
      <c r="AO155" s="50">
        <f>IF('Resultado da inspeção'!N155='Resultado da inspeção'!$W$3,0%,Ranking!Z155)</f>
        <v>0.04</v>
      </c>
      <c r="AP155" s="50">
        <f>IF('Resultado da inspeção'!O155='Resultado da inspeção'!$W$3,0%,Ranking!AA155)</f>
        <v>0.06</v>
      </c>
      <c r="AQ155" s="50">
        <f>IF('Resultado da inspeção'!P155='Resultado da inspeção'!$W$3,0%,Ranking!AB155)</f>
        <v>0.08</v>
      </c>
      <c r="AR155" s="50">
        <f>IF('Resultado da inspeção'!Q155='Resultado da inspeção'!$W$3,0%,Ranking!AC155)</f>
        <v>0.05</v>
      </c>
      <c r="AS155" s="50">
        <f>IF('Resultado da inspeção'!R155='Resultado da inspeção'!$W$3,0%,Ranking!AD155)</f>
        <v>0.02</v>
      </c>
      <c r="AT155" s="50">
        <f>IF('Resultado da inspeção'!S155='Resultado da inspeção'!$W$3,0%,Ranking!AE155)</f>
        <v>0.02</v>
      </c>
      <c r="AU155" s="49">
        <f t="shared" si="54"/>
        <v>1</v>
      </c>
    </row>
    <row r="156" spans="2:47" x14ac:dyDescent="0.25">
      <c r="B156" s="48">
        <f>IF('Resultado da inspeção'!F156='Resultado da inspeção'!$W$4,0%,Ranking!B$5)</f>
        <v>0.02</v>
      </c>
      <c r="C156" s="48">
        <f>IF('Resultado da inspeção'!G156='Resultado da inspeção'!$W$4,0%,Ranking!C$5)</f>
        <v>0.03</v>
      </c>
      <c r="D156" s="48">
        <f>IF('Resultado da inspeção'!H156='Resultado da inspeção'!$W$4,0%,Ranking!D$5)</f>
        <v>0.03</v>
      </c>
      <c r="E156" s="48">
        <f>IF('Resultado da inspeção'!I156='Resultado da inspeção'!$W$4,0%,Ranking!E$5)</f>
        <v>0.1</v>
      </c>
      <c r="F156" s="48">
        <f>IF('Resultado da inspeção'!J156='Resultado da inspeção'!$W$4,0%,Ranking!F$5)</f>
        <v>0.21</v>
      </c>
      <c r="G156" s="48">
        <f>IF('Resultado da inspeção'!K156='Resultado da inspeção'!$W$4,0%,Ranking!G$5)</f>
        <v>0.05</v>
      </c>
      <c r="H156" s="48">
        <f>IF('Resultado da inspeção'!L156='Resultado da inspeção'!$W$4,0%,Ranking!H$5)</f>
        <v>0.24</v>
      </c>
      <c r="I156" s="48">
        <f>IF('Resultado da inspeção'!M156='Resultado da inspeção'!$W$4,0%,Ranking!I$5)</f>
        <v>0.05</v>
      </c>
      <c r="J156" s="48">
        <f>IF('Resultado da inspeção'!N156='Resultado da inspeção'!$W$4,0%,Ranking!J$5)</f>
        <v>0.04</v>
      </c>
      <c r="K156" s="48">
        <f>IF('Resultado da inspeção'!O156='Resultado da inspeção'!$W$4,0%,Ranking!K$5)</f>
        <v>0.06</v>
      </c>
      <c r="L156" s="48">
        <f>IF('Resultado da inspeção'!P156='Resultado da inspeção'!$W$4,0%,Ranking!L$5)</f>
        <v>0.08</v>
      </c>
      <c r="M156" s="48">
        <f>IF('Resultado da inspeção'!Q156='Resultado da inspeção'!$W$4,0%,Ranking!M$5)</f>
        <v>0.05</v>
      </c>
      <c r="N156" s="48">
        <f>IF('Resultado da inspeção'!R156='Resultado da inspeção'!$W$4,0%,Ranking!N$5)</f>
        <v>0.02</v>
      </c>
      <c r="O156" s="48">
        <f>IF('Resultado da inspeção'!S156='Resultado da inspeção'!$W$4,0%,Ranking!O$5)</f>
        <v>0.02</v>
      </c>
      <c r="P156" s="47">
        <f t="shared" si="37"/>
        <v>1</v>
      </c>
      <c r="Q156" s="49">
        <f t="shared" si="52"/>
        <v>0</v>
      </c>
      <c r="R156" s="50">
        <f t="shared" si="38"/>
        <v>0.02</v>
      </c>
      <c r="S156" s="50">
        <f t="shared" si="39"/>
        <v>0.03</v>
      </c>
      <c r="T156" s="50">
        <f t="shared" si="40"/>
        <v>0.03</v>
      </c>
      <c r="U156" s="50">
        <f t="shared" si="41"/>
        <v>0.1</v>
      </c>
      <c r="V156" s="50">
        <f t="shared" si="42"/>
        <v>0.21</v>
      </c>
      <c r="W156" s="50">
        <f t="shared" si="43"/>
        <v>0.05</v>
      </c>
      <c r="X156" s="50">
        <f t="shared" si="44"/>
        <v>0.24</v>
      </c>
      <c r="Y156" s="50">
        <f t="shared" si="45"/>
        <v>0.05</v>
      </c>
      <c r="Z156" s="50">
        <f t="shared" si="46"/>
        <v>0.04</v>
      </c>
      <c r="AA156" s="50">
        <f t="shared" si="47"/>
        <v>0.06</v>
      </c>
      <c r="AB156" s="50">
        <f t="shared" si="48"/>
        <v>0.08</v>
      </c>
      <c r="AC156" s="50">
        <f t="shared" si="49"/>
        <v>0.05</v>
      </c>
      <c r="AD156" s="50">
        <f t="shared" si="50"/>
        <v>0.02</v>
      </c>
      <c r="AE156" s="50">
        <f t="shared" si="51"/>
        <v>0.02</v>
      </c>
      <c r="AF156" s="47">
        <f t="shared" si="53"/>
        <v>1</v>
      </c>
      <c r="AG156" s="50">
        <f>IF('Resultado da inspeção'!F156='Resultado da inspeção'!$W$3,0%,Ranking!R156)</f>
        <v>0.02</v>
      </c>
      <c r="AH156" s="50">
        <f>IF('Resultado da inspeção'!G156='Resultado da inspeção'!$W$3,0%,Ranking!S156)</f>
        <v>0.03</v>
      </c>
      <c r="AI156" s="50">
        <f>IF('Resultado da inspeção'!H156='Resultado da inspeção'!$W$3,0%,Ranking!T156)</f>
        <v>0.03</v>
      </c>
      <c r="AJ156" s="50">
        <f>IF('Resultado da inspeção'!I156='Resultado da inspeção'!$W$3,0%,Ranking!U156)</f>
        <v>0.1</v>
      </c>
      <c r="AK156" s="50">
        <f>IF('Resultado da inspeção'!J156='Resultado da inspeção'!$W$3,0%,Ranking!V156)</f>
        <v>0.21</v>
      </c>
      <c r="AL156" s="50">
        <f>IF('Resultado da inspeção'!K156='Resultado da inspeção'!$W$3,0%,Ranking!W156)</f>
        <v>0.05</v>
      </c>
      <c r="AM156" s="50">
        <f>IF('Resultado da inspeção'!L156='Resultado da inspeção'!$W$3,0%,Ranking!X156)</f>
        <v>0.24</v>
      </c>
      <c r="AN156" s="50">
        <f>IF('Resultado da inspeção'!M156='Resultado da inspeção'!$W$3,0%,Ranking!Y156)</f>
        <v>0.05</v>
      </c>
      <c r="AO156" s="50">
        <f>IF('Resultado da inspeção'!N156='Resultado da inspeção'!$W$3,0%,Ranking!Z156)</f>
        <v>0.04</v>
      </c>
      <c r="AP156" s="50">
        <f>IF('Resultado da inspeção'!O156='Resultado da inspeção'!$W$3,0%,Ranking!AA156)</f>
        <v>0.06</v>
      </c>
      <c r="AQ156" s="50">
        <f>IF('Resultado da inspeção'!P156='Resultado da inspeção'!$W$3,0%,Ranking!AB156)</f>
        <v>0.08</v>
      </c>
      <c r="AR156" s="50">
        <f>IF('Resultado da inspeção'!Q156='Resultado da inspeção'!$W$3,0%,Ranking!AC156)</f>
        <v>0.05</v>
      </c>
      <c r="AS156" s="50">
        <f>IF('Resultado da inspeção'!R156='Resultado da inspeção'!$W$3,0%,Ranking!AD156)</f>
        <v>0.02</v>
      </c>
      <c r="AT156" s="50">
        <f>IF('Resultado da inspeção'!S156='Resultado da inspeção'!$W$3,0%,Ranking!AE156)</f>
        <v>0.02</v>
      </c>
      <c r="AU156" s="49">
        <f t="shared" si="54"/>
        <v>1</v>
      </c>
    </row>
    <row r="157" spans="2:47" x14ac:dyDescent="0.25">
      <c r="B157" s="48">
        <f>IF('Resultado da inspeção'!F157='Resultado da inspeção'!$W$4,0%,Ranking!B$5)</f>
        <v>0.02</v>
      </c>
      <c r="C157" s="48">
        <f>IF('Resultado da inspeção'!G157='Resultado da inspeção'!$W$4,0%,Ranking!C$5)</f>
        <v>0.03</v>
      </c>
      <c r="D157" s="48">
        <f>IF('Resultado da inspeção'!H157='Resultado da inspeção'!$W$4,0%,Ranking!D$5)</f>
        <v>0.03</v>
      </c>
      <c r="E157" s="48">
        <f>IF('Resultado da inspeção'!I157='Resultado da inspeção'!$W$4,0%,Ranking!E$5)</f>
        <v>0.1</v>
      </c>
      <c r="F157" s="48">
        <f>IF('Resultado da inspeção'!J157='Resultado da inspeção'!$W$4,0%,Ranking!F$5)</f>
        <v>0.21</v>
      </c>
      <c r="G157" s="48">
        <f>IF('Resultado da inspeção'!K157='Resultado da inspeção'!$W$4,0%,Ranking!G$5)</f>
        <v>0.05</v>
      </c>
      <c r="H157" s="48">
        <f>IF('Resultado da inspeção'!L157='Resultado da inspeção'!$W$4,0%,Ranking!H$5)</f>
        <v>0.24</v>
      </c>
      <c r="I157" s="48">
        <f>IF('Resultado da inspeção'!M157='Resultado da inspeção'!$W$4,0%,Ranking!I$5)</f>
        <v>0.05</v>
      </c>
      <c r="J157" s="48">
        <f>IF('Resultado da inspeção'!N157='Resultado da inspeção'!$W$4,0%,Ranking!J$5)</f>
        <v>0.04</v>
      </c>
      <c r="K157" s="48">
        <f>IF('Resultado da inspeção'!O157='Resultado da inspeção'!$W$4,0%,Ranking!K$5)</f>
        <v>0.06</v>
      </c>
      <c r="L157" s="48">
        <f>IF('Resultado da inspeção'!P157='Resultado da inspeção'!$W$4,0%,Ranking!L$5)</f>
        <v>0.08</v>
      </c>
      <c r="M157" s="48">
        <f>IF('Resultado da inspeção'!Q157='Resultado da inspeção'!$W$4,0%,Ranking!M$5)</f>
        <v>0.05</v>
      </c>
      <c r="N157" s="48">
        <f>IF('Resultado da inspeção'!R157='Resultado da inspeção'!$W$4,0%,Ranking!N$5)</f>
        <v>0.02</v>
      </c>
      <c r="O157" s="48">
        <f>IF('Resultado da inspeção'!S157='Resultado da inspeção'!$W$4,0%,Ranking!O$5)</f>
        <v>0.02</v>
      </c>
      <c r="P157" s="47">
        <f t="shared" si="37"/>
        <v>1</v>
      </c>
      <c r="Q157" s="49">
        <f t="shared" si="52"/>
        <v>0</v>
      </c>
      <c r="R157" s="50">
        <f t="shared" si="38"/>
        <v>0.02</v>
      </c>
      <c r="S157" s="50">
        <f t="shared" si="39"/>
        <v>0.03</v>
      </c>
      <c r="T157" s="50">
        <f t="shared" si="40"/>
        <v>0.03</v>
      </c>
      <c r="U157" s="50">
        <f t="shared" si="41"/>
        <v>0.1</v>
      </c>
      <c r="V157" s="50">
        <f t="shared" si="42"/>
        <v>0.21</v>
      </c>
      <c r="W157" s="50">
        <f t="shared" si="43"/>
        <v>0.05</v>
      </c>
      <c r="X157" s="50">
        <f t="shared" si="44"/>
        <v>0.24</v>
      </c>
      <c r="Y157" s="50">
        <f t="shared" si="45"/>
        <v>0.05</v>
      </c>
      <c r="Z157" s="50">
        <f t="shared" si="46"/>
        <v>0.04</v>
      </c>
      <c r="AA157" s="50">
        <f t="shared" si="47"/>
        <v>0.06</v>
      </c>
      <c r="AB157" s="50">
        <f t="shared" si="48"/>
        <v>0.08</v>
      </c>
      <c r="AC157" s="50">
        <f t="shared" si="49"/>
        <v>0.05</v>
      </c>
      <c r="AD157" s="50">
        <f t="shared" si="50"/>
        <v>0.02</v>
      </c>
      <c r="AE157" s="50">
        <f t="shared" si="51"/>
        <v>0.02</v>
      </c>
      <c r="AF157" s="47">
        <f t="shared" si="53"/>
        <v>1</v>
      </c>
      <c r="AG157" s="50">
        <f>IF('Resultado da inspeção'!F157='Resultado da inspeção'!$W$3,0%,Ranking!R157)</f>
        <v>0.02</v>
      </c>
      <c r="AH157" s="50">
        <f>IF('Resultado da inspeção'!G157='Resultado da inspeção'!$W$3,0%,Ranking!S157)</f>
        <v>0.03</v>
      </c>
      <c r="AI157" s="50">
        <f>IF('Resultado da inspeção'!H157='Resultado da inspeção'!$W$3,0%,Ranking!T157)</f>
        <v>0.03</v>
      </c>
      <c r="AJ157" s="50">
        <f>IF('Resultado da inspeção'!I157='Resultado da inspeção'!$W$3,0%,Ranking!U157)</f>
        <v>0.1</v>
      </c>
      <c r="AK157" s="50">
        <f>IF('Resultado da inspeção'!J157='Resultado da inspeção'!$W$3,0%,Ranking!V157)</f>
        <v>0.21</v>
      </c>
      <c r="AL157" s="50">
        <f>IF('Resultado da inspeção'!K157='Resultado da inspeção'!$W$3,0%,Ranking!W157)</f>
        <v>0.05</v>
      </c>
      <c r="AM157" s="50">
        <f>IF('Resultado da inspeção'!L157='Resultado da inspeção'!$W$3,0%,Ranking!X157)</f>
        <v>0.24</v>
      </c>
      <c r="AN157" s="50">
        <f>IF('Resultado da inspeção'!M157='Resultado da inspeção'!$W$3,0%,Ranking!Y157)</f>
        <v>0.05</v>
      </c>
      <c r="AO157" s="50">
        <f>IF('Resultado da inspeção'!N157='Resultado da inspeção'!$W$3,0%,Ranking!Z157)</f>
        <v>0.04</v>
      </c>
      <c r="AP157" s="50">
        <f>IF('Resultado da inspeção'!O157='Resultado da inspeção'!$W$3,0%,Ranking!AA157)</f>
        <v>0.06</v>
      </c>
      <c r="AQ157" s="50">
        <f>IF('Resultado da inspeção'!P157='Resultado da inspeção'!$W$3,0%,Ranking!AB157)</f>
        <v>0.08</v>
      </c>
      <c r="AR157" s="50">
        <f>IF('Resultado da inspeção'!Q157='Resultado da inspeção'!$W$3,0%,Ranking!AC157)</f>
        <v>0.05</v>
      </c>
      <c r="AS157" s="50">
        <f>IF('Resultado da inspeção'!R157='Resultado da inspeção'!$W$3,0%,Ranking!AD157)</f>
        <v>0.02</v>
      </c>
      <c r="AT157" s="50">
        <f>IF('Resultado da inspeção'!S157='Resultado da inspeção'!$W$3,0%,Ranking!AE157)</f>
        <v>0.02</v>
      </c>
      <c r="AU157" s="49">
        <f t="shared" si="54"/>
        <v>1</v>
      </c>
    </row>
    <row r="158" spans="2:47" x14ac:dyDescent="0.25">
      <c r="B158" s="48">
        <f>IF('Resultado da inspeção'!F158='Resultado da inspeção'!$W$4,0%,Ranking!B$5)</f>
        <v>0.02</v>
      </c>
      <c r="C158" s="48">
        <f>IF('Resultado da inspeção'!G158='Resultado da inspeção'!$W$4,0%,Ranking!C$5)</f>
        <v>0.03</v>
      </c>
      <c r="D158" s="48">
        <f>IF('Resultado da inspeção'!H158='Resultado da inspeção'!$W$4,0%,Ranking!D$5)</f>
        <v>0.03</v>
      </c>
      <c r="E158" s="48">
        <f>IF('Resultado da inspeção'!I158='Resultado da inspeção'!$W$4,0%,Ranking!E$5)</f>
        <v>0.1</v>
      </c>
      <c r="F158" s="48">
        <f>IF('Resultado da inspeção'!J158='Resultado da inspeção'!$W$4,0%,Ranking!F$5)</f>
        <v>0.21</v>
      </c>
      <c r="G158" s="48">
        <f>IF('Resultado da inspeção'!K158='Resultado da inspeção'!$W$4,0%,Ranking!G$5)</f>
        <v>0.05</v>
      </c>
      <c r="H158" s="48">
        <f>IF('Resultado da inspeção'!L158='Resultado da inspeção'!$W$4,0%,Ranking!H$5)</f>
        <v>0.24</v>
      </c>
      <c r="I158" s="48">
        <f>IF('Resultado da inspeção'!M158='Resultado da inspeção'!$W$4,0%,Ranking!I$5)</f>
        <v>0.05</v>
      </c>
      <c r="J158" s="48">
        <f>IF('Resultado da inspeção'!N158='Resultado da inspeção'!$W$4,0%,Ranking!J$5)</f>
        <v>0.04</v>
      </c>
      <c r="K158" s="48">
        <f>IF('Resultado da inspeção'!O158='Resultado da inspeção'!$W$4,0%,Ranking!K$5)</f>
        <v>0.06</v>
      </c>
      <c r="L158" s="48">
        <f>IF('Resultado da inspeção'!P158='Resultado da inspeção'!$W$4,0%,Ranking!L$5)</f>
        <v>0.08</v>
      </c>
      <c r="M158" s="48">
        <f>IF('Resultado da inspeção'!Q158='Resultado da inspeção'!$W$4,0%,Ranking!M$5)</f>
        <v>0.05</v>
      </c>
      <c r="N158" s="48">
        <f>IF('Resultado da inspeção'!R158='Resultado da inspeção'!$W$4,0%,Ranking!N$5)</f>
        <v>0.02</v>
      </c>
      <c r="O158" s="48">
        <f>IF('Resultado da inspeção'!S158='Resultado da inspeção'!$W$4,0%,Ranking!O$5)</f>
        <v>0.02</v>
      </c>
      <c r="P158" s="47">
        <f t="shared" si="37"/>
        <v>1</v>
      </c>
      <c r="Q158" s="49">
        <f t="shared" si="52"/>
        <v>0</v>
      </c>
      <c r="R158" s="50">
        <f t="shared" si="38"/>
        <v>0.02</v>
      </c>
      <c r="S158" s="50">
        <f t="shared" si="39"/>
        <v>0.03</v>
      </c>
      <c r="T158" s="50">
        <f t="shared" si="40"/>
        <v>0.03</v>
      </c>
      <c r="U158" s="50">
        <f t="shared" si="41"/>
        <v>0.1</v>
      </c>
      <c r="V158" s="50">
        <f t="shared" si="42"/>
        <v>0.21</v>
      </c>
      <c r="W158" s="50">
        <f t="shared" si="43"/>
        <v>0.05</v>
      </c>
      <c r="X158" s="50">
        <f t="shared" si="44"/>
        <v>0.24</v>
      </c>
      <c r="Y158" s="50">
        <f t="shared" si="45"/>
        <v>0.05</v>
      </c>
      <c r="Z158" s="50">
        <f t="shared" si="46"/>
        <v>0.04</v>
      </c>
      <c r="AA158" s="50">
        <f t="shared" si="47"/>
        <v>0.06</v>
      </c>
      <c r="AB158" s="50">
        <f t="shared" si="48"/>
        <v>0.08</v>
      </c>
      <c r="AC158" s="50">
        <f t="shared" si="49"/>
        <v>0.05</v>
      </c>
      <c r="AD158" s="50">
        <f t="shared" si="50"/>
        <v>0.02</v>
      </c>
      <c r="AE158" s="50">
        <f t="shared" si="51"/>
        <v>0.02</v>
      </c>
      <c r="AF158" s="47">
        <f t="shared" si="53"/>
        <v>1</v>
      </c>
      <c r="AG158" s="50">
        <f>IF('Resultado da inspeção'!F158='Resultado da inspeção'!$W$3,0%,Ranking!R158)</f>
        <v>0.02</v>
      </c>
      <c r="AH158" s="50">
        <f>IF('Resultado da inspeção'!G158='Resultado da inspeção'!$W$3,0%,Ranking!S158)</f>
        <v>0.03</v>
      </c>
      <c r="AI158" s="50">
        <f>IF('Resultado da inspeção'!H158='Resultado da inspeção'!$W$3,0%,Ranking!T158)</f>
        <v>0.03</v>
      </c>
      <c r="AJ158" s="50">
        <f>IF('Resultado da inspeção'!I158='Resultado da inspeção'!$W$3,0%,Ranking!U158)</f>
        <v>0.1</v>
      </c>
      <c r="AK158" s="50">
        <f>IF('Resultado da inspeção'!J158='Resultado da inspeção'!$W$3,0%,Ranking!V158)</f>
        <v>0.21</v>
      </c>
      <c r="AL158" s="50">
        <f>IF('Resultado da inspeção'!K158='Resultado da inspeção'!$W$3,0%,Ranking!W158)</f>
        <v>0.05</v>
      </c>
      <c r="AM158" s="50">
        <f>IF('Resultado da inspeção'!L158='Resultado da inspeção'!$W$3,0%,Ranking!X158)</f>
        <v>0.24</v>
      </c>
      <c r="AN158" s="50">
        <f>IF('Resultado da inspeção'!M158='Resultado da inspeção'!$W$3,0%,Ranking!Y158)</f>
        <v>0.05</v>
      </c>
      <c r="AO158" s="50">
        <f>IF('Resultado da inspeção'!N158='Resultado da inspeção'!$W$3,0%,Ranking!Z158)</f>
        <v>0.04</v>
      </c>
      <c r="AP158" s="50">
        <f>IF('Resultado da inspeção'!O158='Resultado da inspeção'!$W$3,0%,Ranking!AA158)</f>
        <v>0.06</v>
      </c>
      <c r="AQ158" s="50">
        <f>IF('Resultado da inspeção'!P158='Resultado da inspeção'!$W$3,0%,Ranking!AB158)</f>
        <v>0.08</v>
      </c>
      <c r="AR158" s="50">
        <f>IF('Resultado da inspeção'!Q158='Resultado da inspeção'!$W$3,0%,Ranking!AC158)</f>
        <v>0.05</v>
      </c>
      <c r="AS158" s="50">
        <f>IF('Resultado da inspeção'!R158='Resultado da inspeção'!$W$3,0%,Ranking!AD158)</f>
        <v>0.02</v>
      </c>
      <c r="AT158" s="50">
        <f>IF('Resultado da inspeção'!S158='Resultado da inspeção'!$W$3,0%,Ranking!AE158)</f>
        <v>0.02</v>
      </c>
      <c r="AU158" s="49">
        <f t="shared" si="54"/>
        <v>1</v>
      </c>
    </row>
    <row r="159" spans="2:47" x14ac:dyDescent="0.25">
      <c r="B159" s="48">
        <f>IF('Resultado da inspeção'!F159='Resultado da inspeção'!$W$4,0%,Ranking!B$5)</f>
        <v>0.02</v>
      </c>
      <c r="C159" s="48">
        <f>IF('Resultado da inspeção'!G159='Resultado da inspeção'!$W$4,0%,Ranking!C$5)</f>
        <v>0.03</v>
      </c>
      <c r="D159" s="48">
        <f>IF('Resultado da inspeção'!H159='Resultado da inspeção'!$W$4,0%,Ranking!D$5)</f>
        <v>0.03</v>
      </c>
      <c r="E159" s="48">
        <f>IF('Resultado da inspeção'!I159='Resultado da inspeção'!$W$4,0%,Ranking!E$5)</f>
        <v>0.1</v>
      </c>
      <c r="F159" s="48">
        <f>IF('Resultado da inspeção'!J159='Resultado da inspeção'!$W$4,0%,Ranking!F$5)</f>
        <v>0.21</v>
      </c>
      <c r="G159" s="48">
        <f>IF('Resultado da inspeção'!K159='Resultado da inspeção'!$W$4,0%,Ranking!G$5)</f>
        <v>0.05</v>
      </c>
      <c r="H159" s="48">
        <f>IF('Resultado da inspeção'!L159='Resultado da inspeção'!$W$4,0%,Ranking!H$5)</f>
        <v>0.24</v>
      </c>
      <c r="I159" s="48">
        <f>IF('Resultado da inspeção'!M159='Resultado da inspeção'!$W$4,0%,Ranking!I$5)</f>
        <v>0.05</v>
      </c>
      <c r="J159" s="48">
        <f>IF('Resultado da inspeção'!N159='Resultado da inspeção'!$W$4,0%,Ranking!J$5)</f>
        <v>0.04</v>
      </c>
      <c r="K159" s="48">
        <f>IF('Resultado da inspeção'!O159='Resultado da inspeção'!$W$4,0%,Ranking!K$5)</f>
        <v>0.06</v>
      </c>
      <c r="L159" s="48">
        <f>IF('Resultado da inspeção'!P159='Resultado da inspeção'!$W$4,0%,Ranking!L$5)</f>
        <v>0.08</v>
      </c>
      <c r="M159" s="48">
        <f>IF('Resultado da inspeção'!Q159='Resultado da inspeção'!$W$4,0%,Ranking!M$5)</f>
        <v>0.05</v>
      </c>
      <c r="N159" s="48">
        <f>IF('Resultado da inspeção'!R159='Resultado da inspeção'!$W$4,0%,Ranking!N$5)</f>
        <v>0.02</v>
      </c>
      <c r="O159" s="48">
        <f>IF('Resultado da inspeção'!S159='Resultado da inspeção'!$W$4,0%,Ranking!O$5)</f>
        <v>0.02</v>
      </c>
      <c r="P159" s="47">
        <f t="shared" si="37"/>
        <v>1</v>
      </c>
      <c r="Q159" s="49">
        <f t="shared" si="52"/>
        <v>0</v>
      </c>
      <c r="R159" s="50">
        <f t="shared" si="38"/>
        <v>0.02</v>
      </c>
      <c r="S159" s="50">
        <f t="shared" si="39"/>
        <v>0.03</v>
      </c>
      <c r="T159" s="50">
        <f t="shared" si="40"/>
        <v>0.03</v>
      </c>
      <c r="U159" s="50">
        <f t="shared" si="41"/>
        <v>0.1</v>
      </c>
      <c r="V159" s="50">
        <f t="shared" si="42"/>
        <v>0.21</v>
      </c>
      <c r="W159" s="50">
        <f t="shared" si="43"/>
        <v>0.05</v>
      </c>
      <c r="X159" s="50">
        <f t="shared" si="44"/>
        <v>0.24</v>
      </c>
      <c r="Y159" s="50">
        <f t="shared" si="45"/>
        <v>0.05</v>
      </c>
      <c r="Z159" s="50">
        <f t="shared" si="46"/>
        <v>0.04</v>
      </c>
      <c r="AA159" s="50">
        <f t="shared" si="47"/>
        <v>0.06</v>
      </c>
      <c r="AB159" s="50">
        <f t="shared" si="48"/>
        <v>0.08</v>
      </c>
      <c r="AC159" s="50">
        <f t="shared" si="49"/>
        <v>0.05</v>
      </c>
      <c r="AD159" s="50">
        <f t="shared" si="50"/>
        <v>0.02</v>
      </c>
      <c r="AE159" s="50">
        <f t="shared" si="51"/>
        <v>0.02</v>
      </c>
      <c r="AF159" s="47">
        <f t="shared" si="53"/>
        <v>1</v>
      </c>
      <c r="AG159" s="50">
        <f>IF('Resultado da inspeção'!F159='Resultado da inspeção'!$W$3,0%,Ranking!R159)</f>
        <v>0.02</v>
      </c>
      <c r="AH159" s="50">
        <f>IF('Resultado da inspeção'!G159='Resultado da inspeção'!$W$3,0%,Ranking!S159)</f>
        <v>0.03</v>
      </c>
      <c r="AI159" s="50">
        <f>IF('Resultado da inspeção'!H159='Resultado da inspeção'!$W$3,0%,Ranking!T159)</f>
        <v>0.03</v>
      </c>
      <c r="AJ159" s="50">
        <f>IF('Resultado da inspeção'!I159='Resultado da inspeção'!$W$3,0%,Ranking!U159)</f>
        <v>0.1</v>
      </c>
      <c r="AK159" s="50">
        <f>IF('Resultado da inspeção'!J159='Resultado da inspeção'!$W$3,0%,Ranking!V159)</f>
        <v>0.21</v>
      </c>
      <c r="AL159" s="50">
        <f>IF('Resultado da inspeção'!K159='Resultado da inspeção'!$W$3,0%,Ranking!W159)</f>
        <v>0.05</v>
      </c>
      <c r="AM159" s="50">
        <f>IF('Resultado da inspeção'!L159='Resultado da inspeção'!$W$3,0%,Ranking!X159)</f>
        <v>0.24</v>
      </c>
      <c r="AN159" s="50">
        <f>IF('Resultado da inspeção'!M159='Resultado da inspeção'!$W$3,0%,Ranking!Y159)</f>
        <v>0.05</v>
      </c>
      <c r="AO159" s="50">
        <f>IF('Resultado da inspeção'!N159='Resultado da inspeção'!$W$3,0%,Ranking!Z159)</f>
        <v>0.04</v>
      </c>
      <c r="AP159" s="50">
        <f>IF('Resultado da inspeção'!O159='Resultado da inspeção'!$W$3,0%,Ranking!AA159)</f>
        <v>0.06</v>
      </c>
      <c r="AQ159" s="50">
        <f>IF('Resultado da inspeção'!P159='Resultado da inspeção'!$W$3,0%,Ranking!AB159)</f>
        <v>0.08</v>
      </c>
      <c r="AR159" s="50">
        <f>IF('Resultado da inspeção'!Q159='Resultado da inspeção'!$W$3,0%,Ranking!AC159)</f>
        <v>0.05</v>
      </c>
      <c r="AS159" s="50">
        <f>IF('Resultado da inspeção'!R159='Resultado da inspeção'!$W$3,0%,Ranking!AD159)</f>
        <v>0.02</v>
      </c>
      <c r="AT159" s="50">
        <f>IF('Resultado da inspeção'!S159='Resultado da inspeção'!$W$3,0%,Ranking!AE159)</f>
        <v>0.02</v>
      </c>
      <c r="AU159" s="49">
        <f t="shared" si="54"/>
        <v>1</v>
      </c>
    </row>
    <row r="160" spans="2:47" x14ac:dyDescent="0.25">
      <c r="B160" s="48">
        <f>IF('Resultado da inspeção'!F160='Resultado da inspeção'!$W$4,0%,Ranking!B$5)</f>
        <v>0.02</v>
      </c>
      <c r="C160" s="48">
        <f>IF('Resultado da inspeção'!G160='Resultado da inspeção'!$W$4,0%,Ranking!C$5)</f>
        <v>0.03</v>
      </c>
      <c r="D160" s="48">
        <f>IF('Resultado da inspeção'!H160='Resultado da inspeção'!$W$4,0%,Ranking!D$5)</f>
        <v>0.03</v>
      </c>
      <c r="E160" s="48">
        <f>IF('Resultado da inspeção'!I160='Resultado da inspeção'!$W$4,0%,Ranking!E$5)</f>
        <v>0.1</v>
      </c>
      <c r="F160" s="48">
        <f>IF('Resultado da inspeção'!J160='Resultado da inspeção'!$W$4,0%,Ranking!F$5)</f>
        <v>0.21</v>
      </c>
      <c r="G160" s="48">
        <f>IF('Resultado da inspeção'!K160='Resultado da inspeção'!$W$4,0%,Ranking!G$5)</f>
        <v>0.05</v>
      </c>
      <c r="H160" s="48">
        <f>IF('Resultado da inspeção'!L160='Resultado da inspeção'!$W$4,0%,Ranking!H$5)</f>
        <v>0.24</v>
      </c>
      <c r="I160" s="48">
        <f>IF('Resultado da inspeção'!M160='Resultado da inspeção'!$W$4,0%,Ranking!I$5)</f>
        <v>0.05</v>
      </c>
      <c r="J160" s="48">
        <f>IF('Resultado da inspeção'!N160='Resultado da inspeção'!$W$4,0%,Ranking!J$5)</f>
        <v>0.04</v>
      </c>
      <c r="K160" s="48">
        <f>IF('Resultado da inspeção'!O160='Resultado da inspeção'!$W$4,0%,Ranking!K$5)</f>
        <v>0.06</v>
      </c>
      <c r="L160" s="48">
        <f>IF('Resultado da inspeção'!P160='Resultado da inspeção'!$W$4,0%,Ranking!L$5)</f>
        <v>0.08</v>
      </c>
      <c r="M160" s="48">
        <f>IF('Resultado da inspeção'!Q160='Resultado da inspeção'!$W$4,0%,Ranking!M$5)</f>
        <v>0.05</v>
      </c>
      <c r="N160" s="48">
        <f>IF('Resultado da inspeção'!R160='Resultado da inspeção'!$W$4,0%,Ranking!N$5)</f>
        <v>0.02</v>
      </c>
      <c r="O160" s="48">
        <f>IF('Resultado da inspeção'!S160='Resultado da inspeção'!$W$4,0%,Ranking!O$5)</f>
        <v>0.02</v>
      </c>
      <c r="P160" s="47">
        <f t="shared" si="37"/>
        <v>1</v>
      </c>
      <c r="Q160" s="49">
        <f t="shared" si="52"/>
        <v>0</v>
      </c>
      <c r="R160" s="50">
        <f t="shared" si="38"/>
        <v>0.02</v>
      </c>
      <c r="S160" s="50">
        <f t="shared" si="39"/>
        <v>0.03</v>
      </c>
      <c r="T160" s="50">
        <f t="shared" si="40"/>
        <v>0.03</v>
      </c>
      <c r="U160" s="50">
        <f t="shared" si="41"/>
        <v>0.1</v>
      </c>
      <c r="V160" s="50">
        <f t="shared" si="42"/>
        <v>0.21</v>
      </c>
      <c r="W160" s="50">
        <f t="shared" si="43"/>
        <v>0.05</v>
      </c>
      <c r="X160" s="50">
        <f t="shared" si="44"/>
        <v>0.24</v>
      </c>
      <c r="Y160" s="50">
        <f t="shared" si="45"/>
        <v>0.05</v>
      </c>
      <c r="Z160" s="50">
        <f t="shared" si="46"/>
        <v>0.04</v>
      </c>
      <c r="AA160" s="50">
        <f t="shared" si="47"/>
        <v>0.06</v>
      </c>
      <c r="AB160" s="50">
        <f t="shared" si="48"/>
        <v>0.08</v>
      </c>
      <c r="AC160" s="50">
        <f t="shared" si="49"/>
        <v>0.05</v>
      </c>
      <c r="AD160" s="50">
        <f t="shared" si="50"/>
        <v>0.02</v>
      </c>
      <c r="AE160" s="50">
        <f t="shared" si="51"/>
        <v>0.02</v>
      </c>
      <c r="AF160" s="47">
        <f t="shared" si="53"/>
        <v>1</v>
      </c>
      <c r="AG160" s="50">
        <f>IF('Resultado da inspeção'!F160='Resultado da inspeção'!$W$3,0%,Ranking!R160)</f>
        <v>0.02</v>
      </c>
      <c r="AH160" s="50">
        <f>IF('Resultado da inspeção'!G160='Resultado da inspeção'!$W$3,0%,Ranking!S160)</f>
        <v>0.03</v>
      </c>
      <c r="AI160" s="50">
        <f>IF('Resultado da inspeção'!H160='Resultado da inspeção'!$W$3,0%,Ranking!T160)</f>
        <v>0.03</v>
      </c>
      <c r="AJ160" s="50">
        <f>IF('Resultado da inspeção'!I160='Resultado da inspeção'!$W$3,0%,Ranking!U160)</f>
        <v>0.1</v>
      </c>
      <c r="AK160" s="50">
        <f>IF('Resultado da inspeção'!J160='Resultado da inspeção'!$W$3,0%,Ranking!V160)</f>
        <v>0.21</v>
      </c>
      <c r="AL160" s="50">
        <f>IF('Resultado da inspeção'!K160='Resultado da inspeção'!$W$3,0%,Ranking!W160)</f>
        <v>0.05</v>
      </c>
      <c r="AM160" s="50">
        <f>IF('Resultado da inspeção'!L160='Resultado da inspeção'!$W$3,0%,Ranking!X160)</f>
        <v>0.24</v>
      </c>
      <c r="AN160" s="50">
        <f>IF('Resultado da inspeção'!M160='Resultado da inspeção'!$W$3,0%,Ranking!Y160)</f>
        <v>0.05</v>
      </c>
      <c r="AO160" s="50">
        <f>IF('Resultado da inspeção'!N160='Resultado da inspeção'!$W$3,0%,Ranking!Z160)</f>
        <v>0.04</v>
      </c>
      <c r="AP160" s="50">
        <f>IF('Resultado da inspeção'!O160='Resultado da inspeção'!$W$3,0%,Ranking!AA160)</f>
        <v>0.06</v>
      </c>
      <c r="AQ160" s="50">
        <f>IF('Resultado da inspeção'!P160='Resultado da inspeção'!$W$3,0%,Ranking!AB160)</f>
        <v>0.08</v>
      </c>
      <c r="AR160" s="50">
        <f>IF('Resultado da inspeção'!Q160='Resultado da inspeção'!$W$3,0%,Ranking!AC160)</f>
        <v>0.05</v>
      </c>
      <c r="AS160" s="50">
        <f>IF('Resultado da inspeção'!R160='Resultado da inspeção'!$W$3,0%,Ranking!AD160)</f>
        <v>0.02</v>
      </c>
      <c r="AT160" s="50">
        <f>IF('Resultado da inspeção'!S160='Resultado da inspeção'!$W$3,0%,Ranking!AE160)</f>
        <v>0.02</v>
      </c>
      <c r="AU160" s="49">
        <f t="shared" si="54"/>
        <v>1</v>
      </c>
    </row>
    <row r="161" spans="2:47" x14ac:dyDescent="0.25">
      <c r="B161" s="48">
        <f>IF('Resultado da inspeção'!F161='Resultado da inspeção'!$W$4,0%,Ranking!B$5)</f>
        <v>0.02</v>
      </c>
      <c r="C161" s="48">
        <f>IF('Resultado da inspeção'!G161='Resultado da inspeção'!$W$4,0%,Ranking!C$5)</f>
        <v>0.03</v>
      </c>
      <c r="D161" s="48">
        <f>IF('Resultado da inspeção'!H161='Resultado da inspeção'!$W$4,0%,Ranking!D$5)</f>
        <v>0.03</v>
      </c>
      <c r="E161" s="48">
        <f>IF('Resultado da inspeção'!I161='Resultado da inspeção'!$W$4,0%,Ranking!E$5)</f>
        <v>0.1</v>
      </c>
      <c r="F161" s="48">
        <f>IF('Resultado da inspeção'!J161='Resultado da inspeção'!$W$4,0%,Ranking!F$5)</f>
        <v>0.21</v>
      </c>
      <c r="G161" s="48">
        <f>IF('Resultado da inspeção'!K161='Resultado da inspeção'!$W$4,0%,Ranking!G$5)</f>
        <v>0.05</v>
      </c>
      <c r="H161" s="48">
        <f>IF('Resultado da inspeção'!L161='Resultado da inspeção'!$W$4,0%,Ranking!H$5)</f>
        <v>0.24</v>
      </c>
      <c r="I161" s="48">
        <f>IF('Resultado da inspeção'!M161='Resultado da inspeção'!$W$4,0%,Ranking!I$5)</f>
        <v>0.05</v>
      </c>
      <c r="J161" s="48">
        <f>IF('Resultado da inspeção'!N161='Resultado da inspeção'!$W$4,0%,Ranking!J$5)</f>
        <v>0.04</v>
      </c>
      <c r="K161" s="48">
        <f>IF('Resultado da inspeção'!O161='Resultado da inspeção'!$W$4,0%,Ranking!K$5)</f>
        <v>0.06</v>
      </c>
      <c r="L161" s="48">
        <f>IF('Resultado da inspeção'!P161='Resultado da inspeção'!$W$4,0%,Ranking!L$5)</f>
        <v>0.08</v>
      </c>
      <c r="M161" s="48">
        <f>IF('Resultado da inspeção'!Q161='Resultado da inspeção'!$W$4,0%,Ranking!M$5)</f>
        <v>0.05</v>
      </c>
      <c r="N161" s="48">
        <f>IF('Resultado da inspeção'!R161='Resultado da inspeção'!$W$4,0%,Ranking!N$5)</f>
        <v>0.02</v>
      </c>
      <c r="O161" s="48">
        <f>IF('Resultado da inspeção'!S161='Resultado da inspeção'!$W$4,0%,Ranking!O$5)</f>
        <v>0.02</v>
      </c>
      <c r="P161" s="47">
        <f t="shared" si="37"/>
        <v>1</v>
      </c>
      <c r="Q161" s="49">
        <f t="shared" si="52"/>
        <v>0</v>
      </c>
      <c r="R161" s="50">
        <f t="shared" si="38"/>
        <v>0.02</v>
      </c>
      <c r="S161" s="50">
        <f t="shared" si="39"/>
        <v>0.03</v>
      </c>
      <c r="T161" s="50">
        <f t="shared" si="40"/>
        <v>0.03</v>
      </c>
      <c r="U161" s="50">
        <f t="shared" si="41"/>
        <v>0.1</v>
      </c>
      <c r="V161" s="50">
        <f t="shared" si="42"/>
        <v>0.21</v>
      </c>
      <c r="W161" s="50">
        <f t="shared" si="43"/>
        <v>0.05</v>
      </c>
      <c r="X161" s="50">
        <f t="shared" si="44"/>
        <v>0.24</v>
      </c>
      <c r="Y161" s="50">
        <f t="shared" si="45"/>
        <v>0.05</v>
      </c>
      <c r="Z161" s="50">
        <f t="shared" si="46"/>
        <v>0.04</v>
      </c>
      <c r="AA161" s="50">
        <f t="shared" si="47"/>
        <v>0.06</v>
      </c>
      <c r="AB161" s="50">
        <f t="shared" si="48"/>
        <v>0.08</v>
      </c>
      <c r="AC161" s="50">
        <f t="shared" si="49"/>
        <v>0.05</v>
      </c>
      <c r="AD161" s="50">
        <f t="shared" si="50"/>
        <v>0.02</v>
      </c>
      <c r="AE161" s="50">
        <f t="shared" si="51"/>
        <v>0.02</v>
      </c>
      <c r="AF161" s="47">
        <f t="shared" si="53"/>
        <v>1</v>
      </c>
      <c r="AG161" s="50">
        <f>IF('Resultado da inspeção'!F161='Resultado da inspeção'!$W$3,0%,Ranking!R161)</f>
        <v>0.02</v>
      </c>
      <c r="AH161" s="50">
        <f>IF('Resultado da inspeção'!G161='Resultado da inspeção'!$W$3,0%,Ranking!S161)</f>
        <v>0.03</v>
      </c>
      <c r="AI161" s="50">
        <f>IF('Resultado da inspeção'!H161='Resultado da inspeção'!$W$3,0%,Ranking!T161)</f>
        <v>0.03</v>
      </c>
      <c r="AJ161" s="50">
        <f>IF('Resultado da inspeção'!I161='Resultado da inspeção'!$W$3,0%,Ranking!U161)</f>
        <v>0.1</v>
      </c>
      <c r="AK161" s="50">
        <f>IF('Resultado da inspeção'!J161='Resultado da inspeção'!$W$3,0%,Ranking!V161)</f>
        <v>0.21</v>
      </c>
      <c r="AL161" s="50">
        <f>IF('Resultado da inspeção'!K161='Resultado da inspeção'!$W$3,0%,Ranking!W161)</f>
        <v>0.05</v>
      </c>
      <c r="AM161" s="50">
        <f>IF('Resultado da inspeção'!L161='Resultado da inspeção'!$W$3,0%,Ranking!X161)</f>
        <v>0.24</v>
      </c>
      <c r="AN161" s="50">
        <f>IF('Resultado da inspeção'!M161='Resultado da inspeção'!$W$3,0%,Ranking!Y161)</f>
        <v>0.05</v>
      </c>
      <c r="AO161" s="50">
        <f>IF('Resultado da inspeção'!N161='Resultado da inspeção'!$W$3,0%,Ranking!Z161)</f>
        <v>0.04</v>
      </c>
      <c r="AP161" s="50">
        <f>IF('Resultado da inspeção'!O161='Resultado da inspeção'!$W$3,0%,Ranking!AA161)</f>
        <v>0.06</v>
      </c>
      <c r="AQ161" s="50">
        <f>IF('Resultado da inspeção'!P161='Resultado da inspeção'!$W$3,0%,Ranking!AB161)</f>
        <v>0.08</v>
      </c>
      <c r="AR161" s="50">
        <f>IF('Resultado da inspeção'!Q161='Resultado da inspeção'!$W$3,0%,Ranking!AC161)</f>
        <v>0.05</v>
      </c>
      <c r="AS161" s="50">
        <f>IF('Resultado da inspeção'!R161='Resultado da inspeção'!$W$3,0%,Ranking!AD161)</f>
        <v>0.02</v>
      </c>
      <c r="AT161" s="50">
        <f>IF('Resultado da inspeção'!S161='Resultado da inspeção'!$W$3,0%,Ranking!AE161)</f>
        <v>0.02</v>
      </c>
      <c r="AU161" s="49">
        <f t="shared" si="54"/>
        <v>1</v>
      </c>
    </row>
    <row r="162" spans="2:47" x14ac:dyDescent="0.25">
      <c r="B162" s="48">
        <f>IF('Resultado da inspeção'!F162='Resultado da inspeção'!$W$4,0%,Ranking!B$5)</f>
        <v>0.02</v>
      </c>
      <c r="C162" s="48">
        <f>IF('Resultado da inspeção'!G162='Resultado da inspeção'!$W$4,0%,Ranking!C$5)</f>
        <v>0.03</v>
      </c>
      <c r="D162" s="48">
        <f>IF('Resultado da inspeção'!H162='Resultado da inspeção'!$W$4,0%,Ranking!D$5)</f>
        <v>0.03</v>
      </c>
      <c r="E162" s="48">
        <f>IF('Resultado da inspeção'!I162='Resultado da inspeção'!$W$4,0%,Ranking!E$5)</f>
        <v>0.1</v>
      </c>
      <c r="F162" s="48">
        <f>IF('Resultado da inspeção'!J162='Resultado da inspeção'!$W$4,0%,Ranking!F$5)</f>
        <v>0.21</v>
      </c>
      <c r="G162" s="48">
        <f>IF('Resultado da inspeção'!K162='Resultado da inspeção'!$W$4,0%,Ranking!G$5)</f>
        <v>0.05</v>
      </c>
      <c r="H162" s="48">
        <f>IF('Resultado da inspeção'!L162='Resultado da inspeção'!$W$4,0%,Ranking!H$5)</f>
        <v>0.24</v>
      </c>
      <c r="I162" s="48">
        <f>IF('Resultado da inspeção'!M162='Resultado da inspeção'!$W$4,0%,Ranking!I$5)</f>
        <v>0.05</v>
      </c>
      <c r="J162" s="48">
        <f>IF('Resultado da inspeção'!N162='Resultado da inspeção'!$W$4,0%,Ranking!J$5)</f>
        <v>0.04</v>
      </c>
      <c r="K162" s="48">
        <f>IF('Resultado da inspeção'!O162='Resultado da inspeção'!$W$4,0%,Ranking!K$5)</f>
        <v>0.06</v>
      </c>
      <c r="L162" s="48">
        <f>IF('Resultado da inspeção'!P162='Resultado da inspeção'!$W$4,0%,Ranking!L$5)</f>
        <v>0.08</v>
      </c>
      <c r="M162" s="48">
        <f>IF('Resultado da inspeção'!Q162='Resultado da inspeção'!$W$4,0%,Ranking!M$5)</f>
        <v>0.05</v>
      </c>
      <c r="N162" s="48">
        <f>IF('Resultado da inspeção'!R162='Resultado da inspeção'!$W$4,0%,Ranking!N$5)</f>
        <v>0.02</v>
      </c>
      <c r="O162" s="48">
        <f>IF('Resultado da inspeção'!S162='Resultado da inspeção'!$W$4,0%,Ranking!O$5)</f>
        <v>0.02</v>
      </c>
      <c r="P162" s="47">
        <f t="shared" si="37"/>
        <v>1</v>
      </c>
      <c r="Q162" s="49">
        <f t="shared" si="52"/>
        <v>0</v>
      </c>
      <c r="R162" s="50">
        <f t="shared" si="38"/>
        <v>0.02</v>
      </c>
      <c r="S162" s="50">
        <f t="shared" si="39"/>
        <v>0.03</v>
      </c>
      <c r="T162" s="50">
        <f t="shared" si="40"/>
        <v>0.03</v>
      </c>
      <c r="U162" s="50">
        <f t="shared" si="41"/>
        <v>0.1</v>
      </c>
      <c r="V162" s="50">
        <f t="shared" si="42"/>
        <v>0.21</v>
      </c>
      <c r="W162" s="50">
        <f t="shared" si="43"/>
        <v>0.05</v>
      </c>
      <c r="X162" s="50">
        <f t="shared" si="44"/>
        <v>0.24</v>
      </c>
      <c r="Y162" s="50">
        <f t="shared" si="45"/>
        <v>0.05</v>
      </c>
      <c r="Z162" s="50">
        <f t="shared" si="46"/>
        <v>0.04</v>
      </c>
      <c r="AA162" s="50">
        <f t="shared" si="47"/>
        <v>0.06</v>
      </c>
      <c r="AB162" s="50">
        <f t="shared" si="48"/>
        <v>0.08</v>
      </c>
      <c r="AC162" s="50">
        <f t="shared" si="49"/>
        <v>0.05</v>
      </c>
      <c r="AD162" s="50">
        <f t="shared" si="50"/>
        <v>0.02</v>
      </c>
      <c r="AE162" s="50">
        <f t="shared" si="51"/>
        <v>0.02</v>
      </c>
      <c r="AF162" s="47">
        <f t="shared" si="53"/>
        <v>1</v>
      </c>
      <c r="AG162" s="50">
        <f>IF('Resultado da inspeção'!F162='Resultado da inspeção'!$W$3,0%,Ranking!R162)</f>
        <v>0.02</v>
      </c>
      <c r="AH162" s="50">
        <f>IF('Resultado da inspeção'!G162='Resultado da inspeção'!$W$3,0%,Ranking!S162)</f>
        <v>0.03</v>
      </c>
      <c r="AI162" s="50">
        <f>IF('Resultado da inspeção'!H162='Resultado da inspeção'!$W$3,0%,Ranking!T162)</f>
        <v>0.03</v>
      </c>
      <c r="AJ162" s="50">
        <f>IF('Resultado da inspeção'!I162='Resultado da inspeção'!$W$3,0%,Ranking!U162)</f>
        <v>0.1</v>
      </c>
      <c r="AK162" s="50">
        <f>IF('Resultado da inspeção'!J162='Resultado da inspeção'!$W$3,0%,Ranking!V162)</f>
        <v>0.21</v>
      </c>
      <c r="AL162" s="50">
        <f>IF('Resultado da inspeção'!K162='Resultado da inspeção'!$W$3,0%,Ranking!W162)</f>
        <v>0.05</v>
      </c>
      <c r="AM162" s="50">
        <f>IF('Resultado da inspeção'!L162='Resultado da inspeção'!$W$3,0%,Ranking!X162)</f>
        <v>0.24</v>
      </c>
      <c r="AN162" s="50">
        <f>IF('Resultado da inspeção'!M162='Resultado da inspeção'!$W$3,0%,Ranking!Y162)</f>
        <v>0.05</v>
      </c>
      <c r="AO162" s="50">
        <f>IF('Resultado da inspeção'!N162='Resultado da inspeção'!$W$3,0%,Ranking!Z162)</f>
        <v>0.04</v>
      </c>
      <c r="AP162" s="50">
        <f>IF('Resultado da inspeção'!O162='Resultado da inspeção'!$W$3,0%,Ranking!AA162)</f>
        <v>0.06</v>
      </c>
      <c r="AQ162" s="50">
        <f>IF('Resultado da inspeção'!P162='Resultado da inspeção'!$W$3,0%,Ranking!AB162)</f>
        <v>0.08</v>
      </c>
      <c r="AR162" s="50">
        <f>IF('Resultado da inspeção'!Q162='Resultado da inspeção'!$W$3,0%,Ranking!AC162)</f>
        <v>0.05</v>
      </c>
      <c r="AS162" s="50">
        <f>IF('Resultado da inspeção'!R162='Resultado da inspeção'!$W$3,0%,Ranking!AD162)</f>
        <v>0.02</v>
      </c>
      <c r="AT162" s="50">
        <f>IF('Resultado da inspeção'!S162='Resultado da inspeção'!$W$3,0%,Ranking!AE162)</f>
        <v>0.02</v>
      </c>
      <c r="AU162" s="49">
        <f t="shared" si="54"/>
        <v>1</v>
      </c>
    </row>
    <row r="163" spans="2:47" x14ac:dyDescent="0.25">
      <c r="B163" s="48">
        <f>IF('Resultado da inspeção'!F163='Resultado da inspeção'!$W$4,0%,Ranking!B$5)</f>
        <v>0.02</v>
      </c>
      <c r="C163" s="48">
        <f>IF('Resultado da inspeção'!G163='Resultado da inspeção'!$W$4,0%,Ranking!C$5)</f>
        <v>0.03</v>
      </c>
      <c r="D163" s="48">
        <f>IF('Resultado da inspeção'!H163='Resultado da inspeção'!$W$4,0%,Ranking!D$5)</f>
        <v>0.03</v>
      </c>
      <c r="E163" s="48">
        <f>IF('Resultado da inspeção'!I163='Resultado da inspeção'!$W$4,0%,Ranking!E$5)</f>
        <v>0.1</v>
      </c>
      <c r="F163" s="48">
        <f>IF('Resultado da inspeção'!J163='Resultado da inspeção'!$W$4,0%,Ranking!F$5)</f>
        <v>0.21</v>
      </c>
      <c r="G163" s="48">
        <f>IF('Resultado da inspeção'!K163='Resultado da inspeção'!$W$4,0%,Ranking!G$5)</f>
        <v>0.05</v>
      </c>
      <c r="H163" s="48">
        <f>IF('Resultado da inspeção'!L163='Resultado da inspeção'!$W$4,0%,Ranking!H$5)</f>
        <v>0.24</v>
      </c>
      <c r="I163" s="48">
        <f>IF('Resultado da inspeção'!M163='Resultado da inspeção'!$W$4,0%,Ranking!I$5)</f>
        <v>0.05</v>
      </c>
      <c r="J163" s="48">
        <f>IF('Resultado da inspeção'!N163='Resultado da inspeção'!$W$4,0%,Ranking!J$5)</f>
        <v>0.04</v>
      </c>
      <c r="K163" s="48">
        <f>IF('Resultado da inspeção'!O163='Resultado da inspeção'!$W$4,0%,Ranking!K$5)</f>
        <v>0.06</v>
      </c>
      <c r="L163" s="48">
        <f>IF('Resultado da inspeção'!P163='Resultado da inspeção'!$W$4,0%,Ranking!L$5)</f>
        <v>0.08</v>
      </c>
      <c r="M163" s="48">
        <f>IF('Resultado da inspeção'!Q163='Resultado da inspeção'!$W$4,0%,Ranking!M$5)</f>
        <v>0.05</v>
      </c>
      <c r="N163" s="48">
        <f>IF('Resultado da inspeção'!R163='Resultado da inspeção'!$W$4,0%,Ranking!N$5)</f>
        <v>0.02</v>
      </c>
      <c r="O163" s="48">
        <f>IF('Resultado da inspeção'!S163='Resultado da inspeção'!$W$4,0%,Ranking!O$5)</f>
        <v>0.02</v>
      </c>
      <c r="P163" s="47">
        <f t="shared" si="37"/>
        <v>1</v>
      </c>
      <c r="Q163" s="49">
        <f t="shared" si="52"/>
        <v>0</v>
      </c>
      <c r="R163" s="50">
        <f t="shared" si="38"/>
        <v>0.02</v>
      </c>
      <c r="S163" s="50">
        <f t="shared" si="39"/>
        <v>0.03</v>
      </c>
      <c r="T163" s="50">
        <f t="shared" si="40"/>
        <v>0.03</v>
      </c>
      <c r="U163" s="50">
        <f t="shared" si="41"/>
        <v>0.1</v>
      </c>
      <c r="V163" s="50">
        <f t="shared" si="42"/>
        <v>0.21</v>
      </c>
      <c r="W163" s="50">
        <f t="shared" si="43"/>
        <v>0.05</v>
      </c>
      <c r="X163" s="50">
        <f t="shared" si="44"/>
        <v>0.24</v>
      </c>
      <c r="Y163" s="50">
        <f t="shared" si="45"/>
        <v>0.05</v>
      </c>
      <c r="Z163" s="50">
        <f t="shared" si="46"/>
        <v>0.04</v>
      </c>
      <c r="AA163" s="50">
        <f t="shared" si="47"/>
        <v>0.06</v>
      </c>
      <c r="AB163" s="50">
        <f t="shared" si="48"/>
        <v>0.08</v>
      </c>
      <c r="AC163" s="50">
        <f t="shared" si="49"/>
        <v>0.05</v>
      </c>
      <c r="AD163" s="50">
        <f t="shared" si="50"/>
        <v>0.02</v>
      </c>
      <c r="AE163" s="50">
        <f t="shared" si="51"/>
        <v>0.02</v>
      </c>
      <c r="AF163" s="47">
        <f t="shared" si="53"/>
        <v>1</v>
      </c>
      <c r="AG163" s="50">
        <f>IF('Resultado da inspeção'!F163='Resultado da inspeção'!$W$3,0%,Ranking!R163)</f>
        <v>0.02</v>
      </c>
      <c r="AH163" s="50">
        <f>IF('Resultado da inspeção'!G163='Resultado da inspeção'!$W$3,0%,Ranking!S163)</f>
        <v>0.03</v>
      </c>
      <c r="AI163" s="50">
        <f>IF('Resultado da inspeção'!H163='Resultado da inspeção'!$W$3,0%,Ranking!T163)</f>
        <v>0.03</v>
      </c>
      <c r="AJ163" s="50">
        <f>IF('Resultado da inspeção'!I163='Resultado da inspeção'!$W$3,0%,Ranking!U163)</f>
        <v>0.1</v>
      </c>
      <c r="AK163" s="50">
        <f>IF('Resultado da inspeção'!J163='Resultado da inspeção'!$W$3,0%,Ranking!V163)</f>
        <v>0.21</v>
      </c>
      <c r="AL163" s="50">
        <f>IF('Resultado da inspeção'!K163='Resultado da inspeção'!$W$3,0%,Ranking!W163)</f>
        <v>0.05</v>
      </c>
      <c r="AM163" s="50">
        <f>IF('Resultado da inspeção'!L163='Resultado da inspeção'!$W$3,0%,Ranking!X163)</f>
        <v>0.24</v>
      </c>
      <c r="AN163" s="50">
        <f>IF('Resultado da inspeção'!M163='Resultado da inspeção'!$W$3,0%,Ranking!Y163)</f>
        <v>0.05</v>
      </c>
      <c r="AO163" s="50">
        <f>IF('Resultado da inspeção'!N163='Resultado da inspeção'!$W$3,0%,Ranking!Z163)</f>
        <v>0.04</v>
      </c>
      <c r="AP163" s="50">
        <f>IF('Resultado da inspeção'!O163='Resultado da inspeção'!$W$3,0%,Ranking!AA163)</f>
        <v>0.06</v>
      </c>
      <c r="AQ163" s="50">
        <f>IF('Resultado da inspeção'!P163='Resultado da inspeção'!$W$3,0%,Ranking!AB163)</f>
        <v>0.08</v>
      </c>
      <c r="AR163" s="50">
        <f>IF('Resultado da inspeção'!Q163='Resultado da inspeção'!$W$3,0%,Ranking!AC163)</f>
        <v>0.05</v>
      </c>
      <c r="AS163" s="50">
        <f>IF('Resultado da inspeção'!R163='Resultado da inspeção'!$W$3,0%,Ranking!AD163)</f>
        <v>0.02</v>
      </c>
      <c r="AT163" s="50">
        <f>IF('Resultado da inspeção'!S163='Resultado da inspeção'!$W$3,0%,Ranking!AE163)</f>
        <v>0.02</v>
      </c>
      <c r="AU163" s="49">
        <f t="shared" si="54"/>
        <v>1</v>
      </c>
    </row>
    <row r="164" spans="2:47" x14ac:dyDescent="0.25">
      <c r="B164" s="48">
        <f>IF('Resultado da inspeção'!F164='Resultado da inspeção'!$W$4,0%,Ranking!B$5)</f>
        <v>0.02</v>
      </c>
      <c r="C164" s="48">
        <f>IF('Resultado da inspeção'!G164='Resultado da inspeção'!$W$4,0%,Ranking!C$5)</f>
        <v>0.03</v>
      </c>
      <c r="D164" s="48">
        <f>IF('Resultado da inspeção'!H164='Resultado da inspeção'!$W$4,0%,Ranking!D$5)</f>
        <v>0.03</v>
      </c>
      <c r="E164" s="48">
        <f>IF('Resultado da inspeção'!I164='Resultado da inspeção'!$W$4,0%,Ranking!E$5)</f>
        <v>0.1</v>
      </c>
      <c r="F164" s="48">
        <f>IF('Resultado da inspeção'!J164='Resultado da inspeção'!$W$4,0%,Ranking!F$5)</f>
        <v>0.21</v>
      </c>
      <c r="G164" s="48">
        <f>IF('Resultado da inspeção'!K164='Resultado da inspeção'!$W$4,0%,Ranking!G$5)</f>
        <v>0.05</v>
      </c>
      <c r="H164" s="48">
        <f>IF('Resultado da inspeção'!L164='Resultado da inspeção'!$W$4,0%,Ranking!H$5)</f>
        <v>0.24</v>
      </c>
      <c r="I164" s="48">
        <f>IF('Resultado da inspeção'!M164='Resultado da inspeção'!$W$4,0%,Ranking!I$5)</f>
        <v>0.05</v>
      </c>
      <c r="J164" s="48">
        <f>IF('Resultado da inspeção'!N164='Resultado da inspeção'!$W$4,0%,Ranking!J$5)</f>
        <v>0.04</v>
      </c>
      <c r="K164" s="48">
        <f>IF('Resultado da inspeção'!O164='Resultado da inspeção'!$W$4,0%,Ranking!K$5)</f>
        <v>0.06</v>
      </c>
      <c r="L164" s="48">
        <f>IF('Resultado da inspeção'!P164='Resultado da inspeção'!$W$4,0%,Ranking!L$5)</f>
        <v>0.08</v>
      </c>
      <c r="M164" s="48">
        <f>IF('Resultado da inspeção'!Q164='Resultado da inspeção'!$W$4,0%,Ranking!M$5)</f>
        <v>0.05</v>
      </c>
      <c r="N164" s="48">
        <f>IF('Resultado da inspeção'!R164='Resultado da inspeção'!$W$4,0%,Ranking!N$5)</f>
        <v>0.02</v>
      </c>
      <c r="O164" s="48">
        <f>IF('Resultado da inspeção'!S164='Resultado da inspeção'!$W$4,0%,Ranking!O$5)</f>
        <v>0.02</v>
      </c>
      <c r="P164" s="47">
        <f t="shared" si="37"/>
        <v>1</v>
      </c>
      <c r="Q164" s="49">
        <f t="shared" si="52"/>
        <v>0</v>
      </c>
      <c r="R164" s="50">
        <f t="shared" si="38"/>
        <v>0.02</v>
      </c>
      <c r="S164" s="50">
        <f t="shared" si="39"/>
        <v>0.03</v>
      </c>
      <c r="T164" s="50">
        <f t="shared" si="40"/>
        <v>0.03</v>
      </c>
      <c r="U164" s="50">
        <f t="shared" si="41"/>
        <v>0.1</v>
      </c>
      <c r="V164" s="50">
        <f t="shared" si="42"/>
        <v>0.21</v>
      </c>
      <c r="W164" s="50">
        <f t="shared" si="43"/>
        <v>0.05</v>
      </c>
      <c r="X164" s="50">
        <f t="shared" si="44"/>
        <v>0.24</v>
      </c>
      <c r="Y164" s="50">
        <f t="shared" si="45"/>
        <v>0.05</v>
      </c>
      <c r="Z164" s="50">
        <f t="shared" si="46"/>
        <v>0.04</v>
      </c>
      <c r="AA164" s="50">
        <f t="shared" si="47"/>
        <v>0.06</v>
      </c>
      <c r="AB164" s="50">
        <f t="shared" si="48"/>
        <v>0.08</v>
      </c>
      <c r="AC164" s="50">
        <f t="shared" si="49"/>
        <v>0.05</v>
      </c>
      <c r="AD164" s="50">
        <f t="shared" si="50"/>
        <v>0.02</v>
      </c>
      <c r="AE164" s="50">
        <f t="shared" si="51"/>
        <v>0.02</v>
      </c>
      <c r="AF164" s="47">
        <f t="shared" si="53"/>
        <v>1</v>
      </c>
      <c r="AG164" s="50">
        <f>IF('Resultado da inspeção'!F164='Resultado da inspeção'!$W$3,0%,Ranking!R164)</f>
        <v>0.02</v>
      </c>
      <c r="AH164" s="50">
        <f>IF('Resultado da inspeção'!G164='Resultado da inspeção'!$W$3,0%,Ranking!S164)</f>
        <v>0.03</v>
      </c>
      <c r="AI164" s="50">
        <f>IF('Resultado da inspeção'!H164='Resultado da inspeção'!$W$3,0%,Ranking!T164)</f>
        <v>0.03</v>
      </c>
      <c r="AJ164" s="50">
        <f>IF('Resultado da inspeção'!I164='Resultado da inspeção'!$W$3,0%,Ranking!U164)</f>
        <v>0.1</v>
      </c>
      <c r="AK164" s="50">
        <f>IF('Resultado da inspeção'!J164='Resultado da inspeção'!$W$3,0%,Ranking!V164)</f>
        <v>0.21</v>
      </c>
      <c r="AL164" s="50">
        <f>IF('Resultado da inspeção'!K164='Resultado da inspeção'!$W$3,0%,Ranking!W164)</f>
        <v>0.05</v>
      </c>
      <c r="AM164" s="50">
        <f>IF('Resultado da inspeção'!L164='Resultado da inspeção'!$W$3,0%,Ranking!X164)</f>
        <v>0.24</v>
      </c>
      <c r="AN164" s="50">
        <f>IF('Resultado da inspeção'!M164='Resultado da inspeção'!$W$3,0%,Ranking!Y164)</f>
        <v>0.05</v>
      </c>
      <c r="AO164" s="50">
        <f>IF('Resultado da inspeção'!N164='Resultado da inspeção'!$W$3,0%,Ranking!Z164)</f>
        <v>0.04</v>
      </c>
      <c r="AP164" s="50">
        <f>IF('Resultado da inspeção'!O164='Resultado da inspeção'!$W$3,0%,Ranking!AA164)</f>
        <v>0.06</v>
      </c>
      <c r="AQ164" s="50">
        <f>IF('Resultado da inspeção'!P164='Resultado da inspeção'!$W$3,0%,Ranking!AB164)</f>
        <v>0.08</v>
      </c>
      <c r="AR164" s="50">
        <f>IF('Resultado da inspeção'!Q164='Resultado da inspeção'!$W$3,0%,Ranking!AC164)</f>
        <v>0.05</v>
      </c>
      <c r="AS164" s="50">
        <f>IF('Resultado da inspeção'!R164='Resultado da inspeção'!$W$3,0%,Ranking!AD164)</f>
        <v>0.02</v>
      </c>
      <c r="AT164" s="50">
        <f>IF('Resultado da inspeção'!S164='Resultado da inspeção'!$W$3,0%,Ranking!AE164)</f>
        <v>0.02</v>
      </c>
      <c r="AU164" s="49">
        <f t="shared" si="54"/>
        <v>1</v>
      </c>
    </row>
    <row r="165" spans="2:47" x14ac:dyDescent="0.25">
      <c r="B165" s="48">
        <f>IF('Resultado da inspeção'!F165='Resultado da inspeção'!$W$4,0%,Ranking!B$5)</f>
        <v>0.02</v>
      </c>
      <c r="C165" s="48">
        <f>IF('Resultado da inspeção'!G165='Resultado da inspeção'!$W$4,0%,Ranking!C$5)</f>
        <v>0.03</v>
      </c>
      <c r="D165" s="48">
        <f>IF('Resultado da inspeção'!H165='Resultado da inspeção'!$W$4,0%,Ranking!D$5)</f>
        <v>0.03</v>
      </c>
      <c r="E165" s="48">
        <f>IF('Resultado da inspeção'!I165='Resultado da inspeção'!$W$4,0%,Ranking!E$5)</f>
        <v>0.1</v>
      </c>
      <c r="F165" s="48">
        <f>IF('Resultado da inspeção'!J165='Resultado da inspeção'!$W$4,0%,Ranking!F$5)</f>
        <v>0.21</v>
      </c>
      <c r="G165" s="48">
        <f>IF('Resultado da inspeção'!K165='Resultado da inspeção'!$W$4,0%,Ranking!G$5)</f>
        <v>0.05</v>
      </c>
      <c r="H165" s="48">
        <f>IF('Resultado da inspeção'!L165='Resultado da inspeção'!$W$4,0%,Ranking!H$5)</f>
        <v>0.24</v>
      </c>
      <c r="I165" s="48">
        <f>IF('Resultado da inspeção'!M165='Resultado da inspeção'!$W$4,0%,Ranking!I$5)</f>
        <v>0.05</v>
      </c>
      <c r="J165" s="48">
        <f>IF('Resultado da inspeção'!N165='Resultado da inspeção'!$W$4,0%,Ranking!J$5)</f>
        <v>0.04</v>
      </c>
      <c r="K165" s="48">
        <f>IF('Resultado da inspeção'!O165='Resultado da inspeção'!$W$4,0%,Ranking!K$5)</f>
        <v>0.06</v>
      </c>
      <c r="L165" s="48">
        <f>IF('Resultado da inspeção'!P165='Resultado da inspeção'!$W$4,0%,Ranking!L$5)</f>
        <v>0.08</v>
      </c>
      <c r="M165" s="48">
        <f>IF('Resultado da inspeção'!Q165='Resultado da inspeção'!$W$4,0%,Ranking!M$5)</f>
        <v>0.05</v>
      </c>
      <c r="N165" s="48">
        <f>IF('Resultado da inspeção'!R165='Resultado da inspeção'!$W$4,0%,Ranking!N$5)</f>
        <v>0.02</v>
      </c>
      <c r="O165" s="48">
        <f>IF('Resultado da inspeção'!S165='Resultado da inspeção'!$W$4,0%,Ranking!O$5)</f>
        <v>0.02</v>
      </c>
      <c r="P165" s="47">
        <f t="shared" si="37"/>
        <v>1</v>
      </c>
      <c r="Q165" s="49">
        <f t="shared" si="52"/>
        <v>0</v>
      </c>
      <c r="R165" s="50">
        <f t="shared" si="38"/>
        <v>0.02</v>
      </c>
      <c r="S165" s="50">
        <f t="shared" si="39"/>
        <v>0.03</v>
      </c>
      <c r="T165" s="50">
        <f t="shared" si="40"/>
        <v>0.03</v>
      </c>
      <c r="U165" s="50">
        <f t="shared" si="41"/>
        <v>0.1</v>
      </c>
      <c r="V165" s="50">
        <f t="shared" si="42"/>
        <v>0.21</v>
      </c>
      <c r="W165" s="50">
        <f t="shared" si="43"/>
        <v>0.05</v>
      </c>
      <c r="X165" s="50">
        <f t="shared" si="44"/>
        <v>0.24</v>
      </c>
      <c r="Y165" s="50">
        <f t="shared" si="45"/>
        <v>0.05</v>
      </c>
      <c r="Z165" s="50">
        <f t="shared" si="46"/>
        <v>0.04</v>
      </c>
      <c r="AA165" s="50">
        <f t="shared" si="47"/>
        <v>0.06</v>
      </c>
      <c r="AB165" s="50">
        <f t="shared" si="48"/>
        <v>0.08</v>
      </c>
      <c r="AC165" s="50">
        <f t="shared" si="49"/>
        <v>0.05</v>
      </c>
      <c r="AD165" s="50">
        <f t="shared" si="50"/>
        <v>0.02</v>
      </c>
      <c r="AE165" s="50">
        <f t="shared" si="51"/>
        <v>0.02</v>
      </c>
      <c r="AF165" s="47">
        <f t="shared" si="53"/>
        <v>1</v>
      </c>
      <c r="AG165" s="50">
        <f>IF('Resultado da inspeção'!F165='Resultado da inspeção'!$W$3,0%,Ranking!R165)</f>
        <v>0.02</v>
      </c>
      <c r="AH165" s="50">
        <f>IF('Resultado da inspeção'!G165='Resultado da inspeção'!$W$3,0%,Ranking!S165)</f>
        <v>0.03</v>
      </c>
      <c r="AI165" s="50">
        <f>IF('Resultado da inspeção'!H165='Resultado da inspeção'!$W$3,0%,Ranking!T165)</f>
        <v>0.03</v>
      </c>
      <c r="AJ165" s="50">
        <f>IF('Resultado da inspeção'!I165='Resultado da inspeção'!$W$3,0%,Ranking!U165)</f>
        <v>0.1</v>
      </c>
      <c r="AK165" s="50">
        <f>IF('Resultado da inspeção'!J165='Resultado da inspeção'!$W$3,0%,Ranking!V165)</f>
        <v>0.21</v>
      </c>
      <c r="AL165" s="50">
        <f>IF('Resultado da inspeção'!K165='Resultado da inspeção'!$W$3,0%,Ranking!W165)</f>
        <v>0.05</v>
      </c>
      <c r="AM165" s="50">
        <f>IF('Resultado da inspeção'!L165='Resultado da inspeção'!$W$3,0%,Ranking!X165)</f>
        <v>0.24</v>
      </c>
      <c r="AN165" s="50">
        <f>IF('Resultado da inspeção'!M165='Resultado da inspeção'!$W$3,0%,Ranking!Y165)</f>
        <v>0.05</v>
      </c>
      <c r="AO165" s="50">
        <f>IF('Resultado da inspeção'!N165='Resultado da inspeção'!$W$3,0%,Ranking!Z165)</f>
        <v>0.04</v>
      </c>
      <c r="AP165" s="50">
        <f>IF('Resultado da inspeção'!O165='Resultado da inspeção'!$W$3,0%,Ranking!AA165)</f>
        <v>0.06</v>
      </c>
      <c r="AQ165" s="50">
        <f>IF('Resultado da inspeção'!P165='Resultado da inspeção'!$W$3,0%,Ranking!AB165)</f>
        <v>0.08</v>
      </c>
      <c r="AR165" s="50">
        <f>IF('Resultado da inspeção'!Q165='Resultado da inspeção'!$W$3,0%,Ranking!AC165)</f>
        <v>0.05</v>
      </c>
      <c r="AS165" s="50">
        <f>IF('Resultado da inspeção'!R165='Resultado da inspeção'!$W$3,0%,Ranking!AD165)</f>
        <v>0.02</v>
      </c>
      <c r="AT165" s="50">
        <f>IF('Resultado da inspeção'!S165='Resultado da inspeção'!$W$3,0%,Ranking!AE165)</f>
        <v>0.02</v>
      </c>
      <c r="AU165" s="49">
        <f t="shared" si="54"/>
        <v>1</v>
      </c>
    </row>
    <row r="166" spans="2:47" x14ac:dyDescent="0.25">
      <c r="B166" s="48">
        <f>IF('Resultado da inspeção'!F166='Resultado da inspeção'!$W$4,0%,Ranking!B$5)</f>
        <v>0.02</v>
      </c>
      <c r="C166" s="48">
        <f>IF('Resultado da inspeção'!G166='Resultado da inspeção'!$W$4,0%,Ranking!C$5)</f>
        <v>0.03</v>
      </c>
      <c r="D166" s="48">
        <f>IF('Resultado da inspeção'!H166='Resultado da inspeção'!$W$4,0%,Ranking!D$5)</f>
        <v>0.03</v>
      </c>
      <c r="E166" s="48">
        <f>IF('Resultado da inspeção'!I166='Resultado da inspeção'!$W$4,0%,Ranking!E$5)</f>
        <v>0.1</v>
      </c>
      <c r="F166" s="48">
        <f>IF('Resultado da inspeção'!J166='Resultado da inspeção'!$W$4,0%,Ranking!F$5)</f>
        <v>0.21</v>
      </c>
      <c r="G166" s="48">
        <f>IF('Resultado da inspeção'!K166='Resultado da inspeção'!$W$4,0%,Ranking!G$5)</f>
        <v>0.05</v>
      </c>
      <c r="H166" s="48">
        <f>IF('Resultado da inspeção'!L166='Resultado da inspeção'!$W$4,0%,Ranking!H$5)</f>
        <v>0.24</v>
      </c>
      <c r="I166" s="48">
        <f>IF('Resultado da inspeção'!M166='Resultado da inspeção'!$W$4,0%,Ranking!I$5)</f>
        <v>0.05</v>
      </c>
      <c r="J166" s="48">
        <f>IF('Resultado da inspeção'!N166='Resultado da inspeção'!$W$4,0%,Ranking!J$5)</f>
        <v>0.04</v>
      </c>
      <c r="K166" s="48">
        <f>IF('Resultado da inspeção'!O166='Resultado da inspeção'!$W$4,0%,Ranking!K$5)</f>
        <v>0.06</v>
      </c>
      <c r="L166" s="48">
        <f>IF('Resultado da inspeção'!P166='Resultado da inspeção'!$W$4,0%,Ranking!L$5)</f>
        <v>0.08</v>
      </c>
      <c r="M166" s="48">
        <f>IF('Resultado da inspeção'!Q166='Resultado da inspeção'!$W$4,0%,Ranking!M$5)</f>
        <v>0.05</v>
      </c>
      <c r="N166" s="48">
        <f>IF('Resultado da inspeção'!R166='Resultado da inspeção'!$W$4,0%,Ranking!N$5)</f>
        <v>0.02</v>
      </c>
      <c r="O166" s="48">
        <f>IF('Resultado da inspeção'!S166='Resultado da inspeção'!$W$4,0%,Ranking!O$5)</f>
        <v>0.02</v>
      </c>
      <c r="P166" s="47">
        <f t="shared" si="37"/>
        <v>1</v>
      </c>
      <c r="Q166" s="49">
        <f t="shared" si="52"/>
        <v>0</v>
      </c>
      <c r="R166" s="50">
        <f t="shared" si="38"/>
        <v>0.02</v>
      </c>
      <c r="S166" s="50">
        <f t="shared" si="39"/>
        <v>0.03</v>
      </c>
      <c r="T166" s="50">
        <f t="shared" si="40"/>
        <v>0.03</v>
      </c>
      <c r="U166" s="50">
        <f t="shared" si="41"/>
        <v>0.1</v>
      </c>
      <c r="V166" s="50">
        <f t="shared" si="42"/>
        <v>0.21</v>
      </c>
      <c r="W166" s="50">
        <f t="shared" si="43"/>
        <v>0.05</v>
      </c>
      <c r="X166" s="50">
        <f t="shared" si="44"/>
        <v>0.24</v>
      </c>
      <c r="Y166" s="50">
        <f t="shared" si="45"/>
        <v>0.05</v>
      </c>
      <c r="Z166" s="50">
        <f t="shared" si="46"/>
        <v>0.04</v>
      </c>
      <c r="AA166" s="50">
        <f t="shared" si="47"/>
        <v>0.06</v>
      </c>
      <c r="AB166" s="50">
        <f t="shared" si="48"/>
        <v>0.08</v>
      </c>
      <c r="AC166" s="50">
        <f t="shared" si="49"/>
        <v>0.05</v>
      </c>
      <c r="AD166" s="50">
        <f t="shared" si="50"/>
        <v>0.02</v>
      </c>
      <c r="AE166" s="50">
        <f t="shared" si="51"/>
        <v>0.02</v>
      </c>
      <c r="AF166" s="47">
        <f t="shared" si="53"/>
        <v>1</v>
      </c>
      <c r="AG166" s="50">
        <f>IF('Resultado da inspeção'!F166='Resultado da inspeção'!$W$3,0%,Ranking!R166)</f>
        <v>0.02</v>
      </c>
      <c r="AH166" s="50">
        <f>IF('Resultado da inspeção'!G166='Resultado da inspeção'!$W$3,0%,Ranking!S166)</f>
        <v>0.03</v>
      </c>
      <c r="AI166" s="50">
        <f>IF('Resultado da inspeção'!H166='Resultado da inspeção'!$W$3,0%,Ranking!T166)</f>
        <v>0.03</v>
      </c>
      <c r="AJ166" s="50">
        <f>IF('Resultado da inspeção'!I166='Resultado da inspeção'!$W$3,0%,Ranking!U166)</f>
        <v>0.1</v>
      </c>
      <c r="AK166" s="50">
        <f>IF('Resultado da inspeção'!J166='Resultado da inspeção'!$W$3,0%,Ranking!V166)</f>
        <v>0.21</v>
      </c>
      <c r="AL166" s="50">
        <f>IF('Resultado da inspeção'!K166='Resultado da inspeção'!$W$3,0%,Ranking!W166)</f>
        <v>0.05</v>
      </c>
      <c r="AM166" s="50">
        <f>IF('Resultado da inspeção'!L166='Resultado da inspeção'!$W$3,0%,Ranking!X166)</f>
        <v>0.24</v>
      </c>
      <c r="AN166" s="50">
        <f>IF('Resultado da inspeção'!M166='Resultado da inspeção'!$W$3,0%,Ranking!Y166)</f>
        <v>0.05</v>
      </c>
      <c r="AO166" s="50">
        <f>IF('Resultado da inspeção'!N166='Resultado da inspeção'!$W$3,0%,Ranking!Z166)</f>
        <v>0.04</v>
      </c>
      <c r="AP166" s="50">
        <f>IF('Resultado da inspeção'!O166='Resultado da inspeção'!$W$3,0%,Ranking!AA166)</f>
        <v>0.06</v>
      </c>
      <c r="AQ166" s="50">
        <f>IF('Resultado da inspeção'!P166='Resultado da inspeção'!$W$3,0%,Ranking!AB166)</f>
        <v>0.08</v>
      </c>
      <c r="AR166" s="50">
        <f>IF('Resultado da inspeção'!Q166='Resultado da inspeção'!$W$3,0%,Ranking!AC166)</f>
        <v>0.05</v>
      </c>
      <c r="AS166" s="50">
        <f>IF('Resultado da inspeção'!R166='Resultado da inspeção'!$W$3,0%,Ranking!AD166)</f>
        <v>0.02</v>
      </c>
      <c r="AT166" s="50">
        <f>IF('Resultado da inspeção'!S166='Resultado da inspeção'!$W$3,0%,Ranking!AE166)</f>
        <v>0.02</v>
      </c>
      <c r="AU166" s="49">
        <f t="shared" si="54"/>
        <v>1</v>
      </c>
    </row>
    <row r="167" spans="2:47" x14ac:dyDescent="0.25">
      <c r="B167" s="48">
        <f>IF('Resultado da inspeção'!F167='Resultado da inspeção'!$W$4,0%,Ranking!B$5)</f>
        <v>0.02</v>
      </c>
      <c r="C167" s="48">
        <f>IF('Resultado da inspeção'!G167='Resultado da inspeção'!$W$4,0%,Ranking!C$5)</f>
        <v>0.03</v>
      </c>
      <c r="D167" s="48">
        <f>IF('Resultado da inspeção'!H167='Resultado da inspeção'!$W$4,0%,Ranking!D$5)</f>
        <v>0.03</v>
      </c>
      <c r="E167" s="48">
        <f>IF('Resultado da inspeção'!I167='Resultado da inspeção'!$W$4,0%,Ranking!E$5)</f>
        <v>0.1</v>
      </c>
      <c r="F167" s="48">
        <f>IF('Resultado da inspeção'!J167='Resultado da inspeção'!$W$4,0%,Ranking!F$5)</f>
        <v>0.21</v>
      </c>
      <c r="G167" s="48">
        <f>IF('Resultado da inspeção'!K167='Resultado da inspeção'!$W$4,0%,Ranking!G$5)</f>
        <v>0.05</v>
      </c>
      <c r="H167" s="48">
        <f>IF('Resultado da inspeção'!L167='Resultado da inspeção'!$W$4,0%,Ranking!H$5)</f>
        <v>0.24</v>
      </c>
      <c r="I167" s="48">
        <f>IF('Resultado da inspeção'!M167='Resultado da inspeção'!$W$4,0%,Ranking!I$5)</f>
        <v>0.05</v>
      </c>
      <c r="J167" s="48">
        <f>IF('Resultado da inspeção'!N167='Resultado da inspeção'!$W$4,0%,Ranking!J$5)</f>
        <v>0.04</v>
      </c>
      <c r="K167" s="48">
        <f>IF('Resultado da inspeção'!O167='Resultado da inspeção'!$W$4,0%,Ranking!K$5)</f>
        <v>0.06</v>
      </c>
      <c r="L167" s="48">
        <f>IF('Resultado da inspeção'!P167='Resultado da inspeção'!$W$4,0%,Ranking!L$5)</f>
        <v>0.08</v>
      </c>
      <c r="M167" s="48">
        <f>IF('Resultado da inspeção'!Q167='Resultado da inspeção'!$W$4,0%,Ranking!M$5)</f>
        <v>0.05</v>
      </c>
      <c r="N167" s="48">
        <f>IF('Resultado da inspeção'!R167='Resultado da inspeção'!$W$4,0%,Ranking!N$5)</f>
        <v>0.02</v>
      </c>
      <c r="O167" s="48">
        <f>IF('Resultado da inspeção'!S167='Resultado da inspeção'!$W$4,0%,Ranking!O$5)</f>
        <v>0.02</v>
      </c>
      <c r="P167" s="47">
        <f t="shared" si="37"/>
        <v>1</v>
      </c>
      <c r="Q167" s="49">
        <f t="shared" si="52"/>
        <v>0</v>
      </c>
      <c r="R167" s="50">
        <f t="shared" si="38"/>
        <v>0.02</v>
      </c>
      <c r="S167" s="50">
        <f t="shared" si="39"/>
        <v>0.03</v>
      </c>
      <c r="T167" s="50">
        <f t="shared" si="40"/>
        <v>0.03</v>
      </c>
      <c r="U167" s="50">
        <f t="shared" si="41"/>
        <v>0.1</v>
      </c>
      <c r="V167" s="50">
        <f t="shared" si="42"/>
        <v>0.21</v>
      </c>
      <c r="W167" s="50">
        <f t="shared" si="43"/>
        <v>0.05</v>
      </c>
      <c r="X167" s="50">
        <f t="shared" si="44"/>
        <v>0.24</v>
      </c>
      <c r="Y167" s="50">
        <f t="shared" si="45"/>
        <v>0.05</v>
      </c>
      <c r="Z167" s="50">
        <f t="shared" si="46"/>
        <v>0.04</v>
      </c>
      <c r="AA167" s="50">
        <f t="shared" si="47"/>
        <v>0.06</v>
      </c>
      <c r="AB167" s="50">
        <f t="shared" si="48"/>
        <v>0.08</v>
      </c>
      <c r="AC167" s="50">
        <f t="shared" si="49"/>
        <v>0.05</v>
      </c>
      <c r="AD167" s="50">
        <f t="shared" si="50"/>
        <v>0.02</v>
      </c>
      <c r="AE167" s="50">
        <f t="shared" si="51"/>
        <v>0.02</v>
      </c>
      <c r="AF167" s="47">
        <f t="shared" si="53"/>
        <v>1</v>
      </c>
      <c r="AG167" s="50">
        <f>IF('Resultado da inspeção'!F167='Resultado da inspeção'!$W$3,0%,Ranking!R167)</f>
        <v>0.02</v>
      </c>
      <c r="AH167" s="50">
        <f>IF('Resultado da inspeção'!G167='Resultado da inspeção'!$W$3,0%,Ranking!S167)</f>
        <v>0.03</v>
      </c>
      <c r="AI167" s="50">
        <f>IF('Resultado da inspeção'!H167='Resultado da inspeção'!$W$3,0%,Ranking!T167)</f>
        <v>0.03</v>
      </c>
      <c r="AJ167" s="50">
        <f>IF('Resultado da inspeção'!I167='Resultado da inspeção'!$W$3,0%,Ranking!U167)</f>
        <v>0.1</v>
      </c>
      <c r="AK167" s="50">
        <f>IF('Resultado da inspeção'!J167='Resultado da inspeção'!$W$3,0%,Ranking!V167)</f>
        <v>0.21</v>
      </c>
      <c r="AL167" s="50">
        <f>IF('Resultado da inspeção'!K167='Resultado da inspeção'!$W$3,0%,Ranking!W167)</f>
        <v>0.05</v>
      </c>
      <c r="AM167" s="50">
        <f>IF('Resultado da inspeção'!L167='Resultado da inspeção'!$W$3,0%,Ranking!X167)</f>
        <v>0.24</v>
      </c>
      <c r="AN167" s="50">
        <f>IF('Resultado da inspeção'!M167='Resultado da inspeção'!$W$3,0%,Ranking!Y167)</f>
        <v>0.05</v>
      </c>
      <c r="AO167" s="50">
        <f>IF('Resultado da inspeção'!N167='Resultado da inspeção'!$W$3,0%,Ranking!Z167)</f>
        <v>0.04</v>
      </c>
      <c r="AP167" s="50">
        <f>IF('Resultado da inspeção'!O167='Resultado da inspeção'!$W$3,0%,Ranking!AA167)</f>
        <v>0.06</v>
      </c>
      <c r="AQ167" s="50">
        <f>IF('Resultado da inspeção'!P167='Resultado da inspeção'!$W$3,0%,Ranking!AB167)</f>
        <v>0.08</v>
      </c>
      <c r="AR167" s="50">
        <f>IF('Resultado da inspeção'!Q167='Resultado da inspeção'!$W$3,0%,Ranking!AC167)</f>
        <v>0.05</v>
      </c>
      <c r="AS167" s="50">
        <f>IF('Resultado da inspeção'!R167='Resultado da inspeção'!$W$3,0%,Ranking!AD167)</f>
        <v>0.02</v>
      </c>
      <c r="AT167" s="50">
        <f>IF('Resultado da inspeção'!S167='Resultado da inspeção'!$W$3,0%,Ranking!AE167)</f>
        <v>0.02</v>
      </c>
      <c r="AU167" s="49">
        <f t="shared" si="54"/>
        <v>1</v>
      </c>
    </row>
    <row r="168" spans="2:47" x14ac:dyDescent="0.25">
      <c r="B168" s="48">
        <f>IF('Resultado da inspeção'!F168='Resultado da inspeção'!$W$4,0%,Ranking!B$5)</f>
        <v>0.02</v>
      </c>
      <c r="C168" s="48">
        <f>IF('Resultado da inspeção'!G168='Resultado da inspeção'!$W$4,0%,Ranking!C$5)</f>
        <v>0.03</v>
      </c>
      <c r="D168" s="48">
        <f>IF('Resultado da inspeção'!H168='Resultado da inspeção'!$W$4,0%,Ranking!D$5)</f>
        <v>0.03</v>
      </c>
      <c r="E168" s="48">
        <f>IF('Resultado da inspeção'!I168='Resultado da inspeção'!$W$4,0%,Ranking!E$5)</f>
        <v>0.1</v>
      </c>
      <c r="F168" s="48">
        <f>IF('Resultado da inspeção'!J168='Resultado da inspeção'!$W$4,0%,Ranking!F$5)</f>
        <v>0.21</v>
      </c>
      <c r="G168" s="48">
        <f>IF('Resultado da inspeção'!K168='Resultado da inspeção'!$W$4,0%,Ranking!G$5)</f>
        <v>0.05</v>
      </c>
      <c r="H168" s="48">
        <f>IF('Resultado da inspeção'!L168='Resultado da inspeção'!$W$4,0%,Ranking!H$5)</f>
        <v>0.24</v>
      </c>
      <c r="I168" s="48">
        <f>IF('Resultado da inspeção'!M168='Resultado da inspeção'!$W$4,0%,Ranking!I$5)</f>
        <v>0.05</v>
      </c>
      <c r="J168" s="48">
        <f>IF('Resultado da inspeção'!N168='Resultado da inspeção'!$W$4,0%,Ranking!J$5)</f>
        <v>0.04</v>
      </c>
      <c r="K168" s="48">
        <f>IF('Resultado da inspeção'!O168='Resultado da inspeção'!$W$4,0%,Ranking!K$5)</f>
        <v>0.06</v>
      </c>
      <c r="L168" s="48">
        <f>IF('Resultado da inspeção'!P168='Resultado da inspeção'!$W$4,0%,Ranking!L$5)</f>
        <v>0.08</v>
      </c>
      <c r="M168" s="48">
        <f>IF('Resultado da inspeção'!Q168='Resultado da inspeção'!$W$4,0%,Ranking!M$5)</f>
        <v>0.05</v>
      </c>
      <c r="N168" s="48">
        <f>IF('Resultado da inspeção'!R168='Resultado da inspeção'!$W$4,0%,Ranking!N$5)</f>
        <v>0.02</v>
      </c>
      <c r="O168" s="48">
        <f>IF('Resultado da inspeção'!S168='Resultado da inspeção'!$W$4,0%,Ranking!O$5)</f>
        <v>0.02</v>
      </c>
      <c r="P168" s="47">
        <f t="shared" si="37"/>
        <v>1</v>
      </c>
      <c r="Q168" s="49">
        <f t="shared" si="52"/>
        <v>0</v>
      </c>
      <c r="R168" s="50">
        <f t="shared" si="38"/>
        <v>0.02</v>
      </c>
      <c r="S168" s="50">
        <f t="shared" si="39"/>
        <v>0.03</v>
      </c>
      <c r="T168" s="50">
        <f t="shared" si="40"/>
        <v>0.03</v>
      </c>
      <c r="U168" s="50">
        <f t="shared" si="41"/>
        <v>0.1</v>
      </c>
      <c r="V168" s="50">
        <f t="shared" si="42"/>
        <v>0.21</v>
      </c>
      <c r="W168" s="50">
        <f t="shared" si="43"/>
        <v>0.05</v>
      </c>
      <c r="X168" s="50">
        <f t="shared" si="44"/>
        <v>0.24</v>
      </c>
      <c r="Y168" s="50">
        <f t="shared" si="45"/>
        <v>0.05</v>
      </c>
      <c r="Z168" s="50">
        <f t="shared" si="46"/>
        <v>0.04</v>
      </c>
      <c r="AA168" s="50">
        <f t="shared" si="47"/>
        <v>0.06</v>
      </c>
      <c r="AB168" s="50">
        <f t="shared" si="48"/>
        <v>0.08</v>
      </c>
      <c r="AC168" s="50">
        <f t="shared" si="49"/>
        <v>0.05</v>
      </c>
      <c r="AD168" s="50">
        <f t="shared" si="50"/>
        <v>0.02</v>
      </c>
      <c r="AE168" s="50">
        <f t="shared" si="51"/>
        <v>0.02</v>
      </c>
      <c r="AF168" s="47">
        <f t="shared" si="53"/>
        <v>1</v>
      </c>
      <c r="AG168" s="50">
        <f>IF('Resultado da inspeção'!F168='Resultado da inspeção'!$W$3,0%,Ranking!R168)</f>
        <v>0.02</v>
      </c>
      <c r="AH168" s="50">
        <f>IF('Resultado da inspeção'!G168='Resultado da inspeção'!$W$3,0%,Ranking!S168)</f>
        <v>0.03</v>
      </c>
      <c r="AI168" s="50">
        <f>IF('Resultado da inspeção'!H168='Resultado da inspeção'!$W$3,0%,Ranking!T168)</f>
        <v>0.03</v>
      </c>
      <c r="AJ168" s="50">
        <f>IF('Resultado da inspeção'!I168='Resultado da inspeção'!$W$3,0%,Ranking!U168)</f>
        <v>0.1</v>
      </c>
      <c r="AK168" s="50">
        <f>IF('Resultado da inspeção'!J168='Resultado da inspeção'!$W$3,0%,Ranking!V168)</f>
        <v>0.21</v>
      </c>
      <c r="AL168" s="50">
        <f>IF('Resultado da inspeção'!K168='Resultado da inspeção'!$W$3,0%,Ranking!W168)</f>
        <v>0.05</v>
      </c>
      <c r="AM168" s="50">
        <f>IF('Resultado da inspeção'!L168='Resultado da inspeção'!$W$3,0%,Ranking!X168)</f>
        <v>0.24</v>
      </c>
      <c r="AN168" s="50">
        <f>IF('Resultado da inspeção'!M168='Resultado da inspeção'!$W$3,0%,Ranking!Y168)</f>
        <v>0.05</v>
      </c>
      <c r="AO168" s="50">
        <f>IF('Resultado da inspeção'!N168='Resultado da inspeção'!$W$3,0%,Ranking!Z168)</f>
        <v>0.04</v>
      </c>
      <c r="AP168" s="50">
        <f>IF('Resultado da inspeção'!O168='Resultado da inspeção'!$W$3,0%,Ranking!AA168)</f>
        <v>0.06</v>
      </c>
      <c r="AQ168" s="50">
        <f>IF('Resultado da inspeção'!P168='Resultado da inspeção'!$W$3,0%,Ranking!AB168)</f>
        <v>0.08</v>
      </c>
      <c r="AR168" s="50">
        <f>IF('Resultado da inspeção'!Q168='Resultado da inspeção'!$W$3,0%,Ranking!AC168)</f>
        <v>0.05</v>
      </c>
      <c r="AS168" s="50">
        <f>IF('Resultado da inspeção'!R168='Resultado da inspeção'!$W$3,0%,Ranking!AD168)</f>
        <v>0.02</v>
      </c>
      <c r="AT168" s="50">
        <f>IF('Resultado da inspeção'!S168='Resultado da inspeção'!$W$3,0%,Ranking!AE168)</f>
        <v>0.02</v>
      </c>
      <c r="AU168" s="49">
        <f t="shared" si="54"/>
        <v>1</v>
      </c>
    </row>
    <row r="169" spans="2:47" x14ac:dyDescent="0.25">
      <c r="B169" s="48">
        <f>IF('Resultado da inspeção'!F169='Resultado da inspeção'!$W$4,0%,Ranking!B$5)</f>
        <v>0.02</v>
      </c>
      <c r="C169" s="48">
        <f>IF('Resultado da inspeção'!G169='Resultado da inspeção'!$W$4,0%,Ranking!C$5)</f>
        <v>0.03</v>
      </c>
      <c r="D169" s="48">
        <f>IF('Resultado da inspeção'!H169='Resultado da inspeção'!$W$4,0%,Ranking!D$5)</f>
        <v>0.03</v>
      </c>
      <c r="E169" s="48">
        <f>IF('Resultado da inspeção'!I169='Resultado da inspeção'!$W$4,0%,Ranking!E$5)</f>
        <v>0.1</v>
      </c>
      <c r="F169" s="48">
        <f>IF('Resultado da inspeção'!J169='Resultado da inspeção'!$W$4,0%,Ranking!F$5)</f>
        <v>0.21</v>
      </c>
      <c r="G169" s="48">
        <f>IF('Resultado da inspeção'!K169='Resultado da inspeção'!$W$4,0%,Ranking!G$5)</f>
        <v>0.05</v>
      </c>
      <c r="H169" s="48">
        <f>IF('Resultado da inspeção'!L169='Resultado da inspeção'!$W$4,0%,Ranking!H$5)</f>
        <v>0.24</v>
      </c>
      <c r="I169" s="48">
        <f>IF('Resultado da inspeção'!M169='Resultado da inspeção'!$W$4,0%,Ranking!I$5)</f>
        <v>0.05</v>
      </c>
      <c r="J169" s="48">
        <f>IF('Resultado da inspeção'!N169='Resultado da inspeção'!$W$4,0%,Ranking!J$5)</f>
        <v>0.04</v>
      </c>
      <c r="K169" s="48">
        <f>IF('Resultado da inspeção'!O169='Resultado da inspeção'!$W$4,0%,Ranking!K$5)</f>
        <v>0.06</v>
      </c>
      <c r="L169" s="48">
        <f>IF('Resultado da inspeção'!P169='Resultado da inspeção'!$W$4,0%,Ranking!L$5)</f>
        <v>0.08</v>
      </c>
      <c r="M169" s="48">
        <f>IF('Resultado da inspeção'!Q169='Resultado da inspeção'!$W$4,0%,Ranking!M$5)</f>
        <v>0.05</v>
      </c>
      <c r="N169" s="48">
        <f>IF('Resultado da inspeção'!R169='Resultado da inspeção'!$W$4,0%,Ranking!N$5)</f>
        <v>0.02</v>
      </c>
      <c r="O169" s="48">
        <f>IF('Resultado da inspeção'!S169='Resultado da inspeção'!$W$4,0%,Ranking!O$5)</f>
        <v>0.02</v>
      </c>
      <c r="P169" s="47">
        <f t="shared" si="37"/>
        <v>1</v>
      </c>
      <c r="Q169" s="49">
        <f t="shared" si="52"/>
        <v>0</v>
      </c>
      <c r="R169" s="50">
        <f t="shared" si="38"/>
        <v>0.02</v>
      </c>
      <c r="S169" s="50">
        <f t="shared" si="39"/>
        <v>0.03</v>
      </c>
      <c r="T169" s="50">
        <f t="shared" si="40"/>
        <v>0.03</v>
      </c>
      <c r="U169" s="50">
        <f t="shared" si="41"/>
        <v>0.1</v>
      </c>
      <c r="V169" s="50">
        <f t="shared" si="42"/>
        <v>0.21</v>
      </c>
      <c r="W169" s="50">
        <f t="shared" si="43"/>
        <v>0.05</v>
      </c>
      <c r="X169" s="50">
        <f t="shared" si="44"/>
        <v>0.24</v>
      </c>
      <c r="Y169" s="50">
        <f t="shared" si="45"/>
        <v>0.05</v>
      </c>
      <c r="Z169" s="50">
        <f t="shared" si="46"/>
        <v>0.04</v>
      </c>
      <c r="AA169" s="50">
        <f t="shared" si="47"/>
        <v>0.06</v>
      </c>
      <c r="AB169" s="50">
        <f t="shared" si="48"/>
        <v>0.08</v>
      </c>
      <c r="AC169" s="50">
        <f t="shared" si="49"/>
        <v>0.05</v>
      </c>
      <c r="AD169" s="50">
        <f t="shared" si="50"/>
        <v>0.02</v>
      </c>
      <c r="AE169" s="50">
        <f t="shared" si="51"/>
        <v>0.02</v>
      </c>
      <c r="AF169" s="47">
        <f t="shared" si="53"/>
        <v>1</v>
      </c>
      <c r="AG169" s="50">
        <f>IF('Resultado da inspeção'!F169='Resultado da inspeção'!$W$3,0%,Ranking!R169)</f>
        <v>0.02</v>
      </c>
      <c r="AH169" s="50">
        <f>IF('Resultado da inspeção'!G169='Resultado da inspeção'!$W$3,0%,Ranking!S169)</f>
        <v>0.03</v>
      </c>
      <c r="AI169" s="50">
        <f>IF('Resultado da inspeção'!H169='Resultado da inspeção'!$W$3,0%,Ranking!T169)</f>
        <v>0.03</v>
      </c>
      <c r="AJ169" s="50">
        <f>IF('Resultado da inspeção'!I169='Resultado da inspeção'!$W$3,0%,Ranking!U169)</f>
        <v>0.1</v>
      </c>
      <c r="AK169" s="50">
        <f>IF('Resultado da inspeção'!J169='Resultado da inspeção'!$W$3,0%,Ranking!V169)</f>
        <v>0.21</v>
      </c>
      <c r="AL169" s="50">
        <f>IF('Resultado da inspeção'!K169='Resultado da inspeção'!$W$3,0%,Ranking!W169)</f>
        <v>0.05</v>
      </c>
      <c r="AM169" s="50">
        <f>IF('Resultado da inspeção'!L169='Resultado da inspeção'!$W$3,0%,Ranking!X169)</f>
        <v>0.24</v>
      </c>
      <c r="AN169" s="50">
        <f>IF('Resultado da inspeção'!M169='Resultado da inspeção'!$W$3,0%,Ranking!Y169)</f>
        <v>0.05</v>
      </c>
      <c r="AO169" s="50">
        <f>IF('Resultado da inspeção'!N169='Resultado da inspeção'!$W$3,0%,Ranking!Z169)</f>
        <v>0.04</v>
      </c>
      <c r="AP169" s="50">
        <f>IF('Resultado da inspeção'!O169='Resultado da inspeção'!$W$3,0%,Ranking!AA169)</f>
        <v>0.06</v>
      </c>
      <c r="AQ169" s="50">
        <f>IF('Resultado da inspeção'!P169='Resultado da inspeção'!$W$3,0%,Ranking!AB169)</f>
        <v>0.08</v>
      </c>
      <c r="AR169" s="50">
        <f>IF('Resultado da inspeção'!Q169='Resultado da inspeção'!$W$3,0%,Ranking!AC169)</f>
        <v>0.05</v>
      </c>
      <c r="AS169" s="50">
        <f>IF('Resultado da inspeção'!R169='Resultado da inspeção'!$W$3,0%,Ranking!AD169)</f>
        <v>0.02</v>
      </c>
      <c r="AT169" s="50">
        <f>IF('Resultado da inspeção'!S169='Resultado da inspeção'!$W$3,0%,Ranking!AE169)</f>
        <v>0.02</v>
      </c>
      <c r="AU169" s="49">
        <f t="shared" si="54"/>
        <v>1</v>
      </c>
    </row>
    <row r="170" spans="2:47" x14ac:dyDescent="0.25">
      <c r="B170" s="48">
        <f>IF('Resultado da inspeção'!F170='Resultado da inspeção'!$W$4,0%,Ranking!B$5)</f>
        <v>0.02</v>
      </c>
      <c r="C170" s="48">
        <f>IF('Resultado da inspeção'!G170='Resultado da inspeção'!$W$4,0%,Ranking!C$5)</f>
        <v>0.03</v>
      </c>
      <c r="D170" s="48">
        <f>IF('Resultado da inspeção'!H170='Resultado da inspeção'!$W$4,0%,Ranking!D$5)</f>
        <v>0.03</v>
      </c>
      <c r="E170" s="48">
        <f>IF('Resultado da inspeção'!I170='Resultado da inspeção'!$W$4,0%,Ranking!E$5)</f>
        <v>0.1</v>
      </c>
      <c r="F170" s="48">
        <f>IF('Resultado da inspeção'!J170='Resultado da inspeção'!$W$4,0%,Ranking!F$5)</f>
        <v>0.21</v>
      </c>
      <c r="G170" s="48">
        <f>IF('Resultado da inspeção'!K170='Resultado da inspeção'!$W$4,0%,Ranking!G$5)</f>
        <v>0.05</v>
      </c>
      <c r="H170" s="48">
        <f>IF('Resultado da inspeção'!L170='Resultado da inspeção'!$W$4,0%,Ranking!H$5)</f>
        <v>0.24</v>
      </c>
      <c r="I170" s="48">
        <f>IF('Resultado da inspeção'!M170='Resultado da inspeção'!$W$4,0%,Ranking!I$5)</f>
        <v>0.05</v>
      </c>
      <c r="J170" s="48">
        <f>IF('Resultado da inspeção'!N170='Resultado da inspeção'!$W$4,0%,Ranking!J$5)</f>
        <v>0.04</v>
      </c>
      <c r="K170" s="48">
        <f>IF('Resultado da inspeção'!O170='Resultado da inspeção'!$W$4,0%,Ranking!K$5)</f>
        <v>0.06</v>
      </c>
      <c r="L170" s="48">
        <f>IF('Resultado da inspeção'!P170='Resultado da inspeção'!$W$4,0%,Ranking!L$5)</f>
        <v>0.08</v>
      </c>
      <c r="M170" s="48">
        <f>IF('Resultado da inspeção'!Q170='Resultado da inspeção'!$W$4,0%,Ranking!M$5)</f>
        <v>0.05</v>
      </c>
      <c r="N170" s="48">
        <f>IF('Resultado da inspeção'!R170='Resultado da inspeção'!$W$4,0%,Ranking!N$5)</f>
        <v>0.02</v>
      </c>
      <c r="O170" s="48">
        <f>IF('Resultado da inspeção'!S170='Resultado da inspeção'!$W$4,0%,Ranking!O$5)</f>
        <v>0.02</v>
      </c>
      <c r="P170" s="47">
        <f t="shared" si="37"/>
        <v>1</v>
      </c>
      <c r="Q170" s="49">
        <f t="shared" si="52"/>
        <v>0</v>
      </c>
      <c r="R170" s="50">
        <f t="shared" si="38"/>
        <v>0.02</v>
      </c>
      <c r="S170" s="50">
        <f t="shared" si="39"/>
        <v>0.03</v>
      </c>
      <c r="T170" s="50">
        <f t="shared" si="40"/>
        <v>0.03</v>
      </c>
      <c r="U170" s="50">
        <f t="shared" si="41"/>
        <v>0.1</v>
      </c>
      <c r="V170" s="50">
        <f t="shared" si="42"/>
        <v>0.21</v>
      </c>
      <c r="W170" s="50">
        <f t="shared" si="43"/>
        <v>0.05</v>
      </c>
      <c r="X170" s="50">
        <f t="shared" si="44"/>
        <v>0.24</v>
      </c>
      <c r="Y170" s="50">
        <f t="shared" si="45"/>
        <v>0.05</v>
      </c>
      <c r="Z170" s="50">
        <f t="shared" si="46"/>
        <v>0.04</v>
      </c>
      <c r="AA170" s="50">
        <f t="shared" si="47"/>
        <v>0.06</v>
      </c>
      <c r="AB170" s="50">
        <f t="shared" si="48"/>
        <v>0.08</v>
      </c>
      <c r="AC170" s="50">
        <f t="shared" si="49"/>
        <v>0.05</v>
      </c>
      <c r="AD170" s="50">
        <f t="shared" si="50"/>
        <v>0.02</v>
      </c>
      <c r="AE170" s="50">
        <f t="shared" si="51"/>
        <v>0.02</v>
      </c>
      <c r="AF170" s="47">
        <f t="shared" si="53"/>
        <v>1</v>
      </c>
      <c r="AG170" s="50">
        <f>IF('Resultado da inspeção'!F170='Resultado da inspeção'!$W$3,0%,Ranking!R170)</f>
        <v>0.02</v>
      </c>
      <c r="AH170" s="50">
        <f>IF('Resultado da inspeção'!G170='Resultado da inspeção'!$W$3,0%,Ranking!S170)</f>
        <v>0.03</v>
      </c>
      <c r="AI170" s="50">
        <f>IF('Resultado da inspeção'!H170='Resultado da inspeção'!$W$3,0%,Ranking!T170)</f>
        <v>0.03</v>
      </c>
      <c r="AJ170" s="50">
        <f>IF('Resultado da inspeção'!I170='Resultado da inspeção'!$W$3,0%,Ranking!U170)</f>
        <v>0.1</v>
      </c>
      <c r="AK170" s="50">
        <f>IF('Resultado da inspeção'!J170='Resultado da inspeção'!$W$3,0%,Ranking!V170)</f>
        <v>0.21</v>
      </c>
      <c r="AL170" s="50">
        <f>IF('Resultado da inspeção'!K170='Resultado da inspeção'!$W$3,0%,Ranking!W170)</f>
        <v>0.05</v>
      </c>
      <c r="AM170" s="50">
        <f>IF('Resultado da inspeção'!L170='Resultado da inspeção'!$W$3,0%,Ranking!X170)</f>
        <v>0.24</v>
      </c>
      <c r="AN170" s="50">
        <f>IF('Resultado da inspeção'!M170='Resultado da inspeção'!$W$3,0%,Ranking!Y170)</f>
        <v>0.05</v>
      </c>
      <c r="AO170" s="50">
        <f>IF('Resultado da inspeção'!N170='Resultado da inspeção'!$W$3,0%,Ranking!Z170)</f>
        <v>0.04</v>
      </c>
      <c r="AP170" s="50">
        <f>IF('Resultado da inspeção'!O170='Resultado da inspeção'!$W$3,0%,Ranking!AA170)</f>
        <v>0.06</v>
      </c>
      <c r="AQ170" s="50">
        <f>IF('Resultado da inspeção'!P170='Resultado da inspeção'!$W$3,0%,Ranking!AB170)</f>
        <v>0.08</v>
      </c>
      <c r="AR170" s="50">
        <f>IF('Resultado da inspeção'!Q170='Resultado da inspeção'!$W$3,0%,Ranking!AC170)</f>
        <v>0.05</v>
      </c>
      <c r="AS170" s="50">
        <f>IF('Resultado da inspeção'!R170='Resultado da inspeção'!$W$3,0%,Ranking!AD170)</f>
        <v>0.02</v>
      </c>
      <c r="AT170" s="50">
        <f>IF('Resultado da inspeção'!S170='Resultado da inspeção'!$W$3,0%,Ranking!AE170)</f>
        <v>0.02</v>
      </c>
      <c r="AU170" s="49">
        <f t="shared" si="54"/>
        <v>1</v>
      </c>
    </row>
    <row r="171" spans="2:47" x14ac:dyDescent="0.25">
      <c r="B171" s="48">
        <f>IF('Resultado da inspeção'!F171='Resultado da inspeção'!$W$4,0%,Ranking!B$5)</f>
        <v>0.02</v>
      </c>
      <c r="C171" s="48">
        <f>IF('Resultado da inspeção'!G171='Resultado da inspeção'!$W$4,0%,Ranking!C$5)</f>
        <v>0.03</v>
      </c>
      <c r="D171" s="48">
        <f>IF('Resultado da inspeção'!H171='Resultado da inspeção'!$W$4,0%,Ranking!D$5)</f>
        <v>0.03</v>
      </c>
      <c r="E171" s="48">
        <f>IF('Resultado da inspeção'!I171='Resultado da inspeção'!$W$4,0%,Ranking!E$5)</f>
        <v>0.1</v>
      </c>
      <c r="F171" s="48">
        <f>IF('Resultado da inspeção'!J171='Resultado da inspeção'!$W$4,0%,Ranking!F$5)</f>
        <v>0.21</v>
      </c>
      <c r="G171" s="48">
        <f>IF('Resultado da inspeção'!K171='Resultado da inspeção'!$W$4,0%,Ranking!G$5)</f>
        <v>0.05</v>
      </c>
      <c r="H171" s="48">
        <f>IF('Resultado da inspeção'!L171='Resultado da inspeção'!$W$4,0%,Ranking!H$5)</f>
        <v>0.24</v>
      </c>
      <c r="I171" s="48">
        <f>IF('Resultado da inspeção'!M171='Resultado da inspeção'!$W$4,0%,Ranking!I$5)</f>
        <v>0.05</v>
      </c>
      <c r="J171" s="48">
        <f>IF('Resultado da inspeção'!N171='Resultado da inspeção'!$W$4,0%,Ranking!J$5)</f>
        <v>0.04</v>
      </c>
      <c r="K171" s="48">
        <f>IF('Resultado da inspeção'!O171='Resultado da inspeção'!$W$4,0%,Ranking!K$5)</f>
        <v>0.06</v>
      </c>
      <c r="L171" s="48">
        <f>IF('Resultado da inspeção'!P171='Resultado da inspeção'!$W$4,0%,Ranking!L$5)</f>
        <v>0.08</v>
      </c>
      <c r="M171" s="48">
        <f>IF('Resultado da inspeção'!Q171='Resultado da inspeção'!$W$4,0%,Ranking!M$5)</f>
        <v>0.05</v>
      </c>
      <c r="N171" s="48">
        <f>IF('Resultado da inspeção'!R171='Resultado da inspeção'!$W$4,0%,Ranking!N$5)</f>
        <v>0.02</v>
      </c>
      <c r="O171" s="48">
        <f>IF('Resultado da inspeção'!S171='Resultado da inspeção'!$W$4,0%,Ranking!O$5)</f>
        <v>0.02</v>
      </c>
      <c r="P171" s="47">
        <f t="shared" si="37"/>
        <v>1</v>
      </c>
      <c r="Q171" s="49">
        <f t="shared" si="52"/>
        <v>0</v>
      </c>
      <c r="R171" s="50">
        <f t="shared" si="38"/>
        <v>0.02</v>
      </c>
      <c r="S171" s="50">
        <f t="shared" si="39"/>
        <v>0.03</v>
      </c>
      <c r="T171" s="50">
        <f t="shared" si="40"/>
        <v>0.03</v>
      </c>
      <c r="U171" s="50">
        <f t="shared" si="41"/>
        <v>0.1</v>
      </c>
      <c r="V171" s="50">
        <f t="shared" si="42"/>
        <v>0.21</v>
      </c>
      <c r="W171" s="50">
        <f t="shared" si="43"/>
        <v>0.05</v>
      </c>
      <c r="X171" s="50">
        <f t="shared" si="44"/>
        <v>0.24</v>
      </c>
      <c r="Y171" s="50">
        <f t="shared" si="45"/>
        <v>0.05</v>
      </c>
      <c r="Z171" s="50">
        <f t="shared" si="46"/>
        <v>0.04</v>
      </c>
      <c r="AA171" s="50">
        <f t="shared" si="47"/>
        <v>0.06</v>
      </c>
      <c r="AB171" s="50">
        <f t="shared" si="48"/>
        <v>0.08</v>
      </c>
      <c r="AC171" s="50">
        <f t="shared" si="49"/>
        <v>0.05</v>
      </c>
      <c r="AD171" s="50">
        <f t="shared" si="50"/>
        <v>0.02</v>
      </c>
      <c r="AE171" s="50">
        <f t="shared" si="51"/>
        <v>0.02</v>
      </c>
      <c r="AF171" s="47">
        <f t="shared" si="53"/>
        <v>1</v>
      </c>
      <c r="AG171" s="50">
        <f>IF('Resultado da inspeção'!F171='Resultado da inspeção'!$W$3,0%,Ranking!R171)</f>
        <v>0.02</v>
      </c>
      <c r="AH171" s="50">
        <f>IF('Resultado da inspeção'!G171='Resultado da inspeção'!$W$3,0%,Ranking!S171)</f>
        <v>0.03</v>
      </c>
      <c r="AI171" s="50">
        <f>IF('Resultado da inspeção'!H171='Resultado da inspeção'!$W$3,0%,Ranking!T171)</f>
        <v>0.03</v>
      </c>
      <c r="AJ171" s="50">
        <f>IF('Resultado da inspeção'!I171='Resultado da inspeção'!$W$3,0%,Ranking!U171)</f>
        <v>0.1</v>
      </c>
      <c r="AK171" s="50">
        <f>IF('Resultado da inspeção'!J171='Resultado da inspeção'!$W$3,0%,Ranking!V171)</f>
        <v>0.21</v>
      </c>
      <c r="AL171" s="50">
        <f>IF('Resultado da inspeção'!K171='Resultado da inspeção'!$W$3,0%,Ranking!W171)</f>
        <v>0.05</v>
      </c>
      <c r="AM171" s="50">
        <f>IF('Resultado da inspeção'!L171='Resultado da inspeção'!$W$3,0%,Ranking!X171)</f>
        <v>0.24</v>
      </c>
      <c r="AN171" s="50">
        <f>IF('Resultado da inspeção'!M171='Resultado da inspeção'!$W$3,0%,Ranking!Y171)</f>
        <v>0.05</v>
      </c>
      <c r="AO171" s="50">
        <f>IF('Resultado da inspeção'!N171='Resultado da inspeção'!$W$3,0%,Ranking!Z171)</f>
        <v>0.04</v>
      </c>
      <c r="AP171" s="50">
        <f>IF('Resultado da inspeção'!O171='Resultado da inspeção'!$W$3,0%,Ranking!AA171)</f>
        <v>0.06</v>
      </c>
      <c r="AQ171" s="50">
        <f>IF('Resultado da inspeção'!P171='Resultado da inspeção'!$W$3,0%,Ranking!AB171)</f>
        <v>0.08</v>
      </c>
      <c r="AR171" s="50">
        <f>IF('Resultado da inspeção'!Q171='Resultado da inspeção'!$W$3,0%,Ranking!AC171)</f>
        <v>0.05</v>
      </c>
      <c r="AS171" s="50">
        <f>IF('Resultado da inspeção'!R171='Resultado da inspeção'!$W$3,0%,Ranking!AD171)</f>
        <v>0.02</v>
      </c>
      <c r="AT171" s="50">
        <f>IF('Resultado da inspeção'!S171='Resultado da inspeção'!$W$3,0%,Ranking!AE171)</f>
        <v>0.02</v>
      </c>
      <c r="AU171" s="49">
        <f t="shared" si="54"/>
        <v>1</v>
      </c>
    </row>
    <row r="172" spans="2:47" x14ac:dyDescent="0.25">
      <c r="B172" s="48">
        <f>IF('Resultado da inspeção'!F172='Resultado da inspeção'!$W$4,0%,Ranking!B$5)</f>
        <v>0.02</v>
      </c>
      <c r="C172" s="48">
        <f>IF('Resultado da inspeção'!G172='Resultado da inspeção'!$W$4,0%,Ranking!C$5)</f>
        <v>0.03</v>
      </c>
      <c r="D172" s="48">
        <f>IF('Resultado da inspeção'!H172='Resultado da inspeção'!$W$4,0%,Ranking!D$5)</f>
        <v>0.03</v>
      </c>
      <c r="E172" s="48">
        <f>IF('Resultado da inspeção'!I172='Resultado da inspeção'!$W$4,0%,Ranking!E$5)</f>
        <v>0.1</v>
      </c>
      <c r="F172" s="48">
        <f>IF('Resultado da inspeção'!J172='Resultado da inspeção'!$W$4,0%,Ranking!F$5)</f>
        <v>0.21</v>
      </c>
      <c r="G172" s="48">
        <f>IF('Resultado da inspeção'!K172='Resultado da inspeção'!$W$4,0%,Ranking!G$5)</f>
        <v>0.05</v>
      </c>
      <c r="H172" s="48">
        <f>IF('Resultado da inspeção'!L172='Resultado da inspeção'!$W$4,0%,Ranking!H$5)</f>
        <v>0.24</v>
      </c>
      <c r="I172" s="48">
        <f>IF('Resultado da inspeção'!M172='Resultado da inspeção'!$W$4,0%,Ranking!I$5)</f>
        <v>0.05</v>
      </c>
      <c r="J172" s="48">
        <f>IF('Resultado da inspeção'!N172='Resultado da inspeção'!$W$4,0%,Ranking!J$5)</f>
        <v>0.04</v>
      </c>
      <c r="K172" s="48">
        <f>IF('Resultado da inspeção'!O172='Resultado da inspeção'!$W$4,0%,Ranking!K$5)</f>
        <v>0.06</v>
      </c>
      <c r="L172" s="48">
        <f>IF('Resultado da inspeção'!P172='Resultado da inspeção'!$W$4,0%,Ranking!L$5)</f>
        <v>0.08</v>
      </c>
      <c r="M172" s="48">
        <f>IF('Resultado da inspeção'!Q172='Resultado da inspeção'!$W$4,0%,Ranking!M$5)</f>
        <v>0.05</v>
      </c>
      <c r="N172" s="48">
        <f>IF('Resultado da inspeção'!R172='Resultado da inspeção'!$W$4,0%,Ranking!N$5)</f>
        <v>0.02</v>
      </c>
      <c r="O172" s="48">
        <f>IF('Resultado da inspeção'!S172='Resultado da inspeção'!$W$4,0%,Ranking!O$5)</f>
        <v>0.02</v>
      </c>
      <c r="P172" s="47">
        <f t="shared" si="37"/>
        <v>1</v>
      </c>
      <c r="Q172" s="49">
        <f t="shared" si="52"/>
        <v>0</v>
      </c>
      <c r="R172" s="50">
        <f t="shared" si="38"/>
        <v>0.02</v>
      </c>
      <c r="S172" s="50">
        <f t="shared" si="39"/>
        <v>0.03</v>
      </c>
      <c r="T172" s="50">
        <f t="shared" si="40"/>
        <v>0.03</v>
      </c>
      <c r="U172" s="50">
        <f t="shared" si="41"/>
        <v>0.1</v>
      </c>
      <c r="V172" s="50">
        <f t="shared" si="42"/>
        <v>0.21</v>
      </c>
      <c r="W172" s="50">
        <f t="shared" si="43"/>
        <v>0.05</v>
      </c>
      <c r="X172" s="50">
        <f t="shared" si="44"/>
        <v>0.24</v>
      </c>
      <c r="Y172" s="50">
        <f t="shared" si="45"/>
        <v>0.05</v>
      </c>
      <c r="Z172" s="50">
        <f t="shared" si="46"/>
        <v>0.04</v>
      </c>
      <c r="AA172" s="50">
        <f t="shared" si="47"/>
        <v>0.06</v>
      </c>
      <c r="AB172" s="50">
        <f t="shared" si="48"/>
        <v>0.08</v>
      </c>
      <c r="AC172" s="50">
        <f t="shared" si="49"/>
        <v>0.05</v>
      </c>
      <c r="AD172" s="50">
        <f t="shared" si="50"/>
        <v>0.02</v>
      </c>
      <c r="AE172" s="50">
        <f t="shared" si="51"/>
        <v>0.02</v>
      </c>
      <c r="AF172" s="47">
        <f t="shared" si="53"/>
        <v>1</v>
      </c>
      <c r="AG172" s="50">
        <f>IF('Resultado da inspeção'!F172='Resultado da inspeção'!$W$3,0%,Ranking!R172)</f>
        <v>0.02</v>
      </c>
      <c r="AH172" s="50">
        <f>IF('Resultado da inspeção'!G172='Resultado da inspeção'!$W$3,0%,Ranking!S172)</f>
        <v>0.03</v>
      </c>
      <c r="AI172" s="50">
        <f>IF('Resultado da inspeção'!H172='Resultado da inspeção'!$W$3,0%,Ranking!T172)</f>
        <v>0.03</v>
      </c>
      <c r="AJ172" s="50">
        <f>IF('Resultado da inspeção'!I172='Resultado da inspeção'!$W$3,0%,Ranking!U172)</f>
        <v>0.1</v>
      </c>
      <c r="AK172" s="50">
        <f>IF('Resultado da inspeção'!J172='Resultado da inspeção'!$W$3,0%,Ranking!V172)</f>
        <v>0.21</v>
      </c>
      <c r="AL172" s="50">
        <f>IF('Resultado da inspeção'!K172='Resultado da inspeção'!$W$3,0%,Ranking!W172)</f>
        <v>0.05</v>
      </c>
      <c r="AM172" s="50">
        <f>IF('Resultado da inspeção'!L172='Resultado da inspeção'!$W$3,0%,Ranking!X172)</f>
        <v>0.24</v>
      </c>
      <c r="AN172" s="50">
        <f>IF('Resultado da inspeção'!M172='Resultado da inspeção'!$W$3,0%,Ranking!Y172)</f>
        <v>0.05</v>
      </c>
      <c r="AO172" s="50">
        <f>IF('Resultado da inspeção'!N172='Resultado da inspeção'!$W$3,0%,Ranking!Z172)</f>
        <v>0.04</v>
      </c>
      <c r="AP172" s="50">
        <f>IF('Resultado da inspeção'!O172='Resultado da inspeção'!$W$3,0%,Ranking!AA172)</f>
        <v>0.06</v>
      </c>
      <c r="AQ172" s="50">
        <f>IF('Resultado da inspeção'!P172='Resultado da inspeção'!$W$3,0%,Ranking!AB172)</f>
        <v>0.08</v>
      </c>
      <c r="AR172" s="50">
        <f>IF('Resultado da inspeção'!Q172='Resultado da inspeção'!$W$3,0%,Ranking!AC172)</f>
        <v>0.05</v>
      </c>
      <c r="AS172" s="50">
        <f>IF('Resultado da inspeção'!R172='Resultado da inspeção'!$W$3,0%,Ranking!AD172)</f>
        <v>0.02</v>
      </c>
      <c r="AT172" s="50">
        <f>IF('Resultado da inspeção'!S172='Resultado da inspeção'!$W$3,0%,Ranking!AE172)</f>
        <v>0.02</v>
      </c>
      <c r="AU172" s="49">
        <f t="shared" si="54"/>
        <v>1</v>
      </c>
    </row>
    <row r="173" spans="2:47" x14ac:dyDescent="0.25">
      <c r="B173" s="48">
        <f>IF('Resultado da inspeção'!F173='Resultado da inspeção'!$W$4,0%,Ranking!B$5)</f>
        <v>0.02</v>
      </c>
      <c r="C173" s="48">
        <f>IF('Resultado da inspeção'!G173='Resultado da inspeção'!$W$4,0%,Ranking!C$5)</f>
        <v>0.03</v>
      </c>
      <c r="D173" s="48">
        <f>IF('Resultado da inspeção'!H173='Resultado da inspeção'!$W$4,0%,Ranking!D$5)</f>
        <v>0.03</v>
      </c>
      <c r="E173" s="48">
        <f>IF('Resultado da inspeção'!I173='Resultado da inspeção'!$W$4,0%,Ranking!E$5)</f>
        <v>0.1</v>
      </c>
      <c r="F173" s="48">
        <f>IF('Resultado da inspeção'!J173='Resultado da inspeção'!$W$4,0%,Ranking!F$5)</f>
        <v>0.21</v>
      </c>
      <c r="G173" s="48">
        <f>IF('Resultado da inspeção'!K173='Resultado da inspeção'!$W$4,0%,Ranking!G$5)</f>
        <v>0.05</v>
      </c>
      <c r="H173" s="48">
        <f>IF('Resultado da inspeção'!L173='Resultado da inspeção'!$W$4,0%,Ranking!H$5)</f>
        <v>0.24</v>
      </c>
      <c r="I173" s="48">
        <f>IF('Resultado da inspeção'!M173='Resultado da inspeção'!$W$4,0%,Ranking!I$5)</f>
        <v>0.05</v>
      </c>
      <c r="J173" s="48">
        <f>IF('Resultado da inspeção'!N173='Resultado da inspeção'!$W$4,0%,Ranking!J$5)</f>
        <v>0.04</v>
      </c>
      <c r="K173" s="48">
        <f>IF('Resultado da inspeção'!O173='Resultado da inspeção'!$W$4,0%,Ranking!K$5)</f>
        <v>0.06</v>
      </c>
      <c r="L173" s="48">
        <f>IF('Resultado da inspeção'!P173='Resultado da inspeção'!$W$4,0%,Ranking!L$5)</f>
        <v>0.08</v>
      </c>
      <c r="M173" s="48">
        <f>IF('Resultado da inspeção'!Q173='Resultado da inspeção'!$W$4,0%,Ranking!M$5)</f>
        <v>0.05</v>
      </c>
      <c r="N173" s="48">
        <f>IF('Resultado da inspeção'!R173='Resultado da inspeção'!$W$4,0%,Ranking!N$5)</f>
        <v>0.02</v>
      </c>
      <c r="O173" s="48">
        <f>IF('Resultado da inspeção'!S173='Resultado da inspeção'!$W$4,0%,Ranking!O$5)</f>
        <v>0.02</v>
      </c>
      <c r="P173" s="47">
        <f t="shared" si="37"/>
        <v>1</v>
      </c>
      <c r="Q173" s="49">
        <f t="shared" si="52"/>
        <v>0</v>
      </c>
      <c r="R173" s="50">
        <f t="shared" si="38"/>
        <v>0.02</v>
      </c>
      <c r="S173" s="50">
        <f t="shared" si="39"/>
        <v>0.03</v>
      </c>
      <c r="T173" s="50">
        <f t="shared" si="40"/>
        <v>0.03</v>
      </c>
      <c r="U173" s="50">
        <f t="shared" si="41"/>
        <v>0.1</v>
      </c>
      <c r="V173" s="50">
        <f t="shared" si="42"/>
        <v>0.21</v>
      </c>
      <c r="W173" s="50">
        <f t="shared" si="43"/>
        <v>0.05</v>
      </c>
      <c r="X173" s="50">
        <f t="shared" si="44"/>
        <v>0.24</v>
      </c>
      <c r="Y173" s="50">
        <f t="shared" si="45"/>
        <v>0.05</v>
      </c>
      <c r="Z173" s="50">
        <f t="shared" si="46"/>
        <v>0.04</v>
      </c>
      <c r="AA173" s="50">
        <f t="shared" si="47"/>
        <v>0.06</v>
      </c>
      <c r="AB173" s="50">
        <f t="shared" si="48"/>
        <v>0.08</v>
      </c>
      <c r="AC173" s="50">
        <f t="shared" si="49"/>
        <v>0.05</v>
      </c>
      <c r="AD173" s="50">
        <f t="shared" si="50"/>
        <v>0.02</v>
      </c>
      <c r="AE173" s="50">
        <f t="shared" si="51"/>
        <v>0.02</v>
      </c>
      <c r="AF173" s="47">
        <f t="shared" si="53"/>
        <v>1</v>
      </c>
      <c r="AG173" s="50">
        <f>IF('Resultado da inspeção'!F173='Resultado da inspeção'!$W$3,0%,Ranking!R173)</f>
        <v>0.02</v>
      </c>
      <c r="AH173" s="50">
        <f>IF('Resultado da inspeção'!G173='Resultado da inspeção'!$W$3,0%,Ranking!S173)</f>
        <v>0.03</v>
      </c>
      <c r="AI173" s="50">
        <f>IF('Resultado da inspeção'!H173='Resultado da inspeção'!$W$3,0%,Ranking!T173)</f>
        <v>0.03</v>
      </c>
      <c r="AJ173" s="50">
        <f>IF('Resultado da inspeção'!I173='Resultado da inspeção'!$W$3,0%,Ranking!U173)</f>
        <v>0.1</v>
      </c>
      <c r="AK173" s="50">
        <f>IF('Resultado da inspeção'!J173='Resultado da inspeção'!$W$3,0%,Ranking!V173)</f>
        <v>0.21</v>
      </c>
      <c r="AL173" s="50">
        <f>IF('Resultado da inspeção'!K173='Resultado da inspeção'!$W$3,0%,Ranking!W173)</f>
        <v>0.05</v>
      </c>
      <c r="AM173" s="50">
        <f>IF('Resultado da inspeção'!L173='Resultado da inspeção'!$W$3,0%,Ranking!X173)</f>
        <v>0.24</v>
      </c>
      <c r="AN173" s="50">
        <f>IF('Resultado da inspeção'!M173='Resultado da inspeção'!$W$3,0%,Ranking!Y173)</f>
        <v>0.05</v>
      </c>
      <c r="AO173" s="50">
        <f>IF('Resultado da inspeção'!N173='Resultado da inspeção'!$W$3,0%,Ranking!Z173)</f>
        <v>0.04</v>
      </c>
      <c r="AP173" s="50">
        <f>IF('Resultado da inspeção'!O173='Resultado da inspeção'!$W$3,0%,Ranking!AA173)</f>
        <v>0.06</v>
      </c>
      <c r="AQ173" s="50">
        <f>IF('Resultado da inspeção'!P173='Resultado da inspeção'!$W$3,0%,Ranking!AB173)</f>
        <v>0.08</v>
      </c>
      <c r="AR173" s="50">
        <f>IF('Resultado da inspeção'!Q173='Resultado da inspeção'!$W$3,0%,Ranking!AC173)</f>
        <v>0.05</v>
      </c>
      <c r="AS173" s="50">
        <f>IF('Resultado da inspeção'!R173='Resultado da inspeção'!$W$3,0%,Ranking!AD173)</f>
        <v>0.02</v>
      </c>
      <c r="AT173" s="50">
        <f>IF('Resultado da inspeção'!S173='Resultado da inspeção'!$W$3,0%,Ranking!AE173)</f>
        <v>0.02</v>
      </c>
      <c r="AU173" s="49">
        <f t="shared" si="54"/>
        <v>1</v>
      </c>
    </row>
    <row r="174" spans="2:47" x14ac:dyDescent="0.25">
      <c r="B174" s="48">
        <f>IF('Resultado da inspeção'!F174='Resultado da inspeção'!$W$4,0%,Ranking!B$5)</f>
        <v>0.02</v>
      </c>
      <c r="C174" s="48">
        <f>IF('Resultado da inspeção'!G174='Resultado da inspeção'!$W$4,0%,Ranking!C$5)</f>
        <v>0.03</v>
      </c>
      <c r="D174" s="48">
        <f>IF('Resultado da inspeção'!H174='Resultado da inspeção'!$W$4,0%,Ranking!D$5)</f>
        <v>0.03</v>
      </c>
      <c r="E174" s="48">
        <f>IF('Resultado da inspeção'!I174='Resultado da inspeção'!$W$4,0%,Ranking!E$5)</f>
        <v>0.1</v>
      </c>
      <c r="F174" s="48">
        <f>IF('Resultado da inspeção'!J174='Resultado da inspeção'!$W$4,0%,Ranking!F$5)</f>
        <v>0.21</v>
      </c>
      <c r="G174" s="48">
        <f>IF('Resultado da inspeção'!K174='Resultado da inspeção'!$W$4,0%,Ranking!G$5)</f>
        <v>0.05</v>
      </c>
      <c r="H174" s="48">
        <f>IF('Resultado da inspeção'!L174='Resultado da inspeção'!$W$4,0%,Ranking!H$5)</f>
        <v>0.24</v>
      </c>
      <c r="I174" s="48">
        <f>IF('Resultado da inspeção'!M174='Resultado da inspeção'!$W$4,0%,Ranking!I$5)</f>
        <v>0.05</v>
      </c>
      <c r="J174" s="48">
        <f>IF('Resultado da inspeção'!N174='Resultado da inspeção'!$W$4,0%,Ranking!J$5)</f>
        <v>0.04</v>
      </c>
      <c r="K174" s="48">
        <f>IF('Resultado da inspeção'!O174='Resultado da inspeção'!$W$4,0%,Ranking!K$5)</f>
        <v>0.06</v>
      </c>
      <c r="L174" s="48">
        <f>IF('Resultado da inspeção'!P174='Resultado da inspeção'!$W$4,0%,Ranking!L$5)</f>
        <v>0.08</v>
      </c>
      <c r="M174" s="48">
        <f>IF('Resultado da inspeção'!Q174='Resultado da inspeção'!$W$4,0%,Ranking!M$5)</f>
        <v>0.05</v>
      </c>
      <c r="N174" s="48">
        <f>IF('Resultado da inspeção'!R174='Resultado da inspeção'!$W$4,0%,Ranking!N$5)</f>
        <v>0.02</v>
      </c>
      <c r="O174" s="48">
        <f>IF('Resultado da inspeção'!S174='Resultado da inspeção'!$W$4,0%,Ranking!O$5)</f>
        <v>0.02</v>
      </c>
      <c r="P174" s="47">
        <f t="shared" si="37"/>
        <v>1</v>
      </c>
      <c r="Q174" s="49">
        <f t="shared" si="52"/>
        <v>0</v>
      </c>
      <c r="R174" s="50">
        <f t="shared" si="38"/>
        <v>0.02</v>
      </c>
      <c r="S174" s="50">
        <f t="shared" si="39"/>
        <v>0.03</v>
      </c>
      <c r="T174" s="50">
        <f t="shared" si="40"/>
        <v>0.03</v>
      </c>
      <c r="U174" s="50">
        <f t="shared" si="41"/>
        <v>0.1</v>
      </c>
      <c r="V174" s="50">
        <f t="shared" si="42"/>
        <v>0.21</v>
      </c>
      <c r="W174" s="50">
        <f t="shared" si="43"/>
        <v>0.05</v>
      </c>
      <c r="X174" s="50">
        <f t="shared" si="44"/>
        <v>0.24</v>
      </c>
      <c r="Y174" s="50">
        <f t="shared" si="45"/>
        <v>0.05</v>
      </c>
      <c r="Z174" s="50">
        <f t="shared" si="46"/>
        <v>0.04</v>
      </c>
      <c r="AA174" s="50">
        <f t="shared" si="47"/>
        <v>0.06</v>
      </c>
      <c r="AB174" s="50">
        <f t="shared" si="48"/>
        <v>0.08</v>
      </c>
      <c r="AC174" s="50">
        <f t="shared" si="49"/>
        <v>0.05</v>
      </c>
      <c r="AD174" s="50">
        <f t="shared" si="50"/>
        <v>0.02</v>
      </c>
      <c r="AE174" s="50">
        <f t="shared" si="51"/>
        <v>0.02</v>
      </c>
      <c r="AF174" s="47">
        <f t="shared" si="53"/>
        <v>1</v>
      </c>
      <c r="AG174" s="50">
        <f>IF('Resultado da inspeção'!F174='Resultado da inspeção'!$W$3,0%,Ranking!R174)</f>
        <v>0.02</v>
      </c>
      <c r="AH174" s="50">
        <f>IF('Resultado da inspeção'!G174='Resultado da inspeção'!$W$3,0%,Ranking!S174)</f>
        <v>0.03</v>
      </c>
      <c r="AI174" s="50">
        <f>IF('Resultado da inspeção'!H174='Resultado da inspeção'!$W$3,0%,Ranking!T174)</f>
        <v>0.03</v>
      </c>
      <c r="AJ174" s="50">
        <f>IF('Resultado da inspeção'!I174='Resultado da inspeção'!$W$3,0%,Ranking!U174)</f>
        <v>0.1</v>
      </c>
      <c r="AK174" s="50">
        <f>IF('Resultado da inspeção'!J174='Resultado da inspeção'!$W$3,0%,Ranking!V174)</f>
        <v>0.21</v>
      </c>
      <c r="AL174" s="50">
        <f>IF('Resultado da inspeção'!K174='Resultado da inspeção'!$W$3,0%,Ranking!W174)</f>
        <v>0.05</v>
      </c>
      <c r="AM174" s="50">
        <f>IF('Resultado da inspeção'!L174='Resultado da inspeção'!$W$3,0%,Ranking!X174)</f>
        <v>0.24</v>
      </c>
      <c r="AN174" s="50">
        <f>IF('Resultado da inspeção'!M174='Resultado da inspeção'!$W$3,0%,Ranking!Y174)</f>
        <v>0.05</v>
      </c>
      <c r="AO174" s="50">
        <f>IF('Resultado da inspeção'!N174='Resultado da inspeção'!$W$3,0%,Ranking!Z174)</f>
        <v>0.04</v>
      </c>
      <c r="AP174" s="50">
        <f>IF('Resultado da inspeção'!O174='Resultado da inspeção'!$W$3,0%,Ranking!AA174)</f>
        <v>0.06</v>
      </c>
      <c r="AQ174" s="50">
        <f>IF('Resultado da inspeção'!P174='Resultado da inspeção'!$W$3,0%,Ranking!AB174)</f>
        <v>0.08</v>
      </c>
      <c r="AR174" s="50">
        <f>IF('Resultado da inspeção'!Q174='Resultado da inspeção'!$W$3,0%,Ranking!AC174)</f>
        <v>0.05</v>
      </c>
      <c r="AS174" s="50">
        <f>IF('Resultado da inspeção'!R174='Resultado da inspeção'!$W$3,0%,Ranking!AD174)</f>
        <v>0.02</v>
      </c>
      <c r="AT174" s="50">
        <f>IF('Resultado da inspeção'!S174='Resultado da inspeção'!$W$3,0%,Ranking!AE174)</f>
        <v>0.02</v>
      </c>
      <c r="AU174" s="49">
        <f t="shared" si="54"/>
        <v>1</v>
      </c>
    </row>
    <row r="175" spans="2:47" x14ac:dyDescent="0.25">
      <c r="B175" s="48">
        <f>IF('Resultado da inspeção'!F175='Resultado da inspeção'!$W$4,0%,Ranking!B$5)</f>
        <v>0.02</v>
      </c>
      <c r="C175" s="48">
        <f>IF('Resultado da inspeção'!G175='Resultado da inspeção'!$W$4,0%,Ranking!C$5)</f>
        <v>0.03</v>
      </c>
      <c r="D175" s="48">
        <f>IF('Resultado da inspeção'!H175='Resultado da inspeção'!$W$4,0%,Ranking!D$5)</f>
        <v>0.03</v>
      </c>
      <c r="E175" s="48">
        <f>IF('Resultado da inspeção'!I175='Resultado da inspeção'!$W$4,0%,Ranking!E$5)</f>
        <v>0.1</v>
      </c>
      <c r="F175" s="48">
        <f>IF('Resultado da inspeção'!J175='Resultado da inspeção'!$W$4,0%,Ranking!F$5)</f>
        <v>0.21</v>
      </c>
      <c r="G175" s="48">
        <f>IF('Resultado da inspeção'!K175='Resultado da inspeção'!$W$4,0%,Ranking!G$5)</f>
        <v>0.05</v>
      </c>
      <c r="H175" s="48">
        <f>IF('Resultado da inspeção'!L175='Resultado da inspeção'!$W$4,0%,Ranking!H$5)</f>
        <v>0.24</v>
      </c>
      <c r="I175" s="48">
        <f>IF('Resultado da inspeção'!M175='Resultado da inspeção'!$W$4,0%,Ranking!I$5)</f>
        <v>0.05</v>
      </c>
      <c r="J175" s="48">
        <f>IF('Resultado da inspeção'!N175='Resultado da inspeção'!$W$4,0%,Ranking!J$5)</f>
        <v>0.04</v>
      </c>
      <c r="K175" s="48">
        <f>IF('Resultado da inspeção'!O175='Resultado da inspeção'!$W$4,0%,Ranking!K$5)</f>
        <v>0.06</v>
      </c>
      <c r="L175" s="48">
        <f>IF('Resultado da inspeção'!P175='Resultado da inspeção'!$W$4,0%,Ranking!L$5)</f>
        <v>0.08</v>
      </c>
      <c r="M175" s="48">
        <f>IF('Resultado da inspeção'!Q175='Resultado da inspeção'!$W$4,0%,Ranking!M$5)</f>
        <v>0.05</v>
      </c>
      <c r="N175" s="48">
        <f>IF('Resultado da inspeção'!R175='Resultado da inspeção'!$W$4,0%,Ranking!N$5)</f>
        <v>0.02</v>
      </c>
      <c r="O175" s="48">
        <f>IF('Resultado da inspeção'!S175='Resultado da inspeção'!$W$4,0%,Ranking!O$5)</f>
        <v>0.02</v>
      </c>
      <c r="P175" s="47">
        <f t="shared" si="37"/>
        <v>1</v>
      </c>
      <c r="Q175" s="49">
        <f t="shared" si="52"/>
        <v>0</v>
      </c>
      <c r="R175" s="50">
        <f t="shared" si="38"/>
        <v>0.02</v>
      </c>
      <c r="S175" s="50">
        <f t="shared" si="39"/>
        <v>0.03</v>
      </c>
      <c r="T175" s="50">
        <f t="shared" si="40"/>
        <v>0.03</v>
      </c>
      <c r="U175" s="50">
        <f t="shared" si="41"/>
        <v>0.1</v>
      </c>
      <c r="V175" s="50">
        <f t="shared" si="42"/>
        <v>0.21</v>
      </c>
      <c r="W175" s="50">
        <f t="shared" si="43"/>
        <v>0.05</v>
      </c>
      <c r="X175" s="50">
        <f t="shared" si="44"/>
        <v>0.24</v>
      </c>
      <c r="Y175" s="50">
        <f t="shared" si="45"/>
        <v>0.05</v>
      </c>
      <c r="Z175" s="50">
        <f t="shared" si="46"/>
        <v>0.04</v>
      </c>
      <c r="AA175" s="50">
        <f t="shared" si="47"/>
        <v>0.06</v>
      </c>
      <c r="AB175" s="50">
        <f t="shared" si="48"/>
        <v>0.08</v>
      </c>
      <c r="AC175" s="50">
        <f t="shared" si="49"/>
        <v>0.05</v>
      </c>
      <c r="AD175" s="50">
        <f t="shared" si="50"/>
        <v>0.02</v>
      </c>
      <c r="AE175" s="50">
        <f t="shared" si="51"/>
        <v>0.02</v>
      </c>
      <c r="AF175" s="47">
        <f t="shared" si="53"/>
        <v>1</v>
      </c>
      <c r="AG175" s="50">
        <f>IF('Resultado da inspeção'!F175='Resultado da inspeção'!$W$3,0%,Ranking!R175)</f>
        <v>0.02</v>
      </c>
      <c r="AH175" s="50">
        <f>IF('Resultado da inspeção'!G175='Resultado da inspeção'!$W$3,0%,Ranking!S175)</f>
        <v>0.03</v>
      </c>
      <c r="AI175" s="50">
        <f>IF('Resultado da inspeção'!H175='Resultado da inspeção'!$W$3,0%,Ranking!T175)</f>
        <v>0.03</v>
      </c>
      <c r="AJ175" s="50">
        <f>IF('Resultado da inspeção'!I175='Resultado da inspeção'!$W$3,0%,Ranking!U175)</f>
        <v>0.1</v>
      </c>
      <c r="AK175" s="50">
        <f>IF('Resultado da inspeção'!J175='Resultado da inspeção'!$W$3,0%,Ranking!V175)</f>
        <v>0.21</v>
      </c>
      <c r="AL175" s="50">
        <f>IF('Resultado da inspeção'!K175='Resultado da inspeção'!$W$3,0%,Ranking!W175)</f>
        <v>0.05</v>
      </c>
      <c r="AM175" s="50">
        <f>IF('Resultado da inspeção'!L175='Resultado da inspeção'!$W$3,0%,Ranking!X175)</f>
        <v>0.24</v>
      </c>
      <c r="AN175" s="50">
        <f>IF('Resultado da inspeção'!M175='Resultado da inspeção'!$W$3,0%,Ranking!Y175)</f>
        <v>0.05</v>
      </c>
      <c r="AO175" s="50">
        <f>IF('Resultado da inspeção'!N175='Resultado da inspeção'!$W$3,0%,Ranking!Z175)</f>
        <v>0.04</v>
      </c>
      <c r="AP175" s="50">
        <f>IF('Resultado da inspeção'!O175='Resultado da inspeção'!$W$3,0%,Ranking!AA175)</f>
        <v>0.06</v>
      </c>
      <c r="AQ175" s="50">
        <f>IF('Resultado da inspeção'!P175='Resultado da inspeção'!$W$3,0%,Ranking!AB175)</f>
        <v>0.08</v>
      </c>
      <c r="AR175" s="50">
        <f>IF('Resultado da inspeção'!Q175='Resultado da inspeção'!$W$3,0%,Ranking!AC175)</f>
        <v>0.05</v>
      </c>
      <c r="AS175" s="50">
        <f>IF('Resultado da inspeção'!R175='Resultado da inspeção'!$W$3,0%,Ranking!AD175)</f>
        <v>0.02</v>
      </c>
      <c r="AT175" s="50">
        <f>IF('Resultado da inspeção'!S175='Resultado da inspeção'!$W$3,0%,Ranking!AE175)</f>
        <v>0.02</v>
      </c>
      <c r="AU175" s="49">
        <f t="shared" si="54"/>
        <v>1</v>
      </c>
    </row>
    <row r="176" spans="2:47" x14ac:dyDescent="0.25">
      <c r="B176" s="48">
        <f>IF('Resultado da inspeção'!F176='Resultado da inspeção'!$W$4,0%,Ranking!B$5)</f>
        <v>0.02</v>
      </c>
      <c r="C176" s="48">
        <f>IF('Resultado da inspeção'!G176='Resultado da inspeção'!$W$4,0%,Ranking!C$5)</f>
        <v>0.03</v>
      </c>
      <c r="D176" s="48">
        <f>IF('Resultado da inspeção'!H176='Resultado da inspeção'!$W$4,0%,Ranking!D$5)</f>
        <v>0.03</v>
      </c>
      <c r="E176" s="48">
        <f>IF('Resultado da inspeção'!I176='Resultado da inspeção'!$W$4,0%,Ranking!E$5)</f>
        <v>0.1</v>
      </c>
      <c r="F176" s="48">
        <f>IF('Resultado da inspeção'!J176='Resultado da inspeção'!$W$4,0%,Ranking!F$5)</f>
        <v>0.21</v>
      </c>
      <c r="G176" s="48">
        <f>IF('Resultado da inspeção'!K176='Resultado da inspeção'!$W$4,0%,Ranking!G$5)</f>
        <v>0.05</v>
      </c>
      <c r="H176" s="48">
        <f>IF('Resultado da inspeção'!L176='Resultado da inspeção'!$W$4,0%,Ranking!H$5)</f>
        <v>0.24</v>
      </c>
      <c r="I176" s="48">
        <f>IF('Resultado da inspeção'!M176='Resultado da inspeção'!$W$4,0%,Ranking!I$5)</f>
        <v>0.05</v>
      </c>
      <c r="J176" s="48">
        <f>IF('Resultado da inspeção'!N176='Resultado da inspeção'!$W$4,0%,Ranking!J$5)</f>
        <v>0.04</v>
      </c>
      <c r="K176" s="48">
        <f>IF('Resultado da inspeção'!O176='Resultado da inspeção'!$W$4,0%,Ranking!K$5)</f>
        <v>0.06</v>
      </c>
      <c r="L176" s="48">
        <f>IF('Resultado da inspeção'!P176='Resultado da inspeção'!$W$4,0%,Ranking!L$5)</f>
        <v>0.08</v>
      </c>
      <c r="M176" s="48">
        <f>IF('Resultado da inspeção'!Q176='Resultado da inspeção'!$W$4,0%,Ranking!M$5)</f>
        <v>0.05</v>
      </c>
      <c r="N176" s="48">
        <f>IF('Resultado da inspeção'!R176='Resultado da inspeção'!$W$4,0%,Ranking!N$5)</f>
        <v>0.02</v>
      </c>
      <c r="O176" s="48">
        <f>IF('Resultado da inspeção'!S176='Resultado da inspeção'!$W$4,0%,Ranking!O$5)</f>
        <v>0.02</v>
      </c>
      <c r="P176" s="47">
        <f t="shared" si="37"/>
        <v>1</v>
      </c>
      <c r="Q176" s="49">
        <f t="shared" si="52"/>
        <v>0</v>
      </c>
      <c r="R176" s="50">
        <f t="shared" si="38"/>
        <v>0.02</v>
      </c>
      <c r="S176" s="50">
        <f t="shared" si="39"/>
        <v>0.03</v>
      </c>
      <c r="T176" s="50">
        <f t="shared" si="40"/>
        <v>0.03</v>
      </c>
      <c r="U176" s="50">
        <f t="shared" si="41"/>
        <v>0.1</v>
      </c>
      <c r="V176" s="50">
        <f t="shared" si="42"/>
        <v>0.21</v>
      </c>
      <c r="W176" s="50">
        <f t="shared" si="43"/>
        <v>0.05</v>
      </c>
      <c r="X176" s="50">
        <f t="shared" si="44"/>
        <v>0.24</v>
      </c>
      <c r="Y176" s="50">
        <f t="shared" si="45"/>
        <v>0.05</v>
      </c>
      <c r="Z176" s="50">
        <f t="shared" si="46"/>
        <v>0.04</v>
      </c>
      <c r="AA176" s="50">
        <f t="shared" si="47"/>
        <v>0.06</v>
      </c>
      <c r="AB176" s="50">
        <f t="shared" si="48"/>
        <v>0.08</v>
      </c>
      <c r="AC176" s="50">
        <f t="shared" si="49"/>
        <v>0.05</v>
      </c>
      <c r="AD176" s="50">
        <f t="shared" si="50"/>
        <v>0.02</v>
      </c>
      <c r="AE176" s="50">
        <f t="shared" si="51"/>
        <v>0.02</v>
      </c>
      <c r="AF176" s="47">
        <f t="shared" si="53"/>
        <v>1</v>
      </c>
      <c r="AG176" s="50">
        <f>IF('Resultado da inspeção'!F176='Resultado da inspeção'!$W$3,0%,Ranking!R176)</f>
        <v>0.02</v>
      </c>
      <c r="AH176" s="50">
        <f>IF('Resultado da inspeção'!G176='Resultado da inspeção'!$W$3,0%,Ranking!S176)</f>
        <v>0.03</v>
      </c>
      <c r="AI176" s="50">
        <f>IF('Resultado da inspeção'!H176='Resultado da inspeção'!$W$3,0%,Ranking!T176)</f>
        <v>0.03</v>
      </c>
      <c r="AJ176" s="50">
        <f>IF('Resultado da inspeção'!I176='Resultado da inspeção'!$W$3,0%,Ranking!U176)</f>
        <v>0.1</v>
      </c>
      <c r="AK176" s="50">
        <f>IF('Resultado da inspeção'!J176='Resultado da inspeção'!$W$3,0%,Ranking!V176)</f>
        <v>0.21</v>
      </c>
      <c r="AL176" s="50">
        <f>IF('Resultado da inspeção'!K176='Resultado da inspeção'!$W$3,0%,Ranking!W176)</f>
        <v>0.05</v>
      </c>
      <c r="AM176" s="50">
        <f>IF('Resultado da inspeção'!L176='Resultado da inspeção'!$W$3,0%,Ranking!X176)</f>
        <v>0.24</v>
      </c>
      <c r="AN176" s="50">
        <f>IF('Resultado da inspeção'!M176='Resultado da inspeção'!$W$3,0%,Ranking!Y176)</f>
        <v>0.05</v>
      </c>
      <c r="AO176" s="50">
        <f>IF('Resultado da inspeção'!N176='Resultado da inspeção'!$W$3,0%,Ranking!Z176)</f>
        <v>0.04</v>
      </c>
      <c r="AP176" s="50">
        <f>IF('Resultado da inspeção'!O176='Resultado da inspeção'!$W$3,0%,Ranking!AA176)</f>
        <v>0.06</v>
      </c>
      <c r="AQ176" s="50">
        <f>IF('Resultado da inspeção'!P176='Resultado da inspeção'!$W$3,0%,Ranking!AB176)</f>
        <v>0.08</v>
      </c>
      <c r="AR176" s="50">
        <f>IF('Resultado da inspeção'!Q176='Resultado da inspeção'!$W$3,0%,Ranking!AC176)</f>
        <v>0.05</v>
      </c>
      <c r="AS176" s="50">
        <f>IF('Resultado da inspeção'!R176='Resultado da inspeção'!$W$3,0%,Ranking!AD176)</f>
        <v>0.02</v>
      </c>
      <c r="AT176" s="50">
        <f>IF('Resultado da inspeção'!S176='Resultado da inspeção'!$W$3,0%,Ranking!AE176)</f>
        <v>0.02</v>
      </c>
      <c r="AU176" s="49">
        <f t="shared" si="54"/>
        <v>1</v>
      </c>
    </row>
    <row r="177" spans="2:47" x14ac:dyDescent="0.25">
      <c r="B177" s="48">
        <f>IF('Resultado da inspeção'!F177='Resultado da inspeção'!$W$4,0%,Ranking!B$5)</f>
        <v>0.02</v>
      </c>
      <c r="C177" s="48">
        <f>IF('Resultado da inspeção'!G177='Resultado da inspeção'!$W$4,0%,Ranking!C$5)</f>
        <v>0.03</v>
      </c>
      <c r="D177" s="48">
        <f>IF('Resultado da inspeção'!H177='Resultado da inspeção'!$W$4,0%,Ranking!D$5)</f>
        <v>0.03</v>
      </c>
      <c r="E177" s="48">
        <f>IF('Resultado da inspeção'!I177='Resultado da inspeção'!$W$4,0%,Ranking!E$5)</f>
        <v>0.1</v>
      </c>
      <c r="F177" s="48">
        <f>IF('Resultado da inspeção'!J177='Resultado da inspeção'!$W$4,0%,Ranking!F$5)</f>
        <v>0.21</v>
      </c>
      <c r="G177" s="48">
        <f>IF('Resultado da inspeção'!K177='Resultado da inspeção'!$W$4,0%,Ranking!G$5)</f>
        <v>0.05</v>
      </c>
      <c r="H177" s="48">
        <f>IF('Resultado da inspeção'!L177='Resultado da inspeção'!$W$4,0%,Ranking!H$5)</f>
        <v>0.24</v>
      </c>
      <c r="I177" s="48">
        <f>IF('Resultado da inspeção'!M177='Resultado da inspeção'!$W$4,0%,Ranking!I$5)</f>
        <v>0.05</v>
      </c>
      <c r="J177" s="48">
        <f>IF('Resultado da inspeção'!N177='Resultado da inspeção'!$W$4,0%,Ranking!J$5)</f>
        <v>0.04</v>
      </c>
      <c r="K177" s="48">
        <f>IF('Resultado da inspeção'!O177='Resultado da inspeção'!$W$4,0%,Ranking!K$5)</f>
        <v>0.06</v>
      </c>
      <c r="L177" s="48">
        <f>IF('Resultado da inspeção'!P177='Resultado da inspeção'!$W$4,0%,Ranking!L$5)</f>
        <v>0.08</v>
      </c>
      <c r="M177" s="48">
        <f>IF('Resultado da inspeção'!Q177='Resultado da inspeção'!$W$4,0%,Ranking!M$5)</f>
        <v>0.05</v>
      </c>
      <c r="N177" s="48">
        <f>IF('Resultado da inspeção'!R177='Resultado da inspeção'!$W$4,0%,Ranking!N$5)</f>
        <v>0.02</v>
      </c>
      <c r="O177" s="48">
        <f>IF('Resultado da inspeção'!S177='Resultado da inspeção'!$W$4,0%,Ranking!O$5)</f>
        <v>0.02</v>
      </c>
      <c r="P177" s="47">
        <f t="shared" si="37"/>
        <v>1</v>
      </c>
      <c r="Q177" s="49">
        <f t="shared" si="52"/>
        <v>0</v>
      </c>
      <c r="R177" s="50">
        <f t="shared" si="38"/>
        <v>0.02</v>
      </c>
      <c r="S177" s="50">
        <f t="shared" si="39"/>
        <v>0.03</v>
      </c>
      <c r="T177" s="50">
        <f t="shared" si="40"/>
        <v>0.03</v>
      </c>
      <c r="U177" s="50">
        <f t="shared" si="41"/>
        <v>0.1</v>
      </c>
      <c r="V177" s="50">
        <f t="shared" si="42"/>
        <v>0.21</v>
      </c>
      <c r="W177" s="50">
        <f t="shared" si="43"/>
        <v>0.05</v>
      </c>
      <c r="X177" s="50">
        <f t="shared" si="44"/>
        <v>0.24</v>
      </c>
      <c r="Y177" s="50">
        <f t="shared" si="45"/>
        <v>0.05</v>
      </c>
      <c r="Z177" s="50">
        <f t="shared" si="46"/>
        <v>0.04</v>
      </c>
      <c r="AA177" s="50">
        <f t="shared" si="47"/>
        <v>0.06</v>
      </c>
      <c r="AB177" s="50">
        <f t="shared" si="48"/>
        <v>0.08</v>
      </c>
      <c r="AC177" s="50">
        <f t="shared" si="49"/>
        <v>0.05</v>
      </c>
      <c r="AD177" s="50">
        <f t="shared" si="50"/>
        <v>0.02</v>
      </c>
      <c r="AE177" s="50">
        <f t="shared" si="51"/>
        <v>0.02</v>
      </c>
      <c r="AF177" s="47">
        <f t="shared" si="53"/>
        <v>1</v>
      </c>
      <c r="AG177" s="50">
        <f>IF('Resultado da inspeção'!F177='Resultado da inspeção'!$W$3,0%,Ranking!R177)</f>
        <v>0.02</v>
      </c>
      <c r="AH177" s="50">
        <f>IF('Resultado da inspeção'!G177='Resultado da inspeção'!$W$3,0%,Ranking!S177)</f>
        <v>0.03</v>
      </c>
      <c r="AI177" s="50">
        <f>IF('Resultado da inspeção'!H177='Resultado da inspeção'!$W$3,0%,Ranking!T177)</f>
        <v>0.03</v>
      </c>
      <c r="AJ177" s="50">
        <f>IF('Resultado da inspeção'!I177='Resultado da inspeção'!$W$3,0%,Ranking!U177)</f>
        <v>0.1</v>
      </c>
      <c r="AK177" s="50">
        <f>IF('Resultado da inspeção'!J177='Resultado da inspeção'!$W$3,0%,Ranking!V177)</f>
        <v>0.21</v>
      </c>
      <c r="AL177" s="50">
        <f>IF('Resultado da inspeção'!K177='Resultado da inspeção'!$W$3,0%,Ranking!W177)</f>
        <v>0.05</v>
      </c>
      <c r="AM177" s="50">
        <f>IF('Resultado da inspeção'!L177='Resultado da inspeção'!$W$3,0%,Ranking!X177)</f>
        <v>0.24</v>
      </c>
      <c r="AN177" s="50">
        <f>IF('Resultado da inspeção'!M177='Resultado da inspeção'!$W$3,0%,Ranking!Y177)</f>
        <v>0.05</v>
      </c>
      <c r="AO177" s="50">
        <f>IF('Resultado da inspeção'!N177='Resultado da inspeção'!$W$3,0%,Ranking!Z177)</f>
        <v>0.04</v>
      </c>
      <c r="AP177" s="50">
        <f>IF('Resultado da inspeção'!O177='Resultado da inspeção'!$W$3,0%,Ranking!AA177)</f>
        <v>0.06</v>
      </c>
      <c r="AQ177" s="50">
        <f>IF('Resultado da inspeção'!P177='Resultado da inspeção'!$W$3,0%,Ranking!AB177)</f>
        <v>0.08</v>
      </c>
      <c r="AR177" s="50">
        <f>IF('Resultado da inspeção'!Q177='Resultado da inspeção'!$W$3,0%,Ranking!AC177)</f>
        <v>0.05</v>
      </c>
      <c r="AS177" s="50">
        <f>IF('Resultado da inspeção'!R177='Resultado da inspeção'!$W$3,0%,Ranking!AD177)</f>
        <v>0.02</v>
      </c>
      <c r="AT177" s="50">
        <f>IF('Resultado da inspeção'!S177='Resultado da inspeção'!$W$3,0%,Ranking!AE177)</f>
        <v>0.02</v>
      </c>
      <c r="AU177" s="49">
        <f t="shared" si="54"/>
        <v>1</v>
      </c>
    </row>
    <row r="178" spans="2:47" x14ac:dyDescent="0.25">
      <c r="B178" s="48">
        <f>IF('Resultado da inspeção'!F178='Resultado da inspeção'!$W$4,0%,Ranking!B$5)</f>
        <v>0.02</v>
      </c>
      <c r="C178" s="48">
        <f>IF('Resultado da inspeção'!G178='Resultado da inspeção'!$W$4,0%,Ranking!C$5)</f>
        <v>0.03</v>
      </c>
      <c r="D178" s="48">
        <f>IF('Resultado da inspeção'!H178='Resultado da inspeção'!$W$4,0%,Ranking!D$5)</f>
        <v>0.03</v>
      </c>
      <c r="E178" s="48">
        <f>IF('Resultado da inspeção'!I178='Resultado da inspeção'!$W$4,0%,Ranking!E$5)</f>
        <v>0.1</v>
      </c>
      <c r="F178" s="48">
        <f>IF('Resultado da inspeção'!J178='Resultado da inspeção'!$W$4,0%,Ranking!F$5)</f>
        <v>0.21</v>
      </c>
      <c r="G178" s="48">
        <f>IF('Resultado da inspeção'!K178='Resultado da inspeção'!$W$4,0%,Ranking!G$5)</f>
        <v>0.05</v>
      </c>
      <c r="H178" s="48">
        <f>IF('Resultado da inspeção'!L178='Resultado da inspeção'!$W$4,0%,Ranking!H$5)</f>
        <v>0.24</v>
      </c>
      <c r="I178" s="48">
        <f>IF('Resultado da inspeção'!M178='Resultado da inspeção'!$W$4,0%,Ranking!I$5)</f>
        <v>0.05</v>
      </c>
      <c r="J178" s="48">
        <f>IF('Resultado da inspeção'!N178='Resultado da inspeção'!$W$4,0%,Ranking!J$5)</f>
        <v>0.04</v>
      </c>
      <c r="K178" s="48">
        <f>IF('Resultado da inspeção'!O178='Resultado da inspeção'!$W$4,0%,Ranking!K$5)</f>
        <v>0.06</v>
      </c>
      <c r="L178" s="48">
        <f>IF('Resultado da inspeção'!P178='Resultado da inspeção'!$W$4,0%,Ranking!L$5)</f>
        <v>0.08</v>
      </c>
      <c r="M178" s="48">
        <f>IF('Resultado da inspeção'!Q178='Resultado da inspeção'!$W$4,0%,Ranking!M$5)</f>
        <v>0.05</v>
      </c>
      <c r="N178" s="48">
        <f>IF('Resultado da inspeção'!R178='Resultado da inspeção'!$W$4,0%,Ranking!N$5)</f>
        <v>0.02</v>
      </c>
      <c r="O178" s="48">
        <f>IF('Resultado da inspeção'!S178='Resultado da inspeção'!$W$4,0%,Ranking!O$5)</f>
        <v>0.02</v>
      </c>
      <c r="P178" s="47">
        <f t="shared" si="37"/>
        <v>1</v>
      </c>
      <c r="Q178" s="49">
        <f t="shared" si="52"/>
        <v>0</v>
      </c>
      <c r="R178" s="50">
        <f t="shared" si="38"/>
        <v>0.02</v>
      </c>
      <c r="S178" s="50">
        <f t="shared" si="39"/>
        <v>0.03</v>
      </c>
      <c r="T178" s="50">
        <f t="shared" si="40"/>
        <v>0.03</v>
      </c>
      <c r="U178" s="50">
        <f t="shared" si="41"/>
        <v>0.1</v>
      </c>
      <c r="V178" s="50">
        <f t="shared" si="42"/>
        <v>0.21</v>
      </c>
      <c r="W178" s="50">
        <f t="shared" si="43"/>
        <v>0.05</v>
      </c>
      <c r="X178" s="50">
        <f t="shared" si="44"/>
        <v>0.24</v>
      </c>
      <c r="Y178" s="50">
        <f t="shared" si="45"/>
        <v>0.05</v>
      </c>
      <c r="Z178" s="50">
        <f t="shared" si="46"/>
        <v>0.04</v>
      </c>
      <c r="AA178" s="50">
        <f t="shared" si="47"/>
        <v>0.06</v>
      </c>
      <c r="AB178" s="50">
        <f t="shared" si="48"/>
        <v>0.08</v>
      </c>
      <c r="AC178" s="50">
        <f t="shared" si="49"/>
        <v>0.05</v>
      </c>
      <c r="AD178" s="50">
        <f t="shared" si="50"/>
        <v>0.02</v>
      </c>
      <c r="AE178" s="50">
        <f t="shared" si="51"/>
        <v>0.02</v>
      </c>
      <c r="AF178" s="47">
        <f t="shared" si="53"/>
        <v>1</v>
      </c>
      <c r="AG178" s="50">
        <f>IF('Resultado da inspeção'!F178='Resultado da inspeção'!$W$3,0%,Ranking!R178)</f>
        <v>0.02</v>
      </c>
      <c r="AH178" s="50">
        <f>IF('Resultado da inspeção'!G178='Resultado da inspeção'!$W$3,0%,Ranking!S178)</f>
        <v>0.03</v>
      </c>
      <c r="AI178" s="50">
        <f>IF('Resultado da inspeção'!H178='Resultado da inspeção'!$W$3,0%,Ranking!T178)</f>
        <v>0.03</v>
      </c>
      <c r="AJ178" s="50">
        <f>IF('Resultado da inspeção'!I178='Resultado da inspeção'!$W$3,0%,Ranking!U178)</f>
        <v>0.1</v>
      </c>
      <c r="AK178" s="50">
        <f>IF('Resultado da inspeção'!J178='Resultado da inspeção'!$W$3,0%,Ranking!V178)</f>
        <v>0.21</v>
      </c>
      <c r="AL178" s="50">
        <f>IF('Resultado da inspeção'!K178='Resultado da inspeção'!$W$3,0%,Ranking!W178)</f>
        <v>0.05</v>
      </c>
      <c r="AM178" s="50">
        <f>IF('Resultado da inspeção'!L178='Resultado da inspeção'!$W$3,0%,Ranking!X178)</f>
        <v>0.24</v>
      </c>
      <c r="AN178" s="50">
        <f>IF('Resultado da inspeção'!M178='Resultado da inspeção'!$W$3,0%,Ranking!Y178)</f>
        <v>0.05</v>
      </c>
      <c r="AO178" s="50">
        <f>IF('Resultado da inspeção'!N178='Resultado da inspeção'!$W$3,0%,Ranking!Z178)</f>
        <v>0.04</v>
      </c>
      <c r="AP178" s="50">
        <f>IF('Resultado da inspeção'!O178='Resultado da inspeção'!$W$3,0%,Ranking!AA178)</f>
        <v>0.06</v>
      </c>
      <c r="AQ178" s="50">
        <f>IF('Resultado da inspeção'!P178='Resultado da inspeção'!$W$3,0%,Ranking!AB178)</f>
        <v>0.08</v>
      </c>
      <c r="AR178" s="50">
        <f>IF('Resultado da inspeção'!Q178='Resultado da inspeção'!$W$3,0%,Ranking!AC178)</f>
        <v>0.05</v>
      </c>
      <c r="AS178" s="50">
        <f>IF('Resultado da inspeção'!R178='Resultado da inspeção'!$W$3,0%,Ranking!AD178)</f>
        <v>0.02</v>
      </c>
      <c r="AT178" s="50">
        <f>IF('Resultado da inspeção'!S178='Resultado da inspeção'!$W$3,0%,Ranking!AE178)</f>
        <v>0.02</v>
      </c>
      <c r="AU178" s="49">
        <f t="shared" si="54"/>
        <v>1</v>
      </c>
    </row>
    <row r="179" spans="2:47" x14ac:dyDescent="0.25">
      <c r="B179" s="48">
        <f>IF('Resultado da inspeção'!F179='Resultado da inspeção'!$W$4,0%,Ranking!B$5)</f>
        <v>0.02</v>
      </c>
      <c r="C179" s="48">
        <f>IF('Resultado da inspeção'!G179='Resultado da inspeção'!$W$4,0%,Ranking!C$5)</f>
        <v>0.03</v>
      </c>
      <c r="D179" s="48">
        <f>IF('Resultado da inspeção'!H179='Resultado da inspeção'!$W$4,0%,Ranking!D$5)</f>
        <v>0.03</v>
      </c>
      <c r="E179" s="48">
        <f>IF('Resultado da inspeção'!I179='Resultado da inspeção'!$W$4,0%,Ranking!E$5)</f>
        <v>0.1</v>
      </c>
      <c r="F179" s="48">
        <f>IF('Resultado da inspeção'!J179='Resultado da inspeção'!$W$4,0%,Ranking!F$5)</f>
        <v>0.21</v>
      </c>
      <c r="G179" s="48">
        <f>IF('Resultado da inspeção'!K179='Resultado da inspeção'!$W$4,0%,Ranking!G$5)</f>
        <v>0.05</v>
      </c>
      <c r="H179" s="48">
        <f>IF('Resultado da inspeção'!L179='Resultado da inspeção'!$W$4,0%,Ranking!H$5)</f>
        <v>0.24</v>
      </c>
      <c r="I179" s="48">
        <f>IF('Resultado da inspeção'!M179='Resultado da inspeção'!$W$4,0%,Ranking!I$5)</f>
        <v>0.05</v>
      </c>
      <c r="J179" s="48">
        <f>IF('Resultado da inspeção'!N179='Resultado da inspeção'!$W$4,0%,Ranking!J$5)</f>
        <v>0.04</v>
      </c>
      <c r="K179" s="48">
        <f>IF('Resultado da inspeção'!O179='Resultado da inspeção'!$W$4,0%,Ranking!K$5)</f>
        <v>0.06</v>
      </c>
      <c r="L179" s="48">
        <f>IF('Resultado da inspeção'!P179='Resultado da inspeção'!$W$4,0%,Ranking!L$5)</f>
        <v>0.08</v>
      </c>
      <c r="M179" s="48">
        <f>IF('Resultado da inspeção'!Q179='Resultado da inspeção'!$W$4,0%,Ranking!M$5)</f>
        <v>0.05</v>
      </c>
      <c r="N179" s="48">
        <f>IF('Resultado da inspeção'!R179='Resultado da inspeção'!$W$4,0%,Ranking!N$5)</f>
        <v>0.02</v>
      </c>
      <c r="O179" s="48">
        <f>IF('Resultado da inspeção'!S179='Resultado da inspeção'!$W$4,0%,Ranking!O$5)</f>
        <v>0.02</v>
      </c>
      <c r="P179" s="47">
        <f t="shared" si="37"/>
        <v>1</v>
      </c>
      <c r="Q179" s="49">
        <f t="shared" si="52"/>
        <v>0</v>
      </c>
      <c r="R179" s="50">
        <f t="shared" si="38"/>
        <v>0.02</v>
      </c>
      <c r="S179" s="50">
        <f t="shared" si="39"/>
        <v>0.03</v>
      </c>
      <c r="T179" s="50">
        <f t="shared" si="40"/>
        <v>0.03</v>
      </c>
      <c r="U179" s="50">
        <f t="shared" si="41"/>
        <v>0.1</v>
      </c>
      <c r="V179" s="50">
        <f t="shared" si="42"/>
        <v>0.21</v>
      </c>
      <c r="W179" s="50">
        <f t="shared" si="43"/>
        <v>0.05</v>
      </c>
      <c r="X179" s="50">
        <f t="shared" si="44"/>
        <v>0.24</v>
      </c>
      <c r="Y179" s="50">
        <f t="shared" si="45"/>
        <v>0.05</v>
      </c>
      <c r="Z179" s="50">
        <f t="shared" si="46"/>
        <v>0.04</v>
      </c>
      <c r="AA179" s="50">
        <f t="shared" si="47"/>
        <v>0.06</v>
      </c>
      <c r="AB179" s="50">
        <f t="shared" si="48"/>
        <v>0.08</v>
      </c>
      <c r="AC179" s="50">
        <f t="shared" si="49"/>
        <v>0.05</v>
      </c>
      <c r="AD179" s="50">
        <f t="shared" si="50"/>
        <v>0.02</v>
      </c>
      <c r="AE179" s="50">
        <f t="shared" si="51"/>
        <v>0.02</v>
      </c>
      <c r="AF179" s="47">
        <f t="shared" si="53"/>
        <v>1</v>
      </c>
      <c r="AG179" s="50">
        <f>IF('Resultado da inspeção'!F179='Resultado da inspeção'!$W$3,0%,Ranking!R179)</f>
        <v>0.02</v>
      </c>
      <c r="AH179" s="50">
        <f>IF('Resultado da inspeção'!G179='Resultado da inspeção'!$W$3,0%,Ranking!S179)</f>
        <v>0.03</v>
      </c>
      <c r="AI179" s="50">
        <f>IF('Resultado da inspeção'!H179='Resultado da inspeção'!$W$3,0%,Ranking!T179)</f>
        <v>0.03</v>
      </c>
      <c r="AJ179" s="50">
        <f>IF('Resultado da inspeção'!I179='Resultado da inspeção'!$W$3,0%,Ranking!U179)</f>
        <v>0.1</v>
      </c>
      <c r="AK179" s="50">
        <f>IF('Resultado da inspeção'!J179='Resultado da inspeção'!$W$3,0%,Ranking!V179)</f>
        <v>0.21</v>
      </c>
      <c r="AL179" s="50">
        <f>IF('Resultado da inspeção'!K179='Resultado da inspeção'!$W$3,0%,Ranking!W179)</f>
        <v>0.05</v>
      </c>
      <c r="AM179" s="50">
        <f>IF('Resultado da inspeção'!L179='Resultado da inspeção'!$W$3,0%,Ranking!X179)</f>
        <v>0.24</v>
      </c>
      <c r="AN179" s="50">
        <f>IF('Resultado da inspeção'!M179='Resultado da inspeção'!$W$3,0%,Ranking!Y179)</f>
        <v>0.05</v>
      </c>
      <c r="AO179" s="50">
        <f>IF('Resultado da inspeção'!N179='Resultado da inspeção'!$W$3,0%,Ranking!Z179)</f>
        <v>0.04</v>
      </c>
      <c r="AP179" s="50">
        <f>IF('Resultado da inspeção'!O179='Resultado da inspeção'!$W$3,0%,Ranking!AA179)</f>
        <v>0.06</v>
      </c>
      <c r="AQ179" s="50">
        <f>IF('Resultado da inspeção'!P179='Resultado da inspeção'!$W$3,0%,Ranking!AB179)</f>
        <v>0.08</v>
      </c>
      <c r="AR179" s="50">
        <f>IF('Resultado da inspeção'!Q179='Resultado da inspeção'!$W$3,0%,Ranking!AC179)</f>
        <v>0.05</v>
      </c>
      <c r="AS179" s="50">
        <f>IF('Resultado da inspeção'!R179='Resultado da inspeção'!$W$3,0%,Ranking!AD179)</f>
        <v>0.02</v>
      </c>
      <c r="AT179" s="50">
        <f>IF('Resultado da inspeção'!S179='Resultado da inspeção'!$W$3,0%,Ranking!AE179)</f>
        <v>0.02</v>
      </c>
      <c r="AU179" s="49">
        <f t="shared" si="54"/>
        <v>1</v>
      </c>
    </row>
    <row r="180" spans="2:47" x14ac:dyDescent="0.25">
      <c r="B180" s="48">
        <f>IF('Resultado da inspeção'!F180='Resultado da inspeção'!$W$4,0%,Ranking!B$5)</f>
        <v>0.02</v>
      </c>
      <c r="C180" s="48">
        <f>IF('Resultado da inspeção'!G180='Resultado da inspeção'!$W$4,0%,Ranking!C$5)</f>
        <v>0.03</v>
      </c>
      <c r="D180" s="48">
        <f>IF('Resultado da inspeção'!H180='Resultado da inspeção'!$W$4,0%,Ranking!D$5)</f>
        <v>0.03</v>
      </c>
      <c r="E180" s="48">
        <f>IF('Resultado da inspeção'!I180='Resultado da inspeção'!$W$4,0%,Ranking!E$5)</f>
        <v>0.1</v>
      </c>
      <c r="F180" s="48">
        <f>IF('Resultado da inspeção'!J180='Resultado da inspeção'!$W$4,0%,Ranking!F$5)</f>
        <v>0.21</v>
      </c>
      <c r="G180" s="48">
        <f>IF('Resultado da inspeção'!K180='Resultado da inspeção'!$W$4,0%,Ranking!G$5)</f>
        <v>0.05</v>
      </c>
      <c r="H180" s="48">
        <f>IF('Resultado da inspeção'!L180='Resultado da inspeção'!$W$4,0%,Ranking!H$5)</f>
        <v>0.24</v>
      </c>
      <c r="I180" s="48">
        <f>IF('Resultado da inspeção'!M180='Resultado da inspeção'!$W$4,0%,Ranking!I$5)</f>
        <v>0.05</v>
      </c>
      <c r="J180" s="48">
        <f>IF('Resultado da inspeção'!N180='Resultado da inspeção'!$W$4,0%,Ranking!J$5)</f>
        <v>0.04</v>
      </c>
      <c r="K180" s="48">
        <f>IF('Resultado da inspeção'!O180='Resultado da inspeção'!$W$4,0%,Ranking!K$5)</f>
        <v>0.06</v>
      </c>
      <c r="L180" s="48">
        <f>IF('Resultado da inspeção'!P180='Resultado da inspeção'!$W$4,0%,Ranking!L$5)</f>
        <v>0.08</v>
      </c>
      <c r="M180" s="48">
        <f>IF('Resultado da inspeção'!Q180='Resultado da inspeção'!$W$4,0%,Ranking!M$5)</f>
        <v>0.05</v>
      </c>
      <c r="N180" s="48">
        <f>IF('Resultado da inspeção'!R180='Resultado da inspeção'!$W$4,0%,Ranking!N$5)</f>
        <v>0.02</v>
      </c>
      <c r="O180" s="48">
        <f>IF('Resultado da inspeção'!S180='Resultado da inspeção'!$W$4,0%,Ranking!O$5)</f>
        <v>0.02</v>
      </c>
      <c r="P180" s="47">
        <f t="shared" si="37"/>
        <v>1</v>
      </c>
      <c r="Q180" s="49">
        <f t="shared" si="52"/>
        <v>0</v>
      </c>
      <c r="R180" s="50">
        <f t="shared" si="38"/>
        <v>0.02</v>
      </c>
      <c r="S180" s="50">
        <f t="shared" si="39"/>
        <v>0.03</v>
      </c>
      <c r="T180" s="50">
        <f t="shared" si="40"/>
        <v>0.03</v>
      </c>
      <c r="U180" s="50">
        <f t="shared" si="41"/>
        <v>0.1</v>
      </c>
      <c r="V180" s="50">
        <f t="shared" si="42"/>
        <v>0.21</v>
      </c>
      <c r="W180" s="50">
        <f t="shared" si="43"/>
        <v>0.05</v>
      </c>
      <c r="X180" s="50">
        <f t="shared" si="44"/>
        <v>0.24</v>
      </c>
      <c r="Y180" s="50">
        <f t="shared" si="45"/>
        <v>0.05</v>
      </c>
      <c r="Z180" s="50">
        <f t="shared" si="46"/>
        <v>0.04</v>
      </c>
      <c r="AA180" s="50">
        <f t="shared" si="47"/>
        <v>0.06</v>
      </c>
      <c r="AB180" s="50">
        <f t="shared" si="48"/>
        <v>0.08</v>
      </c>
      <c r="AC180" s="50">
        <f t="shared" si="49"/>
        <v>0.05</v>
      </c>
      <c r="AD180" s="50">
        <f t="shared" si="50"/>
        <v>0.02</v>
      </c>
      <c r="AE180" s="50">
        <f t="shared" si="51"/>
        <v>0.02</v>
      </c>
      <c r="AF180" s="47">
        <f t="shared" si="53"/>
        <v>1</v>
      </c>
      <c r="AG180" s="50">
        <f>IF('Resultado da inspeção'!F180='Resultado da inspeção'!$W$3,0%,Ranking!R180)</f>
        <v>0.02</v>
      </c>
      <c r="AH180" s="50">
        <f>IF('Resultado da inspeção'!G180='Resultado da inspeção'!$W$3,0%,Ranking!S180)</f>
        <v>0.03</v>
      </c>
      <c r="AI180" s="50">
        <f>IF('Resultado da inspeção'!H180='Resultado da inspeção'!$W$3,0%,Ranking!T180)</f>
        <v>0.03</v>
      </c>
      <c r="AJ180" s="50">
        <f>IF('Resultado da inspeção'!I180='Resultado da inspeção'!$W$3,0%,Ranking!U180)</f>
        <v>0.1</v>
      </c>
      <c r="AK180" s="50">
        <f>IF('Resultado da inspeção'!J180='Resultado da inspeção'!$W$3,0%,Ranking!V180)</f>
        <v>0.21</v>
      </c>
      <c r="AL180" s="50">
        <f>IF('Resultado da inspeção'!K180='Resultado da inspeção'!$W$3,0%,Ranking!W180)</f>
        <v>0.05</v>
      </c>
      <c r="AM180" s="50">
        <f>IF('Resultado da inspeção'!L180='Resultado da inspeção'!$W$3,0%,Ranking!X180)</f>
        <v>0.24</v>
      </c>
      <c r="AN180" s="50">
        <f>IF('Resultado da inspeção'!M180='Resultado da inspeção'!$W$3,0%,Ranking!Y180)</f>
        <v>0.05</v>
      </c>
      <c r="AO180" s="50">
        <f>IF('Resultado da inspeção'!N180='Resultado da inspeção'!$W$3,0%,Ranking!Z180)</f>
        <v>0.04</v>
      </c>
      <c r="AP180" s="50">
        <f>IF('Resultado da inspeção'!O180='Resultado da inspeção'!$W$3,0%,Ranking!AA180)</f>
        <v>0.06</v>
      </c>
      <c r="AQ180" s="50">
        <f>IF('Resultado da inspeção'!P180='Resultado da inspeção'!$W$3,0%,Ranking!AB180)</f>
        <v>0.08</v>
      </c>
      <c r="AR180" s="50">
        <f>IF('Resultado da inspeção'!Q180='Resultado da inspeção'!$W$3,0%,Ranking!AC180)</f>
        <v>0.05</v>
      </c>
      <c r="AS180" s="50">
        <f>IF('Resultado da inspeção'!R180='Resultado da inspeção'!$W$3,0%,Ranking!AD180)</f>
        <v>0.02</v>
      </c>
      <c r="AT180" s="50">
        <f>IF('Resultado da inspeção'!S180='Resultado da inspeção'!$W$3,0%,Ranking!AE180)</f>
        <v>0.02</v>
      </c>
      <c r="AU180" s="49">
        <f t="shared" si="54"/>
        <v>1</v>
      </c>
    </row>
    <row r="181" spans="2:47" x14ac:dyDescent="0.25">
      <c r="B181" s="48">
        <f>IF('Resultado da inspeção'!F181='Resultado da inspeção'!$W$4,0%,Ranking!B$5)</f>
        <v>0.02</v>
      </c>
      <c r="C181" s="48">
        <f>IF('Resultado da inspeção'!G181='Resultado da inspeção'!$W$4,0%,Ranking!C$5)</f>
        <v>0.03</v>
      </c>
      <c r="D181" s="48">
        <f>IF('Resultado da inspeção'!H181='Resultado da inspeção'!$W$4,0%,Ranking!D$5)</f>
        <v>0.03</v>
      </c>
      <c r="E181" s="48">
        <f>IF('Resultado da inspeção'!I181='Resultado da inspeção'!$W$4,0%,Ranking!E$5)</f>
        <v>0.1</v>
      </c>
      <c r="F181" s="48">
        <f>IF('Resultado da inspeção'!J181='Resultado da inspeção'!$W$4,0%,Ranking!F$5)</f>
        <v>0.21</v>
      </c>
      <c r="G181" s="48">
        <f>IF('Resultado da inspeção'!K181='Resultado da inspeção'!$W$4,0%,Ranking!G$5)</f>
        <v>0.05</v>
      </c>
      <c r="H181" s="48">
        <f>IF('Resultado da inspeção'!L181='Resultado da inspeção'!$W$4,0%,Ranking!H$5)</f>
        <v>0.24</v>
      </c>
      <c r="I181" s="48">
        <f>IF('Resultado da inspeção'!M181='Resultado da inspeção'!$W$4,0%,Ranking!I$5)</f>
        <v>0.05</v>
      </c>
      <c r="J181" s="48">
        <f>IF('Resultado da inspeção'!N181='Resultado da inspeção'!$W$4,0%,Ranking!J$5)</f>
        <v>0.04</v>
      </c>
      <c r="K181" s="48">
        <f>IF('Resultado da inspeção'!O181='Resultado da inspeção'!$W$4,0%,Ranking!K$5)</f>
        <v>0.06</v>
      </c>
      <c r="L181" s="48">
        <f>IF('Resultado da inspeção'!P181='Resultado da inspeção'!$W$4,0%,Ranking!L$5)</f>
        <v>0.08</v>
      </c>
      <c r="M181" s="48">
        <f>IF('Resultado da inspeção'!Q181='Resultado da inspeção'!$W$4,0%,Ranking!M$5)</f>
        <v>0.05</v>
      </c>
      <c r="N181" s="48">
        <f>IF('Resultado da inspeção'!R181='Resultado da inspeção'!$W$4,0%,Ranking!N$5)</f>
        <v>0.02</v>
      </c>
      <c r="O181" s="48">
        <f>IF('Resultado da inspeção'!S181='Resultado da inspeção'!$W$4,0%,Ranking!O$5)</f>
        <v>0.02</v>
      </c>
      <c r="P181" s="47">
        <f t="shared" si="37"/>
        <v>1</v>
      </c>
      <c r="Q181" s="49">
        <f t="shared" si="52"/>
        <v>0</v>
      </c>
      <c r="R181" s="50">
        <f t="shared" si="38"/>
        <v>0.02</v>
      </c>
      <c r="S181" s="50">
        <f t="shared" si="39"/>
        <v>0.03</v>
      </c>
      <c r="T181" s="50">
        <f t="shared" si="40"/>
        <v>0.03</v>
      </c>
      <c r="U181" s="50">
        <f t="shared" si="41"/>
        <v>0.1</v>
      </c>
      <c r="V181" s="50">
        <f t="shared" si="42"/>
        <v>0.21</v>
      </c>
      <c r="W181" s="50">
        <f t="shared" si="43"/>
        <v>0.05</v>
      </c>
      <c r="X181" s="50">
        <f t="shared" si="44"/>
        <v>0.24</v>
      </c>
      <c r="Y181" s="50">
        <f t="shared" si="45"/>
        <v>0.05</v>
      </c>
      <c r="Z181" s="50">
        <f t="shared" si="46"/>
        <v>0.04</v>
      </c>
      <c r="AA181" s="50">
        <f t="shared" si="47"/>
        <v>0.06</v>
      </c>
      <c r="AB181" s="50">
        <f t="shared" si="48"/>
        <v>0.08</v>
      </c>
      <c r="AC181" s="50">
        <f t="shared" si="49"/>
        <v>0.05</v>
      </c>
      <c r="AD181" s="50">
        <f t="shared" si="50"/>
        <v>0.02</v>
      </c>
      <c r="AE181" s="50">
        <f t="shared" si="51"/>
        <v>0.02</v>
      </c>
      <c r="AF181" s="47">
        <f t="shared" si="53"/>
        <v>1</v>
      </c>
      <c r="AG181" s="50">
        <f>IF('Resultado da inspeção'!F181='Resultado da inspeção'!$W$3,0%,Ranking!R181)</f>
        <v>0.02</v>
      </c>
      <c r="AH181" s="50">
        <f>IF('Resultado da inspeção'!G181='Resultado da inspeção'!$W$3,0%,Ranking!S181)</f>
        <v>0.03</v>
      </c>
      <c r="AI181" s="50">
        <f>IF('Resultado da inspeção'!H181='Resultado da inspeção'!$W$3,0%,Ranking!T181)</f>
        <v>0.03</v>
      </c>
      <c r="AJ181" s="50">
        <f>IF('Resultado da inspeção'!I181='Resultado da inspeção'!$W$3,0%,Ranking!U181)</f>
        <v>0.1</v>
      </c>
      <c r="AK181" s="50">
        <f>IF('Resultado da inspeção'!J181='Resultado da inspeção'!$W$3,0%,Ranking!V181)</f>
        <v>0.21</v>
      </c>
      <c r="AL181" s="50">
        <f>IF('Resultado da inspeção'!K181='Resultado da inspeção'!$W$3,0%,Ranking!W181)</f>
        <v>0.05</v>
      </c>
      <c r="AM181" s="50">
        <f>IF('Resultado da inspeção'!L181='Resultado da inspeção'!$W$3,0%,Ranking!X181)</f>
        <v>0.24</v>
      </c>
      <c r="AN181" s="50">
        <f>IF('Resultado da inspeção'!M181='Resultado da inspeção'!$W$3,0%,Ranking!Y181)</f>
        <v>0.05</v>
      </c>
      <c r="AO181" s="50">
        <f>IF('Resultado da inspeção'!N181='Resultado da inspeção'!$W$3,0%,Ranking!Z181)</f>
        <v>0.04</v>
      </c>
      <c r="AP181" s="50">
        <f>IF('Resultado da inspeção'!O181='Resultado da inspeção'!$W$3,0%,Ranking!AA181)</f>
        <v>0.06</v>
      </c>
      <c r="AQ181" s="50">
        <f>IF('Resultado da inspeção'!P181='Resultado da inspeção'!$W$3,0%,Ranking!AB181)</f>
        <v>0.08</v>
      </c>
      <c r="AR181" s="50">
        <f>IF('Resultado da inspeção'!Q181='Resultado da inspeção'!$W$3,0%,Ranking!AC181)</f>
        <v>0.05</v>
      </c>
      <c r="AS181" s="50">
        <f>IF('Resultado da inspeção'!R181='Resultado da inspeção'!$W$3,0%,Ranking!AD181)</f>
        <v>0.02</v>
      </c>
      <c r="AT181" s="50">
        <f>IF('Resultado da inspeção'!S181='Resultado da inspeção'!$W$3,0%,Ranking!AE181)</f>
        <v>0.02</v>
      </c>
      <c r="AU181" s="49">
        <f t="shared" si="54"/>
        <v>1</v>
      </c>
    </row>
    <row r="182" spans="2:47" x14ac:dyDescent="0.25">
      <c r="B182" s="48">
        <f>IF('Resultado da inspeção'!F182='Resultado da inspeção'!$W$4,0%,Ranking!B$5)</f>
        <v>0.02</v>
      </c>
      <c r="C182" s="48">
        <f>IF('Resultado da inspeção'!G182='Resultado da inspeção'!$W$4,0%,Ranking!C$5)</f>
        <v>0.03</v>
      </c>
      <c r="D182" s="48">
        <f>IF('Resultado da inspeção'!H182='Resultado da inspeção'!$W$4,0%,Ranking!D$5)</f>
        <v>0.03</v>
      </c>
      <c r="E182" s="48">
        <f>IF('Resultado da inspeção'!I182='Resultado da inspeção'!$W$4,0%,Ranking!E$5)</f>
        <v>0.1</v>
      </c>
      <c r="F182" s="48">
        <f>IF('Resultado da inspeção'!J182='Resultado da inspeção'!$W$4,0%,Ranking!F$5)</f>
        <v>0.21</v>
      </c>
      <c r="G182" s="48">
        <f>IF('Resultado da inspeção'!K182='Resultado da inspeção'!$W$4,0%,Ranking!G$5)</f>
        <v>0.05</v>
      </c>
      <c r="H182" s="48">
        <f>IF('Resultado da inspeção'!L182='Resultado da inspeção'!$W$4,0%,Ranking!H$5)</f>
        <v>0.24</v>
      </c>
      <c r="I182" s="48">
        <f>IF('Resultado da inspeção'!M182='Resultado da inspeção'!$W$4,0%,Ranking!I$5)</f>
        <v>0.05</v>
      </c>
      <c r="J182" s="48">
        <f>IF('Resultado da inspeção'!N182='Resultado da inspeção'!$W$4,0%,Ranking!J$5)</f>
        <v>0.04</v>
      </c>
      <c r="K182" s="48">
        <f>IF('Resultado da inspeção'!O182='Resultado da inspeção'!$W$4,0%,Ranking!K$5)</f>
        <v>0.06</v>
      </c>
      <c r="L182" s="48">
        <f>IF('Resultado da inspeção'!P182='Resultado da inspeção'!$W$4,0%,Ranking!L$5)</f>
        <v>0.08</v>
      </c>
      <c r="M182" s="48">
        <f>IF('Resultado da inspeção'!Q182='Resultado da inspeção'!$W$4,0%,Ranking!M$5)</f>
        <v>0.05</v>
      </c>
      <c r="N182" s="48">
        <f>IF('Resultado da inspeção'!R182='Resultado da inspeção'!$W$4,0%,Ranking!N$5)</f>
        <v>0.02</v>
      </c>
      <c r="O182" s="48">
        <f>IF('Resultado da inspeção'!S182='Resultado da inspeção'!$W$4,0%,Ranking!O$5)</f>
        <v>0.02</v>
      </c>
      <c r="P182" s="47">
        <f t="shared" si="37"/>
        <v>1</v>
      </c>
      <c r="Q182" s="49">
        <f t="shared" si="52"/>
        <v>0</v>
      </c>
      <c r="R182" s="50">
        <f t="shared" si="38"/>
        <v>0.02</v>
      </c>
      <c r="S182" s="50">
        <f t="shared" si="39"/>
        <v>0.03</v>
      </c>
      <c r="T182" s="50">
        <f t="shared" si="40"/>
        <v>0.03</v>
      </c>
      <c r="U182" s="50">
        <f t="shared" si="41"/>
        <v>0.1</v>
      </c>
      <c r="V182" s="50">
        <f t="shared" si="42"/>
        <v>0.21</v>
      </c>
      <c r="W182" s="50">
        <f t="shared" si="43"/>
        <v>0.05</v>
      </c>
      <c r="X182" s="50">
        <f t="shared" si="44"/>
        <v>0.24</v>
      </c>
      <c r="Y182" s="50">
        <f t="shared" si="45"/>
        <v>0.05</v>
      </c>
      <c r="Z182" s="50">
        <f t="shared" si="46"/>
        <v>0.04</v>
      </c>
      <c r="AA182" s="50">
        <f t="shared" si="47"/>
        <v>0.06</v>
      </c>
      <c r="AB182" s="50">
        <f t="shared" si="48"/>
        <v>0.08</v>
      </c>
      <c r="AC182" s="50">
        <f t="shared" si="49"/>
        <v>0.05</v>
      </c>
      <c r="AD182" s="50">
        <f t="shared" si="50"/>
        <v>0.02</v>
      </c>
      <c r="AE182" s="50">
        <f t="shared" si="51"/>
        <v>0.02</v>
      </c>
      <c r="AF182" s="47">
        <f t="shared" si="53"/>
        <v>1</v>
      </c>
      <c r="AG182" s="50">
        <f>IF('Resultado da inspeção'!F182='Resultado da inspeção'!$W$3,0%,Ranking!R182)</f>
        <v>0.02</v>
      </c>
      <c r="AH182" s="50">
        <f>IF('Resultado da inspeção'!G182='Resultado da inspeção'!$W$3,0%,Ranking!S182)</f>
        <v>0.03</v>
      </c>
      <c r="AI182" s="50">
        <f>IF('Resultado da inspeção'!H182='Resultado da inspeção'!$W$3,0%,Ranking!T182)</f>
        <v>0.03</v>
      </c>
      <c r="AJ182" s="50">
        <f>IF('Resultado da inspeção'!I182='Resultado da inspeção'!$W$3,0%,Ranking!U182)</f>
        <v>0.1</v>
      </c>
      <c r="AK182" s="50">
        <f>IF('Resultado da inspeção'!J182='Resultado da inspeção'!$W$3,0%,Ranking!V182)</f>
        <v>0.21</v>
      </c>
      <c r="AL182" s="50">
        <f>IF('Resultado da inspeção'!K182='Resultado da inspeção'!$W$3,0%,Ranking!W182)</f>
        <v>0.05</v>
      </c>
      <c r="AM182" s="50">
        <f>IF('Resultado da inspeção'!L182='Resultado da inspeção'!$W$3,0%,Ranking!X182)</f>
        <v>0.24</v>
      </c>
      <c r="AN182" s="50">
        <f>IF('Resultado da inspeção'!M182='Resultado da inspeção'!$W$3,0%,Ranking!Y182)</f>
        <v>0.05</v>
      </c>
      <c r="AO182" s="50">
        <f>IF('Resultado da inspeção'!N182='Resultado da inspeção'!$W$3,0%,Ranking!Z182)</f>
        <v>0.04</v>
      </c>
      <c r="AP182" s="50">
        <f>IF('Resultado da inspeção'!O182='Resultado da inspeção'!$W$3,0%,Ranking!AA182)</f>
        <v>0.06</v>
      </c>
      <c r="AQ182" s="50">
        <f>IF('Resultado da inspeção'!P182='Resultado da inspeção'!$W$3,0%,Ranking!AB182)</f>
        <v>0.08</v>
      </c>
      <c r="AR182" s="50">
        <f>IF('Resultado da inspeção'!Q182='Resultado da inspeção'!$W$3,0%,Ranking!AC182)</f>
        <v>0.05</v>
      </c>
      <c r="AS182" s="50">
        <f>IF('Resultado da inspeção'!R182='Resultado da inspeção'!$W$3,0%,Ranking!AD182)</f>
        <v>0.02</v>
      </c>
      <c r="AT182" s="50">
        <f>IF('Resultado da inspeção'!S182='Resultado da inspeção'!$W$3,0%,Ranking!AE182)</f>
        <v>0.02</v>
      </c>
      <c r="AU182" s="49">
        <f t="shared" si="54"/>
        <v>1</v>
      </c>
    </row>
    <row r="183" spans="2:47" x14ac:dyDescent="0.25">
      <c r="B183" s="48">
        <f>IF('Resultado da inspeção'!F183='Resultado da inspeção'!$W$4,0%,Ranking!B$5)</f>
        <v>0.02</v>
      </c>
      <c r="C183" s="48">
        <f>IF('Resultado da inspeção'!G183='Resultado da inspeção'!$W$4,0%,Ranking!C$5)</f>
        <v>0.03</v>
      </c>
      <c r="D183" s="48">
        <f>IF('Resultado da inspeção'!H183='Resultado da inspeção'!$W$4,0%,Ranking!D$5)</f>
        <v>0.03</v>
      </c>
      <c r="E183" s="48">
        <f>IF('Resultado da inspeção'!I183='Resultado da inspeção'!$W$4,0%,Ranking!E$5)</f>
        <v>0.1</v>
      </c>
      <c r="F183" s="48">
        <f>IF('Resultado da inspeção'!J183='Resultado da inspeção'!$W$4,0%,Ranking!F$5)</f>
        <v>0.21</v>
      </c>
      <c r="G183" s="48">
        <f>IF('Resultado da inspeção'!K183='Resultado da inspeção'!$W$4,0%,Ranking!G$5)</f>
        <v>0.05</v>
      </c>
      <c r="H183" s="48">
        <f>IF('Resultado da inspeção'!L183='Resultado da inspeção'!$W$4,0%,Ranking!H$5)</f>
        <v>0.24</v>
      </c>
      <c r="I183" s="48">
        <f>IF('Resultado da inspeção'!M183='Resultado da inspeção'!$W$4,0%,Ranking!I$5)</f>
        <v>0.05</v>
      </c>
      <c r="J183" s="48">
        <f>IF('Resultado da inspeção'!N183='Resultado da inspeção'!$W$4,0%,Ranking!J$5)</f>
        <v>0.04</v>
      </c>
      <c r="K183" s="48">
        <f>IF('Resultado da inspeção'!O183='Resultado da inspeção'!$W$4,0%,Ranking!K$5)</f>
        <v>0.06</v>
      </c>
      <c r="L183" s="48">
        <f>IF('Resultado da inspeção'!P183='Resultado da inspeção'!$W$4,0%,Ranking!L$5)</f>
        <v>0.08</v>
      </c>
      <c r="M183" s="48">
        <f>IF('Resultado da inspeção'!Q183='Resultado da inspeção'!$W$4,0%,Ranking!M$5)</f>
        <v>0.05</v>
      </c>
      <c r="N183" s="48">
        <f>IF('Resultado da inspeção'!R183='Resultado da inspeção'!$W$4,0%,Ranking!N$5)</f>
        <v>0.02</v>
      </c>
      <c r="O183" s="48">
        <f>IF('Resultado da inspeção'!S183='Resultado da inspeção'!$W$4,0%,Ranking!O$5)</f>
        <v>0.02</v>
      </c>
      <c r="P183" s="47">
        <f t="shared" si="37"/>
        <v>1</v>
      </c>
      <c r="Q183" s="49">
        <f t="shared" si="52"/>
        <v>0</v>
      </c>
      <c r="R183" s="50">
        <f t="shared" si="38"/>
        <v>0.02</v>
      </c>
      <c r="S183" s="50">
        <f t="shared" si="39"/>
        <v>0.03</v>
      </c>
      <c r="T183" s="50">
        <f t="shared" si="40"/>
        <v>0.03</v>
      </c>
      <c r="U183" s="50">
        <f t="shared" si="41"/>
        <v>0.1</v>
      </c>
      <c r="V183" s="50">
        <f t="shared" si="42"/>
        <v>0.21</v>
      </c>
      <c r="W183" s="50">
        <f t="shared" si="43"/>
        <v>0.05</v>
      </c>
      <c r="X183" s="50">
        <f t="shared" si="44"/>
        <v>0.24</v>
      </c>
      <c r="Y183" s="50">
        <f t="shared" si="45"/>
        <v>0.05</v>
      </c>
      <c r="Z183" s="50">
        <f t="shared" si="46"/>
        <v>0.04</v>
      </c>
      <c r="AA183" s="50">
        <f t="shared" si="47"/>
        <v>0.06</v>
      </c>
      <c r="AB183" s="50">
        <f t="shared" si="48"/>
        <v>0.08</v>
      </c>
      <c r="AC183" s="50">
        <f t="shared" si="49"/>
        <v>0.05</v>
      </c>
      <c r="AD183" s="50">
        <f t="shared" si="50"/>
        <v>0.02</v>
      </c>
      <c r="AE183" s="50">
        <f t="shared" si="51"/>
        <v>0.02</v>
      </c>
      <c r="AF183" s="47">
        <f t="shared" si="53"/>
        <v>1</v>
      </c>
      <c r="AG183" s="50">
        <f>IF('Resultado da inspeção'!F183='Resultado da inspeção'!$W$3,0%,Ranking!R183)</f>
        <v>0.02</v>
      </c>
      <c r="AH183" s="50">
        <f>IF('Resultado da inspeção'!G183='Resultado da inspeção'!$W$3,0%,Ranking!S183)</f>
        <v>0.03</v>
      </c>
      <c r="AI183" s="50">
        <f>IF('Resultado da inspeção'!H183='Resultado da inspeção'!$W$3,0%,Ranking!T183)</f>
        <v>0.03</v>
      </c>
      <c r="AJ183" s="50">
        <f>IF('Resultado da inspeção'!I183='Resultado da inspeção'!$W$3,0%,Ranking!U183)</f>
        <v>0.1</v>
      </c>
      <c r="AK183" s="50">
        <f>IF('Resultado da inspeção'!J183='Resultado da inspeção'!$W$3,0%,Ranking!V183)</f>
        <v>0.21</v>
      </c>
      <c r="AL183" s="50">
        <f>IF('Resultado da inspeção'!K183='Resultado da inspeção'!$W$3,0%,Ranking!W183)</f>
        <v>0.05</v>
      </c>
      <c r="AM183" s="50">
        <f>IF('Resultado da inspeção'!L183='Resultado da inspeção'!$W$3,0%,Ranking!X183)</f>
        <v>0.24</v>
      </c>
      <c r="AN183" s="50">
        <f>IF('Resultado da inspeção'!M183='Resultado da inspeção'!$W$3,0%,Ranking!Y183)</f>
        <v>0.05</v>
      </c>
      <c r="AO183" s="50">
        <f>IF('Resultado da inspeção'!N183='Resultado da inspeção'!$W$3,0%,Ranking!Z183)</f>
        <v>0.04</v>
      </c>
      <c r="AP183" s="50">
        <f>IF('Resultado da inspeção'!O183='Resultado da inspeção'!$W$3,0%,Ranking!AA183)</f>
        <v>0.06</v>
      </c>
      <c r="AQ183" s="50">
        <f>IF('Resultado da inspeção'!P183='Resultado da inspeção'!$W$3,0%,Ranking!AB183)</f>
        <v>0.08</v>
      </c>
      <c r="AR183" s="50">
        <f>IF('Resultado da inspeção'!Q183='Resultado da inspeção'!$W$3,0%,Ranking!AC183)</f>
        <v>0.05</v>
      </c>
      <c r="AS183" s="50">
        <f>IF('Resultado da inspeção'!R183='Resultado da inspeção'!$W$3,0%,Ranking!AD183)</f>
        <v>0.02</v>
      </c>
      <c r="AT183" s="50">
        <f>IF('Resultado da inspeção'!S183='Resultado da inspeção'!$W$3,0%,Ranking!AE183)</f>
        <v>0.02</v>
      </c>
      <c r="AU183" s="49">
        <f t="shared" si="54"/>
        <v>1</v>
      </c>
    </row>
    <row r="184" spans="2:47" x14ac:dyDescent="0.25">
      <c r="B184" s="48">
        <f>IF('Resultado da inspeção'!F184='Resultado da inspeção'!$W$4,0%,Ranking!B$5)</f>
        <v>0.02</v>
      </c>
      <c r="C184" s="48">
        <f>IF('Resultado da inspeção'!G184='Resultado da inspeção'!$W$4,0%,Ranking!C$5)</f>
        <v>0.03</v>
      </c>
      <c r="D184" s="48">
        <f>IF('Resultado da inspeção'!H184='Resultado da inspeção'!$W$4,0%,Ranking!D$5)</f>
        <v>0.03</v>
      </c>
      <c r="E184" s="48">
        <f>IF('Resultado da inspeção'!I184='Resultado da inspeção'!$W$4,0%,Ranking!E$5)</f>
        <v>0.1</v>
      </c>
      <c r="F184" s="48">
        <f>IF('Resultado da inspeção'!J184='Resultado da inspeção'!$W$4,0%,Ranking!F$5)</f>
        <v>0.21</v>
      </c>
      <c r="G184" s="48">
        <f>IF('Resultado da inspeção'!K184='Resultado da inspeção'!$W$4,0%,Ranking!G$5)</f>
        <v>0.05</v>
      </c>
      <c r="H184" s="48">
        <f>IF('Resultado da inspeção'!L184='Resultado da inspeção'!$W$4,0%,Ranking!H$5)</f>
        <v>0.24</v>
      </c>
      <c r="I184" s="48">
        <f>IF('Resultado da inspeção'!M184='Resultado da inspeção'!$W$4,0%,Ranking!I$5)</f>
        <v>0.05</v>
      </c>
      <c r="J184" s="48">
        <f>IF('Resultado da inspeção'!N184='Resultado da inspeção'!$W$4,0%,Ranking!J$5)</f>
        <v>0.04</v>
      </c>
      <c r="K184" s="48">
        <f>IF('Resultado da inspeção'!O184='Resultado da inspeção'!$W$4,0%,Ranking!K$5)</f>
        <v>0.06</v>
      </c>
      <c r="L184" s="48">
        <f>IF('Resultado da inspeção'!P184='Resultado da inspeção'!$W$4,0%,Ranking!L$5)</f>
        <v>0.08</v>
      </c>
      <c r="M184" s="48">
        <f>IF('Resultado da inspeção'!Q184='Resultado da inspeção'!$W$4,0%,Ranking!M$5)</f>
        <v>0.05</v>
      </c>
      <c r="N184" s="48">
        <f>IF('Resultado da inspeção'!R184='Resultado da inspeção'!$W$4,0%,Ranking!N$5)</f>
        <v>0.02</v>
      </c>
      <c r="O184" s="48">
        <f>IF('Resultado da inspeção'!S184='Resultado da inspeção'!$W$4,0%,Ranking!O$5)</f>
        <v>0.02</v>
      </c>
      <c r="P184" s="47">
        <f t="shared" si="37"/>
        <v>1</v>
      </c>
      <c r="Q184" s="49">
        <f t="shared" si="52"/>
        <v>0</v>
      </c>
      <c r="R184" s="50">
        <f t="shared" si="38"/>
        <v>0.02</v>
      </c>
      <c r="S184" s="50">
        <f t="shared" si="39"/>
        <v>0.03</v>
      </c>
      <c r="T184" s="50">
        <f t="shared" si="40"/>
        <v>0.03</v>
      </c>
      <c r="U184" s="50">
        <f t="shared" si="41"/>
        <v>0.1</v>
      </c>
      <c r="V184" s="50">
        <f t="shared" si="42"/>
        <v>0.21</v>
      </c>
      <c r="W184" s="50">
        <f t="shared" si="43"/>
        <v>0.05</v>
      </c>
      <c r="X184" s="50">
        <f t="shared" si="44"/>
        <v>0.24</v>
      </c>
      <c r="Y184" s="50">
        <f t="shared" si="45"/>
        <v>0.05</v>
      </c>
      <c r="Z184" s="50">
        <f t="shared" si="46"/>
        <v>0.04</v>
      </c>
      <c r="AA184" s="50">
        <f t="shared" si="47"/>
        <v>0.06</v>
      </c>
      <c r="AB184" s="50">
        <f t="shared" si="48"/>
        <v>0.08</v>
      </c>
      <c r="AC184" s="50">
        <f t="shared" si="49"/>
        <v>0.05</v>
      </c>
      <c r="AD184" s="50">
        <f t="shared" si="50"/>
        <v>0.02</v>
      </c>
      <c r="AE184" s="50">
        <f t="shared" si="51"/>
        <v>0.02</v>
      </c>
      <c r="AF184" s="47">
        <f t="shared" si="53"/>
        <v>1</v>
      </c>
      <c r="AG184" s="50">
        <f>IF('Resultado da inspeção'!F184='Resultado da inspeção'!$W$3,0%,Ranking!R184)</f>
        <v>0.02</v>
      </c>
      <c r="AH184" s="50">
        <f>IF('Resultado da inspeção'!G184='Resultado da inspeção'!$W$3,0%,Ranking!S184)</f>
        <v>0.03</v>
      </c>
      <c r="AI184" s="50">
        <f>IF('Resultado da inspeção'!H184='Resultado da inspeção'!$W$3,0%,Ranking!T184)</f>
        <v>0.03</v>
      </c>
      <c r="AJ184" s="50">
        <f>IF('Resultado da inspeção'!I184='Resultado da inspeção'!$W$3,0%,Ranking!U184)</f>
        <v>0.1</v>
      </c>
      <c r="AK184" s="50">
        <f>IF('Resultado da inspeção'!J184='Resultado da inspeção'!$W$3,0%,Ranking!V184)</f>
        <v>0.21</v>
      </c>
      <c r="AL184" s="50">
        <f>IF('Resultado da inspeção'!K184='Resultado da inspeção'!$W$3,0%,Ranking!W184)</f>
        <v>0.05</v>
      </c>
      <c r="AM184" s="50">
        <f>IF('Resultado da inspeção'!L184='Resultado da inspeção'!$W$3,0%,Ranking!X184)</f>
        <v>0.24</v>
      </c>
      <c r="AN184" s="50">
        <f>IF('Resultado da inspeção'!M184='Resultado da inspeção'!$W$3,0%,Ranking!Y184)</f>
        <v>0.05</v>
      </c>
      <c r="AO184" s="50">
        <f>IF('Resultado da inspeção'!N184='Resultado da inspeção'!$W$3,0%,Ranking!Z184)</f>
        <v>0.04</v>
      </c>
      <c r="AP184" s="50">
        <f>IF('Resultado da inspeção'!O184='Resultado da inspeção'!$W$3,0%,Ranking!AA184)</f>
        <v>0.06</v>
      </c>
      <c r="AQ184" s="50">
        <f>IF('Resultado da inspeção'!P184='Resultado da inspeção'!$W$3,0%,Ranking!AB184)</f>
        <v>0.08</v>
      </c>
      <c r="AR184" s="50">
        <f>IF('Resultado da inspeção'!Q184='Resultado da inspeção'!$W$3,0%,Ranking!AC184)</f>
        <v>0.05</v>
      </c>
      <c r="AS184" s="50">
        <f>IF('Resultado da inspeção'!R184='Resultado da inspeção'!$W$3,0%,Ranking!AD184)</f>
        <v>0.02</v>
      </c>
      <c r="AT184" s="50">
        <f>IF('Resultado da inspeção'!S184='Resultado da inspeção'!$W$3,0%,Ranking!AE184)</f>
        <v>0.02</v>
      </c>
      <c r="AU184" s="49">
        <f t="shared" si="54"/>
        <v>1</v>
      </c>
    </row>
    <row r="185" spans="2:47" x14ac:dyDescent="0.25">
      <c r="B185" s="48">
        <f>IF('Resultado da inspeção'!F185='Resultado da inspeção'!$W$4,0%,Ranking!B$5)</f>
        <v>0.02</v>
      </c>
      <c r="C185" s="48">
        <f>IF('Resultado da inspeção'!G185='Resultado da inspeção'!$W$4,0%,Ranking!C$5)</f>
        <v>0.03</v>
      </c>
      <c r="D185" s="48">
        <f>IF('Resultado da inspeção'!H185='Resultado da inspeção'!$W$4,0%,Ranking!D$5)</f>
        <v>0.03</v>
      </c>
      <c r="E185" s="48">
        <f>IF('Resultado da inspeção'!I185='Resultado da inspeção'!$W$4,0%,Ranking!E$5)</f>
        <v>0.1</v>
      </c>
      <c r="F185" s="48">
        <f>IF('Resultado da inspeção'!J185='Resultado da inspeção'!$W$4,0%,Ranking!F$5)</f>
        <v>0.21</v>
      </c>
      <c r="G185" s="48">
        <f>IF('Resultado da inspeção'!K185='Resultado da inspeção'!$W$4,0%,Ranking!G$5)</f>
        <v>0.05</v>
      </c>
      <c r="H185" s="48">
        <f>IF('Resultado da inspeção'!L185='Resultado da inspeção'!$W$4,0%,Ranking!H$5)</f>
        <v>0.24</v>
      </c>
      <c r="I185" s="48">
        <f>IF('Resultado da inspeção'!M185='Resultado da inspeção'!$W$4,0%,Ranking!I$5)</f>
        <v>0.05</v>
      </c>
      <c r="J185" s="48">
        <f>IF('Resultado da inspeção'!N185='Resultado da inspeção'!$W$4,0%,Ranking!J$5)</f>
        <v>0.04</v>
      </c>
      <c r="K185" s="48">
        <f>IF('Resultado da inspeção'!O185='Resultado da inspeção'!$W$4,0%,Ranking!K$5)</f>
        <v>0.06</v>
      </c>
      <c r="L185" s="48">
        <f>IF('Resultado da inspeção'!P185='Resultado da inspeção'!$W$4,0%,Ranking!L$5)</f>
        <v>0.08</v>
      </c>
      <c r="M185" s="48">
        <f>IF('Resultado da inspeção'!Q185='Resultado da inspeção'!$W$4,0%,Ranking!M$5)</f>
        <v>0.05</v>
      </c>
      <c r="N185" s="48">
        <f>IF('Resultado da inspeção'!R185='Resultado da inspeção'!$W$4,0%,Ranking!N$5)</f>
        <v>0.02</v>
      </c>
      <c r="O185" s="48">
        <f>IF('Resultado da inspeção'!S185='Resultado da inspeção'!$W$4,0%,Ranking!O$5)</f>
        <v>0.02</v>
      </c>
      <c r="P185" s="47">
        <f t="shared" si="37"/>
        <v>1</v>
      </c>
      <c r="Q185" s="49">
        <f t="shared" si="52"/>
        <v>0</v>
      </c>
      <c r="R185" s="50">
        <f t="shared" si="38"/>
        <v>0.02</v>
      </c>
      <c r="S185" s="50">
        <f t="shared" si="39"/>
        <v>0.03</v>
      </c>
      <c r="T185" s="50">
        <f t="shared" si="40"/>
        <v>0.03</v>
      </c>
      <c r="U185" s="50">
        <f t="shared" si="41"/>
        <v>0.1</v>
      </c>
      <c r="V185" s="50">
        <f t="shared" si="42"/>
        <v>0.21</v>
      </c>
      <c r="W185" s="50">
        <f t="shared" si="43"/>
        <v>0.05</v>
      </c>
      <c r="X185" s="50">
        <f t="shared" si="44"/>
        <v>0.24</v>
      </c>
      <c r="Y185" s="50">
        <f t="shared" si="45"/>
        <v>0.05</v>
      </c>
      <c r="Z185" s="50">
        <f t="shared" si="46"/>
        <v>0.04</v>
      </c>
      <c r="AA185" s="50">
        <f t="shared" si="47"/>
        <v>0.06</v>
      </c>
      <c r="AB185" s="50">
        <f t="shared" si="48"/>
        <v>0.08</v>
      </c>
      <c r="AC185" s="50">
        <f t="shared" si="49"/>
        <v>0.05</v>
      </c>
      <c r="AD185" s="50">
        <f t="shared" si="50"/>
        <v>0.02</v>
      </c>
      <c r="AE185" s="50">
        <f t="shared" si="51"/>
        <v>0.02</v>
      </c>
      <c r="AF185" s="47">
        <f t="shared" si="53"/>
        <v>1</v>
      </c>
      <c r="AG185" s="50">
        <f>IF('Resultado da inspeção'!F185='Resultado da inspeção'!$W$3,0%,Ranking!R185)</f>
        <v>0.02</v>
      </c>
      <c r="AH185" s="50">
        <f>IF('Resultado da inspeção'!G185='Resultado da inspeção'!$W$3,0%,Ranking!S185)</f>
        <v>0.03</v>
      </c>
      <c r="AI185" s="50">
        <f>IF('Resultado da inspeção'!H185='Resultado da inspeção'!$W$3,0%,Ranking!T185)</f>
        <v>0.03</v>
      </c>
      <c r="AJ185" s="50">
        <f>IF('Resultado da inspeção'!I185='Resultado da inspeção'!$W$3,0%,Ranking!U185)</f>
        <v>0.1</v>
      </c>
      <c r="AK185" s="50">
        <f>IF('Resultado da inspeção'!J185='Resultado da inspeção'!$W$3,0%,Ranking!V185)</f>
        <v>0.21</v>
      </c>
      <c r="AL185" s="50">
        <f>IF('Resultado da inspeção'!K185='Resultado da inspeção'!$W$3,0%,Ranking!W185)</f>
        <v>0.05</v>
      </c>
      <c r="AM185" s="50">
        <f>IF('Resultado da inspeção'!L185='Resultado da inspeção'!$W$3,0%,Ranking!X185)</f>
        <v>0.24</v>
      </c>
      <c r="AN185" s="50">
        <f>IF('Resultado da inspeção'!M185='Resultado da inspeção'!$W$3,0%,Ranking!Y185)</f>
        <v>0.05</v>
      </c>
      <c r="AO185" s="50">
        <f>IF('Resultado da inspeção'!N185='Resultado da inspeção'!$W$3,0%,Ranking!Z185)</f>
        <v>0.04</v>
      </c>
      <c r="AP185" s="50">
        <f>IF('Resultado da inspeção'!O185='Resultado da inspeção'!$W$3,0%,Ranking!AA185)</f>
        <v>0.06</v>
      </c>
      <c r="AQ185" s="50">
        <f>IF('Resultado da inspeção'!P185='Resultado da inspeção'!$W$3,0%,Ranking!AB185)</f>
        <v>0.08</v>
      </c>
      <c r="AR185" s="50">
        <f>IF('Resultado da inspeção'!Q185='Resultado da inspeção'!$W$3,0%,Ranking!AC185)</f>
        <v>0.05</v>
      </c>
      <c r="AS185" s="50">
        <f>IF('Resultado da inspeção'!R185='Resultado da inspeção'!$W$3,0%,Ranking!AD185)</f>
        <v>0.02</v>
      </c>
      <c r="AT185" s="50">
        <f>IF('Resultado da inspeção'!S185='Resultado da inspeção'!$W$3,0%,Ranking!AE185)</f>
        <v>0.02</v>
      </c>
      <c r="AU185" s="49">
        <f t="shared" si="54"/>
        <v>1</v>
      </c>
    </row>
    <row r="186" spans="2:47" x14ac:dyDescent="0.25">
      <c r="B186" s="48">
        <f>IF('Resultado da inspeção'!F186='Resultado da inspeção'!$W$4,0%,Ranking!B$5)</f>
        <v>0.02</v>
      </c>
      <c r="C186" s="48">
        <f>IF('Resultado da inspeção'!G186='Resultado da inspeção'!$W$4,0%,Ranking!C$5)</f>
        <v>0.03</v>
      </c>
      <c r="D186" s="48">
        <f>IF('Resultado da inspeção'!H186='Resultado da inspeção'!$W$4,0%,Ranking!D$5)</f>
        <v>0.03</v>
      </c>
      <c r="E186" s="48">
        <f>IF('Resultado da inspeção'!I186='Resultado da inspeção'!$W$4,0%,Ranking!E$5)</f>
        <v>0.1</v>
      </c>
      <c r="F186" s="48">
        <f>IF('Resultado da inspeção'!J186='Resultado da inspeção'!$W$4,0%,Ranking!F$5)</f>
        <v>0.21</v>
      </c>
      <c r="G186" s="48">
        <f>IF('Resultado da inspeção'!K186='Resultado da inspeção'!$W$4,0%,Ranking!G$5)</f>
        <v>0.05</v>
      </c>
      <c r="H186" s="48">
        <f>IF('Resultado da inspeção'!L186='Resultado da inspeção'!$W$4,0%,Ranking!H$5)</f>
        <v>0.24</v>
      </c>
      <c r="I186" s="48">
        <f>IF('Resultado da inspeção'!M186='Resultado da inspeção'!$W$4,0%,Ranking!I$5)</f>
        <v>0.05</v>
      </c>
      <c r="J186" s="48">
        <f>IF('Resultado da inspeção'!N186='Resultado da inspeção'!$W$4,0%,Ranking!J$5)</f>
        <v>0.04</v>
      </c>
      <c r="K186" s="48">
        <f>IF('Resultado da inspeção'!O186='Resultado da inspeção'!$W$4,0%,Ranking!K$5)</f>
        <v>0.06</v>
      </c>
      <c r="L186" s="48">
        <f>IF('Resultado da inspeção'!P186='Resultado da inspeção'!$W$4,0%,Ranking!L$5)</f>
        <v>0.08</v>
      </c>
      <c r="M186" s="48">
        <f>IF('Resultado da inspeção'!Q186='Resultado da inspeção'!$W$4,0%,Ranking!M$5)</f>
        <v>0.05</v>
      </c>
      <c r="N186" s="48">
        <f>IF('Resultado da inspeção'!R186='Resultado da inspeção'!$W$4,0%,Ranking!N$5)</f>
        <v>0.02</v>
      </c>
      <c r="O186" s="48">
        <f>IF('Resultado da inspeção'!S186='Resultado da inspeção'!$W$4,0%,Ranking!O$5)</f>
        <v>0.02</v>
      </c>
      <c r="P186" s="47">
        <f t="shared" si="37"/>
        <v>1</v>
      </c>
      <c r="Q186" s="49">
        <f t="shared" si="52"/>
        <v>0</v>
      </c>
      <c r="R186" s="50">
        <f t="shared" si="38"/>
        <v>0.02</v>
      </c>
      <c r="S186" s="50">
        <f t="shared" si="39"/>
        <v>0.03</v>
      </c>
      <c r="T186" s="50">
        <f t="shared" si="40"/>
        <v>0.03</v>
      </c>
      <c r="U186" s="50">
        <f t="shared" si="41"/>
        <v>0.1</v>
      </c>
      <c r="V186" s="50">
        <f t="shared" si="42"/>
        <v>0.21</v>
      </c>
      <c r="W186" s="50">
        <f t="shared" si="43"/>
        <v>0.05</v>
      </c>
      <c r="X186" s="50">
        <f t="shared" si="44"/>
        <v>0.24</v>
      </c>
      <c r="Y186" s="50">
        <f t="shared" si="45"/>
        <v>0.05</v>
      </c>
      <c r="Z186" s="50">
        <f t="shared" si="46"/>
        <v>0.04</v>
      </c>
      <c r="AA186" s="50">
        <f t="shared" si="47"/>
        <v>0.06</v>
      </c>
      <c r="AB186" s="50">
        <f t="shared" si="48"/>
        <v>0.08</v>
      </c>
      <c r="AC186" s="50">
        <f t="shared" si="49"/>
        <v>0.05</v>
      </c>
      <c r="AD186" s="50">
        <f t="shared" si="50"/>
        <v>0.02</v>
      </c>
      <c r="AE186" s="50">
        <f t="shared" si="51"/>
        <v>0.02</v>
      </c>
      <c r="AF186" s="47">
        <f t="shared" si="53"/>
        <v>1</v>
      </c>
      <c r="AG186" s="50">
        <f>IF('Resultado da inspeção'!F186='Resultado da inspeção'!$W$3,0%,Ranking!R186)</f>
        <v>0.02</v>
      </c>
      <c r="AH186" s="50">
        <f>IF('Resultado da inspeção'!G186='Resultado da inspeção'!$W$3,0%,Ranking!S186)</f>
        <v>0.03</v>
      </c>
      <c r="AI186" s="50">
        <f>IF('Resultado da inspeção'!H186='Resultado da inspeção'!$W$3,0%,Ranking!T186)</f>
        <v>0.03</v>
      </c>
      <c r="AJ186" s="50">
        <f>IF('Resultado da inspeção'!I186='Resultado da inspeção'!$W$3,0%,Ranking!U186)</f>
        <v>0.1</v>
      </c>
      <c r="AK186" s="50">
        <f>IF('Resultado da inspeção'!J186='Resultado da inspeção'!$W$3,0%,Ranking!V186)</f>
        <v>0.21</v>
      </c>
      <c r="AL186" s="50">
        <f>IF('Resultado da inspeção'!K186='Resultado da inspeção'!$W$3,0%,Ranking!W186)</f>
        <v>0.05</v>
      </c>
      <c r="AM186" s="50">
        <f>IF('Resultado da inspeção'!L186='Resultado da inspeção'!$W$3,0%,Ranking!X186)</f>
        <v>0.24</v>
      </c>
      <c r="AN186" s="50">
        <f>IF('Resultado da inspeção'!M186='Resultado da inspeção'!$W$3,0%,Ranking!Y186)</f>
        <v>0.05</v>
      </c>
      <c r="AO186" s="50">
        <f>IF('Resultado da inspeção'!N186='Resultado da inspeção'!$W$3,0%,Ranking!Z186)</f>
        <v>0.04</v>
      </c>
      <c r="AP186" s="50">
        <f>IF('Resultado da inspeção'!O186='Resultado da inspeção'!$W$3,0%,Ranking!AA186)</f>
        <v>0.06</v>
      </c>
      <c r="AQ186" s="50">
        <f>IF('Resultado da inspeção'!P186='Resultado da inspeção'!$W$3,0%,Ranking!AB186)</f>
        <v>0.08</v>
      </c>
      <c r="AR186" s="50">
        <f>IF('Resultado da inspeção'!Q186='Resultado da inspeção'!$W$3,0%,Ranking!AC186)</f>
        <v>0.05</v>
      </c>
      <c r="AS186" s="50">
        <f>IF('Resultado da inspeção'!R186='Resultado da inspeção'!$W$3,0%,Ranking!AD186)</f>
        <v>0.02</v>
      </c>
      <c r="AT186" s="50">
        <f>IF('Resultado da inspeção'!S186='Resultado da inspeção'!$W$3,0%,Ranking!AE186)</f>
        <v>0.02</v>
      </c>
      <c r="AU186" s="49">
        <f t="shared" si="54"/>
        <v>1</v>
      </c>
    </row>
    <row r="187" spans="2:47" x14ac:dyDescent="0.25">
      <c r="B187" s="48">
        <f>IF('Resultado da inspeção'!F187='Resultado da inspeção'!$W$4,0%,Ranking!B$5)</f>
        <v>0.02</v>
      </c>
      <c r="C187" s="48">
        <f>IF('Resultado da inspeção'!G187='Resultado da inspeção'!$W$4,0%,Ranking!C$5)</f>
        <v>0.03</v>
      </c>
      <c r="D187" s="48">
        <f>IF('Resultado da inspeção'!H187='Resultado da inspeção'!$W$4,0%,Ranking!D$5)</f>
        <v>0.03</v>
      </c>
      <c r="E187" s="48">
        <f>IF('Resultado da inspeção'!I187='Resultado da inspeção'!$W$4,0%,Ranking!E$5)</f>
        <v>0.1</v>
      </c>
      <c r="F187" s="48">
        <f>IF('Resultado da inspeção'!J187='Resultado da inspeção'!$W$4,0%,Ranking!F$5)</f>
        <v>0.21</v>
      </c>
      <c r="G187" s="48">
        <f>IF('Resultado da inspeção'!K187='Resultado da inspeção'!$W$4,0%,Ranking!G$5)</f>
        <v>0.05</v>
      </c>
      <c r="H187" s="48">
        <f>IF('Resultado da inspeção'!L187='Resultado da inspeção'!$W$4,0%,Ranking!H$5)</f>
        <v>0.24</v>
      </c>
      <c r="I187" s="48">
        <f>IF('Resultado da inspeção'!M187='Resultado da inspeção'!$W$4,0%,Ranking!I$5)</f>
        <v>0.05</v>
      </c>
      <c r="J187" s="48">
        <f>IF('Resultado da inspeção'!N187='Resultado da inspeção'!$W$4,0%,Ranking!J$5)</f>
        <v>0.04</v>
      </c>
      <c r="K187" s="48">
        <f>IF('Resultado da inspeção'!O187='Resultado da inspeção'!$W$4,0%,Ranking!K$5)</f>
        <v>0.06</v>
      </c>
      <c r="L187" s="48">
        <f>IF('Resultado da inspeção'!P187='Resultado da inspeção'!$W$4,0%,Ranking!L$5)</f>
        <v>0.08</v>
      </c>
      <c r="M187" s="48">
        <f>IF('Resultado da inspeção'!Q187='Resultado da inspeção'!$W$4,0%,Ranking!M$5)</f>
        <v>0.05</v>
      </c>
      <c r="N187" s="48">
        <f>IF('Resultado da inspeção'!R187='Resultado da inspeção'!$W$4,0%,Ranking!N$5)</f>
        <v>0.02</v>
      </c>
      <c r="O187" s="48">
        <f>IF('Resultado da inspeção'!S187='Resultado da inspeção'!$W$4,0%,Ranking!O$5)</f>
        <v>0.02</v>
      </c>
      <c r="P187" s="47">
        <f t="shared" si="37"/>
        <v>1</v>
      </c>
      <c r="Q187" s="49">
        <f t="shared" si="52"/>
        <v>0</v>
      </c>
      <c r="R187" s="50">
        <f t="shared" si="38"/>
        <v>0.02</v>
      </c>
      <c r="S187" s="50">
        <f t="shared" si="39"/>
        <v>0.03</v>
      </c>
      <c r="T187" s="50">
        <f t="shared" si="40"/>
        <v>0.03</v>
      </c>
      <c r="U187" s="50">
        <f t="shared" si="41"/>
        <v>0.1</v>
      </c>
      <c r="V187" s="50">
        <f t="shared" si="42"/>
        <v>0.21</v>
      </c>
      <c r="W187" s="50">
        <f t="shared" si="43"/>
        <v>0.05</v>
      </c>
      <c r="X187" s="50">
        <f t="shared" si="44"/>
        <v>0.24</v>
      </c>
      <c r="Y187" s="50">
        <f t="shared" si="45"/>
        <v>0.05</v>
      </c>
      <c r="Z187" s="50">
        <f t="shared" si="46"/>
        <v>0.04</v>
      </c>
      <c r="AA187" s="50">
        <f t="shared" si="47"/>
        <v>0.06</v>
      </c>
      <c r="AB187" s="50">
        <f t="shared" si="48"/>
        <v>0.08</v>
      </c>
      <c r="AC187" s="50">
        <f t="shared" si="49"/>
        <v>0.05</v>
      </c>
      <c r="AD187" s="50">
        <f t="shared" si="50"/>
        <v>0.02</v>
      </c>
      <c r="AE187" s="50">
        <f t="shared" si="51"/>
        <v>0.02</v>
      </c>
      <c r="AF187" s="47">
        <f t="shared" si="53"/>
        <v>1</v>
      </c>
      <c r="AG187" s="50">
        <f>IF('Resultado da inspeção'!F187='Resultado da inspeção'!$W$3,0%,Ranking!R187)</f>
        <v>0.02</v>
      </c>
      <c r="AH187" s="50">
        <f>IF('Resultado da inspeção'!G187='Resultado da inspeção'!$W$3,0%,Ranking!S187)</f>
        <v>0.03</v>
      </c>
      <c r="AI187" s="50">
        <f>IF('Resultado da inspeção'!H187='Resultado da inspeção'!$W$3,0%,Ranking!T187)</f>
        <v>0.03</v>
      </c>
      <c r="AJ187" s="50">
        <f>IF('Resultado da inspeção'!I187='Resultado da inspeção'!$W$3,0%,Ranking!U187)</f>
        <v>0.1</v>
      </c>
      <c r="AK187" s="50">
        <f>IF('Resultado da inspeção'!J187='Resultado da inspeção'!$W$3,0%,Ranking!V187)</f>
        <v>0.21</v>
      </c>
      <c r="AL187" s="50">
        <f>IF('Resultado da inspeção'!K187='Resultado da inspeção'!$W$3,0%,Ranking!W187)</f>
        <v>0.05</v>
      </c>
      <c r="AM187" s="50">
        <f>IF('Resultado da inspeção'!L187='Resultado da inspeção'!$W$3,0%,Ranking!X187)</f>
        <v>0.24</v>
      </c>
      <c r="AN187" s="50">
        <f>IF('Resultado da inspeção'!M187='Resultado da inspeção'!$W$3,0%,Ranking!Y187)</f>
        <v>0.05</v>
      </c>
      <c r="AO187" s="50">
        <f>IF('Resultado da inspeção'!N187='Resultado da inspeção'!$W$3,0%,Ranking!Z187)</f>
        <v>0.04</v>
      </c>
      <c r="AP187" s="50">
        <f>IF('Resultado da inspeção'!O187='Resultado da inspeção'!$W$3,0%,Ranking!AA187)</f>
        <v>0.06</v>
      </c>
      <c r="AQ187" s="50">
        <f>IF('Resultado da inspeção'!P187='Resultado da inspeção'!$W$3,0%,Ranking!AB187)</f>
        <v>0.08</v>
      </c>
      <c r="AR187" s="50">
        <f>IF('Resultado da inspeção'!Q187='Resultado da inspeção'!$W$3,0%,Ranking!AC187)</f>
        <v>0.05</v>
      </c>
      <c r="AS187" s="50">
        <f>IF('Resultado da inspeção'!R187='Resultado da inspeção'!$W$3,0%,Ranking!AD187)</f>
        <v>0.02</v>
      </c>
      <c r="AT187" s="50">
        <f>IF('Resultado da inspeção'!S187='Resultado da inspeção'!$W$3,0%,Ranking!AE187)</f>
        <v>0.02</v>
      </c>
      <c r="AU187" s="49">
        <f t="shared" si="54"/>
        <v>1</v>
      </c>
    </row>
    <row r="188" spans="2:47" x14ac:dyDescent="0.25">
      <c r="B188" s="48">
        <f>IF('Resultado da inspeção'!F188='Resultado da inspeção'!$W$4,0%,Ranking!B$5)</f>
        <v>0.02</v>
      </c>
      <c r="C188" s="48">
        <f>IF('Resultado da inspeção'!G188='Resultado da inspeção'!$W$4,0%,Ranking!C$5)</f>
        <v>0.03</v>
      </c>
      <c r="D188" s="48">
        <f>IF('Resultado da inspeção'!H188='Resultado da inspeção'!$W$4,0%,Ranking!D$5)</f>
        <v>0.03</v>
      </c>
      <c r="E188" s="48">
        <f>IF('Resultado da inspeção'!I188='Resultado da inspeção'!$W$4,0%,Ranking!E$5)</f>
        <v>0.1</v>
      </c>
      <c r="F188" s="48">
        <f>IF('Resultado da inspeção'!J188='Resultado da inspeção'!$W$4,0%,Ranking!F$5)</f>
        <v>0.21</v>
      </c>
      <c r="G188" s="48">
        <f>IF('Resultado da inspeção'!K188='Resultado da inspeção'!$W$4,0%,Ranking!G$5)</f>
        <v>0.05</v>
      </c>
      <c r="H188" s="48">
        <f>IF('Resultado da inspeção'!L188='Resultado da inspeção'!$W$4,0%,Ranking!H$5)</f>
        <v>0.24</v>
      </c>
      <c r="I188" s="48">
        <f>IF('Resultado da inspeção'!M188='Resultado da inspeção'!$W$4,0%,Ranking!I$5)</f>
        <v>0.05</v>
      </c>
      <c r="J188" s="48">
        <f>IF('Resultado da inspeção'!N188='Resultado da inspeção'!$W$4,0%,Ranking!J$5)</f>
        <v>0.04</v>
      </c>
      <c r="K188" s="48">
        <f>IF('Resultado da inspeção'!O188='Resultado da inspeção'!$W$4,0%,Ranking!K$5)</f>
        <v>0.06</v>
      </c>
      <c r="L188" s="48">
        <f>IF('Resultado da inspeção'!P188='Resultado da inspeção'!$W$4,0%,Ranking!L$5)</f>
        <v>0.08</v>
      </c>
      <c r="M188" s="48">
        <f>IF('Resultado da inspeção'!Q188='Resultado da inspeção'!$W$4,0%,Ranking!M$5)</f>
        <v>0.05</v>
      </c>
      <c r="N188" s="48">
        <f>IF('Resultado da inspeção'!R188='Resultado da inspeção'!$W$4,0%,Ranking!N$5)</f>
        <v>0.02</v>
      </c>
      <c r="O188" s="48">
        <f>IF('Resultado da inspeção'!S188='Resultado da inspeção'!$W$4,0%,Ranking!O$5)</f>
        <v>0.02</v>
      </c>
      <c r="P188" s="47">
        <f t="shared" si="37"/>
        <v>1</v>
      </c>
      <c r="Q188" s="49">
        <f t="shared" si="52"/>
        <v>0</v>
      </c>
      <c r="R188" s="50">
        <f t="shared" si="38"/>
        <v>0.02</v>
      </c>
      <c r="S188" s="50">
        <f t="shared" si="39"/>
        <v>0.03</v>
      </c>
      <c r="T188" s="50">
        <f t="shared" si="40"/>
        <v>0.03</v>
      </c>
      <c r="U188" s="50">
        <f t="shared" si="41"/>
        <v>0.1</v>
      </c>
      <c r="V188" s="50">
        <f t="shared" si="42"/>
        <v>0.21</v>
      </c>
      <c r="W188" s="50">
        <f t="shared" si="43"/>
        <v>0.05</v>
      </c>
      <c r="X188" s="50">
        <f t="shared" si="44"/>
        <v>0.24</v>
      </c>
      <c r="Y188" s="50">
        <f t="shared" si="45"/>
        <v>0.05</v>
      </c>
      <c r="Z188" s="50">
        <f t="shared" si="46"/>
        <v>0.04</v>
      </c>
      <c r="AA188" s="50">
        <f t="shared" si="47"/>
        <v>0.06</v>
      </c>
      <c r="AB188" s="50">
        <f t="shared" si="48"/>
        <v>0.08</v>
      </c>
      <c r="AC188" s="50">
        <f t="shared" si="49"/>
        <v>0.05</v>
      </c>
      <c r="AD188" s="50">
        <f t="shared" si="50"/>
        <v>0.02</v>
      </c>
      <c r="AE188" s="50">
        <f t="shared" si="51"/>
        <v>0.02</v>
      </c>
      <c r="AF188" s="47">
        <f t="shared" si="53"/>
        <v>1</v>
      </c>
      <c r="AG188" s="50">
        <f>IF('Resultado da inspeção'!F188='Resultado da inspeção'!$W$3,0%,Ranking!R188)</f>
        <v>0.02</v>
      </c>
      <c r="AH188" s="50">
        <f>IF('Resultado da inspeção'!G188='Resultado da inspeção'!$W$3,0%,Ranking!S188)</f>
        <v>0.03</v>
      </c>
      <c r="AI188" s="50">
        <f>IF('Resultado da inspeção'!H188='Resultado da inspeção'!$W$3,0%,Ranking!T188)</f>
        <v>0.03</v>
      </c>
      <c r="AJ188" s="50">
        <f>IF('Resultado da inspeção'!I188='Resultado da inspeção'!$W$3,0%,Ranking!U188)</f>
        <v>0.1</v>
      </c>
      <c r="AK188" s="50">
        <f>IF('Resultado da inspeção'!J188='Resultado da inspeção'!$W$3,0%,Ranking!V188)</f>
        <v>0.21</v>
      </c>
      <c r="AL188" s="50">
        <f>IF('Resultado da inspeção'!K188='Resultado da inspeção'!$W$3,0%,Ranking!W188)</f>
        <v>0.05</v>
      </c>
      <c r="AM188" s="50">
        <f>IF('Resultado da inspeção'!L188='Resultado da inspeção'!$W$3,0%,Ranking!X188)</f>
        <v>0.24</v>
      </c>
      <c r="AN188" s="50">
        <f>IF('Resultado da inspeção'!M188='Resultado da inspeção'!$W$3,0%,Ranking!Y188)</f>
        <v>0.05</v>
      </c>
      <c r="AO188" s="50">
        <f>IF('Resultado da inspeção'!N188='Resultado da inspeção'!$W$3,0%,Ranking!Z188)</f>
        <v>0.04</v>
      </c>
      <c r="AP188" s="50">
        <f>IF('Resultado da inspeção'!O188='Resultado da inspeção'!$W$3,0%,Ranking!AA188)</f>
        <v>0.06</v>
      </c>
      <c r="AQ188" s="50">
        <f>IF('Resultado da inspeção'!P188='Resultado da inspeção'!$W$3,0%,Ranking!AB188)</f>
        <v>0.08</v>
      </c>
      <c r="AR188" s="50">
        <f>IF('Resultado da inspeção'!Q188='Resultado da inspeção'!$W$3,0%,Ranking!AC188)</f>
        <v>0.05</v>
      </c>
      <c r="AS188" s="50">
        <f>IF('Resultado da inspeção'!R188='Resultado da inspeção'!$W$3,0%,Ranking!AD188)</f>
        <v>0.02</v>
      </c>
      <c r="AT188" s="50">
        <f>IF('Resultado da inspeção'!S188='Resultado da inspeção'!$W$3,0%,Ranking!AE188)</f>
        <v>0.02</v>
      </c>
      <c r="AU188" s="49">
        <f t="shared" si="54"/>
        <v>1</v>
      </c>
    </row>
    <row r="189" spans="2:47" x14ac:dyDescent="0.25">
      <c r="B189" s="48">
        <f>IF('Resultado da inspeção'!F189='Resultado da inspeção'!$W$4,0%,Ranking!B$5)</f>
        <v>0.02</v>
      </c>
      <c r="C189" s="48">
        <f>IF('Resultado da inspeção'!G189='Resultado da inspeção'!$W$4,0%,Ranking!C$5)</f>
        <v>0.03</v>
      </c>
      <c r="D189" s="48">
        <f>IF('Resultado da inspeção'!H189='Resultado da inspeção'!$W$4,0%,Ranking!D$5)</f>
        <v>0.03</v>
      </c>
      <c r="E189" s="48">
        <f>IF('Resultado da inspeção'!I189='Resultado da inspeção'!$W$4,0%,Ranking!E$5)</f>
        <v>0.1</v>
      </c>
      <c r="F189" s="48">
        <f>IF('Resultado da inspeção'!J189='Resultado da inspeção'!$W$4,0%,Ranking!F$5)</f>
        <v>0.21</v>
      </c>
      <c r="G189" s="48">
        <f>IF('Resultado da inspeção'!K189='Resultado da inspeção'!$W$4,0%,Ranking!G$5)</f>
        <v>0.05</v>
      </c>
      <c r="H189" s="48">
        <f>IF('Resultado da inspeção'!L189='Resultado da inspeção'!$W$4,0%,Ranking!H$5)</f>
        <v>0.24</v>
      </c>
      <c r="I189" s="48">
        <f>IF('Resultado da inspeção'!M189='Resultado da inspeção'!$W$4,0%,Ranking!I$5)</f>
        <v>0.05</v>
      </c>
      <c r="J189" s="48">
        <f>IF('Resultado da inspeção'!N189='Resultado da inspeção'!$W$4,0%,Ranking!J$5)</f>
        <v>0.04</v>
      </c>
      <c r="K189" s="48">
        <f>IF('Resultado da inspeção'!O189='Resultado da inspeção'!$W$4,0%,Ranking!K$5)</f>
        <v>0.06</v>
      </c>
      <c r="L189" s="48">
        <f>IF('Resultado da inspeção'!P189='Resultado da inspeção'!$W$4,0%,Ranking!L$5)</f>
        <v>0.08</v>
      </c>
      <c r="M189" s="48">
        <f>IF('Resultado da inspeção'!Q189='Resultado da inspeção'!$W$4,0%,Ranking!M$5)</f>
        <v>0.05</v>
      </c>
      <c r="N189" s="48">
        <f>IF('Resultado da inspeção'!R189='Resultado da inspeção'!$W$4,0%,Ranking!N$5)</f>
        <v>0.02</v>
      </c>
      <c r="O189" s="48">
        <f>IF('Resultado da inspeção'!S189='Resultado da inspeção'!$W$4,0%,Ranking!O$5)</f>
        <v>0.02</v>
      </c>
      <c r="P189" s="47">
        <f t="shared" si="37"/>
        <v>1</v>
      </c>
      <c r="Q189" s="49">
        <f t="shared" si="52"/>
        <v>0</v>
      </c>
      <c r="R189" s="50">
        <f t="shared" si="38"/>
        <v>0.02</v>
      </c>
      <c r="S189" s="50">
        <f t="shared" si="39"/>
        <v>0.03</v>
      </c>
      <c r="T189" s="50">
        <f t="shared" si="40"/>
        <v>0.03</v>
      </c>
      <c r="U189" s="50">
        <f t="shared" si="41"/>
        <v>0.1</v>
      </c>
      <c r="V189" s="50">
        <f t="shared" si="42"/>
        <v>0.21</v>
      </c>
      <c r="W189" s="50">
        <f t="shared" si="43"/>
        <v>0.05</v>
      </c>
      <c r="X189" s="50">
        <f t="shared" si="44"/>
        <v>0.24</v>
      </c>
      <c r="Y189" s="50">
        <f t="shared" si="45"/>
        <v>0.05</v>
      </c>
      <c r="Z189" s="50">
        <f t="shared" si="46"/>
        <v>0.04</v>
      </c>
      <c r="AA189" s="50">
        <f t="shared" si="47"/>
        <v>0.06</v>
      </c>
      <c r="AB189" s="50">
        <f t="shared" si="48"/>
        <v>0.08</v>
      </c>
      <c r="AC189" s="50">
        <f t="shared" si="49"/>
        <v>0.05</v>
      </c>
      <c r="AD189" s="50">
        <f t="shared" si="50"/>
        <v>0.02</v>
      </c>
      <c r="AE189" s="50">
        <f t="shared" si="51"/>
        <v>0.02</v>
      </c>
      <c r="AF189" s="47">
        <f t="shared" si="53"/>
        <v>1</v>
      </c>
      <c r="AG189" s="50">
        <f>IF('Resultado da inspeção'!F189='Resultado da inspeção'!$W$3,0%,Ranking!R189)</f>
        <v>0.02</v>
      </c>
      <c r="AH189" s="50">
        <f>IF('Resultado da inspeção'!G189='Resultado da inspeção'!$W$3,0%,Ranking!S189)</f>
        <v>0.03</v>
      </c>
      <c r="AI189" s="50">
        <f>IF('Resultado da inspeção'!H189='Resultado da inspeção'!$W$3,0%,Ranking!T189)</f>
        <v>0.03</v>
      </c>
      <c r="AJ189" s="50">
        <f>IF('Resultado da inspeção'!I189='Resultado da inspeção'!$W$3,0%,Ranking!U189)</f>
        <v>0.1</v>
      </c>
      <c r="AK189" s="50">
        <f>IF('Resultado da inspeção'!J189='Resultado da inspeção'!$W$3,0%,Ranking!V189)</f>
        <v>0.21</v>
      </c>
      <c r="AL189" s="50">
        <f>IF('Resultado da inspeção'!K189='Resultado da inspeção'!$W$3,0%,Ranking!W189)</f>
        <v>0.05</v>
      </c>
      <c r="AM189" s="50">
        <f>IF('Resultado da inspeção'!L189='Resultado da inspeção'!$W$3,0%,Ranking!X189)</f>
        <v>0.24</v>
      </c>
      <c r="AN189" s="50">
        <f>IF('Resultado da inspeção'!M189='Resultado da inspeção'!$W$3,0%,Ranking!Y189)</f>
        <v>0.05</v>
      </c>
      <c r="AO189" s="50">
        <f>IF('Resultado da inspeção'!N189='Resultado da inspeção'!$W$3,0%,Ranking!Z189)</f>
        <v>0.04</v>
      </c>
      <c r="AP189" s="50">
        <f>IF('Resultado da inspeção'!O189='Resultado da inspeção'!$W$3,0%,Ranking!AA189)</f>
        <v>0.06</v>
      </c>
      <c r="AQ189" s="50">
        <f>IF('Resultado da inspeção'!P189='Resultado da inspeção'!$W$3,0%,Ranking!AB189)</f>
        <v>0.08</v>
      </c>
      <c r="AR189" s="50">
        <f>IF('Resultado da inspeção'!Q189='Resultado da inspeção'!$W$3,0%,Ranking!AC189)</f>
        <v>0.05</v>
      </c>
      <c r="AS189" s="50">
        <f>IF('Resultado da inspeção'!R189='Resultado da inspeção'!$W$3,0%,Ranking!AD189)</f>
        <v>0.02</v>
      </c>
      <c r="AT189" s="50">
        <f>IF('Resultado da inspeção'!S189='Resultado da inspeção'!$W$3,0%,Ranking!AE189)</f>
        <v>0.02</v>
      </c>
      <c r="AU189" s="49">
        <f t="shared" si="54"/>
        <v>1</v>
      </c>
    </row>
    <row r="190" spans="2:47" x14ac:dyDescent="0.25">
      <c r="B190" s="48">
        <f>IF('Resultado da inspeção'!F190='Resultado da inspeção'!$W$4,0%,Ranking!B$5)</f>
        <v>0.02</v>
      </c>
      <c r="C190" s="48">
        <f>IF('Resultado da inspeção'!G190='Resultado da inspeção'!$W$4,0%,Ranking!C$5)</f>
        <v>0.03</v>
      </c>
      <c r="D190" s="48">
        <f>IF('Resultado da inspeção'!H190='Resultado da inspeção'!$W$4,0%,Ranking!D$5)</f>
        <v>0.03</v>
      </c>
      <c r="E190" s="48">
        <f>IF('Resultado da inspeção'!I190='Resultado da inspeção'!$W$4,0%,Ranking!E$5)</f>
        <v>0.1</v>
      </c>
      <c r="F190" s="48">
        <f>IF('Resultado da inspeção'!J190='Resultado da inspeção'!$W$4,0%,Ranking!F$5)</f>
        <v>0.21</v>
      </c>
      <c r="G190" s="48">
        <f>IF('Resultado da inspeção'!K190='Resultado da inspeção'!$W$4,0%,Ranking!G$5)</f>
        <v>0.05</v>
      </c>
      <c r="H190" s="48">
        <f>IF('Resultado da inspeção'!L190='Resultado da inspeção'!$W$4,0%,Ranking!H$5)</f>
        <v>0.24</v>
      </c>
      <c r="I190" s="48">
        <f>IF('Resultado da inspeção'!M190='Resultado da inspeção'!$W$4,0%,Ranking!I$5)</f>
        <v>0.05</v>
      </c>
      <c r="J190" s="48">
        <f>IF('Resultado da inspeção'!N190='Resultado da inspeção'!$W$4,0%,Ranking!J$5)</f>
        <v>0.04</v>
      </c>
      <c r="K190" s="48">
        <f>IF('Resultado da inspeção'!O190='Resultado da inspeção'!$W$4,0%,Ranking!K$5)</f>
        <v>0.06</v>
      </c>
      <c r="L190" s="48">
        <f>IF('Resultado da inspeção'!P190='Resultado da inspeção'!$W$4,0%,Ranking!L$5)</f>
        <v>0.08</v>
      </c>
      <c r="M190" s="48">
        <f>IF('Resultado da inspeção'!Q190='Resultado da inspeção'!$W$4,0%,Ranking!M$5)</f>
        <v>0.05</v>
      </c>
      <c r="N190" s="48">
        <f>IF('Resultado da inspeção'!R190='Resultado da inspeção'!$W$4,0%,Ranking!N$5)</f>
        <v>0.02</v>
      </c>
      <c r="O190" s="48">
        <f>IF('Resultado da inspeção'!S190='Resultado da inspeção'!$W$4,0%,Ranking!O$5)</f>
        <v>0.02</v>
      </c>
      <c r="P190" s="47">
        <f t="shared" si="37"/>
        <v>1</v>
      </c>
      <c r="Q190" s="49">
        <f t="shared" si="52"/>
        <v>0</v>
      </c>
      <c r="R190" s="50">
        <f t="shared" si="38"/>
        <v>0.02</v>
      </c>
      <c r="S190" s="50">
        <f t="shared" si="39"/>
        <v>0.03</v>
      </c>
      <c r="T190" s="50">
        <f t="shared" si="40"/>
        <v>0.03</v>
      </c>
      <c r="U190" s="50">
        <f t="shared" si="41"/>
        <v>0.1</v>
      </c>
      <c r="V190" s="50">
        <f t="shared" si="42"/>
        <v>0.21</v>
      </c>
      <c r="W190" s="50">
        <f t="shared" si="43"/>
        <v>0.05</v>
      </c>
      <c r="X190" s="50">
        <f t="shared" si="44"/>
        <v>0.24</v>
      </c>
      <c r="Y190" s="50">
        <f t="shared" si="45"/>
        <v>0.05</v>
      </c>
      <c r="Z190" s="50">
        <f t="shared" si="46"/>
        <v>0.04</v>
      </c>
      <c r="AA190" s="50">
        <f t="shared" si="47"/>
        <v>0.06</v>
      </c>
      <c r="AB190" s="50">
        <f t="shared" si="48"/>
        <v>0.08</v>
      </c>
      <c r="AC190" s="50">
        <f t="shared" si="49"/>
        <v>0.05</v>
      </c>
      <c r="AD190" s="50">
        <f t="shared" si="50"/>
        <v>0.02</v>
      </c>
      <c r="AE190" s="50">
        <f t="shared" si="51"/>
        <v>0.02</v>
      </c>
      <c r="AF190" s="47">
        <f t="shared" si="53"/>
        <v>1</v>
      </c>
      <c r="AG190" s="50">
        <f>IF('Resultado da inspeção'!F190='Resultado da inspeção'!$W$3,0%,Ranking!R190)</f>
        <v>0.02</v>
      </c>
      <c r="AH190" s="50">
        <f>IF('Resultado da inspeção'!G190='Resultado da inspeção'!$W$3,0%,Ranking!S190)</f>
        <v>0.03</v>
      </c>
      <c r="AI190" s="50">
        <f>IF('Resultado da inspeção'!H190='Resultado da inspeção'!$W$3,0%,Ranking!T190)</f>
        <v>0.03</v>
      </c>
      <c r="AJ190" s="50">
        <f>IF('Resultado da inspeção'!I190='Resultado da inspeção'!$W$3,0%,Ranking!U190)</f>
        <v>0.1</v>
      </c>
      <c r="AK190" s="50">
        <f>IF('Resultado da inspeção'!J190='Resultado da inspeção'!$W$3,0%,Ranking!V190)</f>
        <v>0.21</v>
      </c>
      <c r="AL190" s="50">
        <f>IF('Resultado da inspeção'!K190='Resultado da inspeção'!$W$3,0%,Ranking!W190)</f>
        <v>0.05</v>
      </c>
      <c r="AM190" s="50">
        <f>IF('Resultado da inspeção'!L190='Resultado da inspeção'!$W$3,0%,Ranking!X190)</f>
        <v>0.24</v>
      </c>
      <c r="AN190" s="50">
        <f>IF('Resultado da inspeção'!M190='Resultado da inspeção'!$W$3,0%,Ranking!Y190)</f>
        <v>0.05</v>
      </c>
      <c r="AO190" s="50">
        <f>IF('Resultado da inspeção'!N190='Resultado da inspeção'!$W$3,0%,Ranking!Z190)</f>
        <v>0.04</v>
      </c>
      <c r="AP190" s="50">
        <f>IF('Resultado da inspeção'!O190='Resultado da inspeção'!$W$3,0%,Ranking!AA190)</f>
        <v>0.06</v>
      </c>
      <c r="AQ190" s="50">
        <f>IF('Resultado da inspeção'!P190='Resultado da inspeção'!$W$3,0%,Ranking!AB190)</f>
        <v>0.08</v>
      </c>
      <c r="AR190" s="50">
        <f>IF('Resultado da inspeção'!Q190='Resultado da inspeção'!$W$3,0%,Ranking!AC190)</f>
        <v>0.05</v>
      </c>
      <c r="AS190" s="50">
        <f>IF('Resultado da inspeção'!R190='Resultado da inspeção'!$W$3,0%,Ranking!AD190)</f>
        <v>0.02</v>
      </c>
      <c r="AT190" s="50">
        <f>IF('Resultado da inspeção'!S190='Resultado da inspeção'!$W$3,0%,Ranking!AE190)</f>
        <v>0.02</v>
      </c>
      <c r="AU190" s="49">
        <f t="shared" si="54"/>
        <v>1</v>
      </c>
    </row>
    <row r="191" spans="2:47" x14ac:dyDescent="0.25">
      <c r="B191" s="48">
        <f>IF('Resultado da inspeção'!F191='Resultado da inspeção'!$W$4,0%,Ranking!B$5)</f>
        <v>0.02</v>
      </c>
      <c r="C191" s="48">
        <f>IF('Resultado da inspeção'!G191='Resultado da inspeção'!$W$4,0%,Ranking!C$5)</f>
        <v>0.03</v>
      </c>
      <c r="D191" s="48">
        <f>IF('Resultado da inspeção'!H191='Resultado da inspeção'!$W$4,0%,Ranking!D$5)</f>
        <v>0.03</v>
      </c>
      <c r="E191" s="48">
        <f>IF('Resultado da inspeção'!I191='Resultado da inspeção'!$W$4,0%,Ranking!E$5)</f>
        <v>0.1</v>
      </c>
      <c r="F191" s="48">
        <f>IF('Resultado da inspeção'!J191='Resultado da inspeção'!$W$4,0%,Ranking!F$5)</f>
        <v>0.21</v>
      </c>
      <c r="G191" s="48">
        <f>IF('Resultado da inspeção'!K191='Resultado da inspeção'!$W$4,0%,Ranking!G$5)</f>
        <v>0.05</v>
      </c>
      <c r="H191" s="48">
        <f>IF('Resultado da inspeção'!L191='Resultado da inspeção'!$W$4,0%,Ranking!H$5)</f>
        <v>0.24</v>
      </c>
      <c r="I191" s="48">
        <f>IF('Resultado da inspeção'!M191='Resultado da inspeção'!$W$4,0%,Ranking!I$5)</f>
        <v>0.05</v>
      </c>
      <c r="J191" s="48">
        <f>IF('Resultado da inspeção'!N191='Resultado da inspeção'!$W$4,0%,Ranking!J$5)</f>
        <v>0.04</v>
      </c>
      <c r="K191" s="48">
        <f>IF('Resultado da inspeção'!O191='Resultado da inspeção'!$W$4,0%,Ranking!K$5)</f>
        <v>0.06</v>
      </c>
      <c r="L191" s="48">
        <f>IF('Resultado da inspeção'!P191='Resultado da inspeção'!$W$4,0%,Ranking!L$5)</f>
        <v>0.08</v>
      </c>
      <c r="M191" s="48">
        <f>IF('Resultado da inspeção'!Q191='Resultado da inspeção'!$W$4,0%,Ranking!M$5)</f>
        <v>0.05</v>
      </c>
      <c r="N191" s="48">
        <f>IF('Resultado da inspeção'!R191='Resultado da inspeção'!$W$4,0%,Ranking!N$5)</f>
        <v>0.02</v>
      </c>
      <c r="O191" s="48">
        <f>IF('Resultado da inspeção'!S191='Resultado da inspeção'!$W$4,0%,Ranking!O$5)</f>
        <v>0.02</v>
      </c>
      <c r="P191" s="47">
        <f t="shared" si="37"/>
        <v>1</v>
      </c>
      <c r="Q191" s="49">
        <f t="shared" si="52"/>
        <v>0</v>
      </c>
      <c r="R191" s="50">
        <f t="shared" si="38"/>
        <v>0.02</v>
      </c>
      <c r="S191" s="50">
        <f t="shared" si="39"/>
        <v>0.03</v>
      </c>
      <c r="T191" s="50">
        <f t="shared" si="40"/>
        <v>0.03</v>
      </c>
      <c r="U191" s="50">
        <f t="shared" si="41"/>
        <v>0.1</v>
      </c>
      <c r="V191" s="50">
        <f t="shared" si="42"/>
        <v>0.21</v>
      </c>
      <c r="W191" s="50">
        <f t="shared" si="43"/>
        <v>0.05</v>
      </c>
      <c r="X191" s="50">
        <f t="shared" si="44"/>
        <v>0.24</v>
      </c>
      <c r="Y191" s="50">
        <f t="shared" si="45"/>
        <v>0.05</v>
      </c>
      <c r="Z191" s="50">
        <f t="shared" si="46"/>
        <v>0.04</v>
      </c>
      <c r="AA191" s="50">
        <f t="shared" si="47"/>
        <v>0.06</v>
      </c>
      <c r="AB191" s="50">
        <f t="shared" si="48"/>
        <v>0.08</v>
      </c>
      <c r="AC191" s="50">
        <f t="shared" si="49"/>
        <v>0.05</v>
      </c>
      <c r="AD191" s="50">
        <f t="shared" si="50"/>
        <v>0.02</v>
      </c>
      <c r="AE191" s="50">
        <f t="shared" si="51"/>
        <v>0.02</v>
      </c>
      <c r="AF191" s="47">
        <f t="shared" si="53"/>
        <v>1</v>
      </c>
      <c r="AG191" s="50">
        <f>IF('Resultado da inspeção'!F191='Resultado da inspeção'!$W$3,0%,Ranking!R191)</f>
        <v>0.02</v>
      </c>
      <c r="AH191" s="50">
        <f>IF('Resultado da inspeção'!G191='Resultado da inspeção'!$W$3,0%,Ranking!S191)</f>
        <v>0.03</v>
      </c>
      <c r="AI191" s="50">
        <f>IF('Resultado da inspeção'!H191='Resultado da inspeção'!$W$3,0%,Ranking!T191)</f>
        <v>0.03</v>
      </c>
      <c r="AJ191" s="50">
        <f>IF('Resultado da inspeção'!I191='Resultado da inspeção'!$W$3,0%,Ranking!U191)</f>
        <v>0.1</v>
      </c>
      <c r="AK191" s="50">
        <f>IF('Resultado da inspeção'!J191='Resultado da inspeção'!$W$3,0%,Ranking!V191)</f>
        <v>0.21</v>
      </c>
      <c r="AL191" s="50">
        <f>IF('Resultado da inspeção'!K191='Resultado da inspeção'!$W$3,0%,Ranking!W191)</f>
        <v>0.05</v>
      </c>
      <c r="AM191" s="50">
        <f>IF('Resultado da inspeção'!L191='Resultado da inspeção'!$W$3,0%,Ranking!X191)</f>
        <v>0.24</v>
      </c>
      <c r="AN191" s="50">
        <f>IF('Resultado da inspeção'!M191='Resultado da inspeção'!$W$3,0%,Ranking!Y191)</f>
        <v>0.05</v>
      </c>
      <c r="AO191" s="50">
        <f>IF('Resultado da inspeção'!N191='Resultado da inspeção'!$W$3,0%,Ranking!Z191)</f>
        <v>0.04</v>
      </c>
      <c r="AP191" s="50">
        <f>IF('Resultado da inspeção'!O191='Resultado da inspeção'!$W$3,0%,Ranking!AA191)</f>
        <v>0.06</v>
      </c>
      <c r="AQ191" s="50">
        <f>IF('Resultado da inspeção'!P191='Resultado da inspeção'!$W$3,0%,Ranking!AB191)</f>
        <v>0.08</v>
      </c>
      <c r="AR191" s="50">
        <f>IF('Resultado da inspeção'!Q191='Resultado da inspeção'!$W$3,0%,Ranking!AC191)</f>
        <v>0.05</v>
      </c>
      <c r="AS191" s="50">
        <f>IF('Resultado da inspeção'!R191='Resultado da inspeção'!$W$3,0%,Ranking!AD191)</f>
        <v>0.02</v>
      </c>
      <c r="AT191" s="50">
        <f>IF('Resultado da inspeção'!S191='Resultado da inspeção'!$W$3,0%,Ranking!AE191)</f>
        <v>0.02</v>
      </c>
      <c r="AU191" s="49">
        <f t="shared" si="54"/>
        <v>1</v>
      </c>
    </row>
    <row r="192" spans="2:47" x14ac:dyDescent="0.25">
      <c r="B192" s="48">
        <f>IF('Resultado da inspeção'!F192='Resultado da inspeção'!$W$4,0%,Ranking!B$5)</f>
        <v>0.02</v>
      </c>
      <c r="C192" s="48">
        <f>IF('Resultado da inspeção'!G192='Resultado da inspeção'!$W$4,0%,Ranking!C$5)</f>
        <v>0.03</v>
      </c>
      <c r="D192" s="48">
        <f>IF('Resultado da inspeção'!H192='Resultado da inspeção'!$W$4,0%,Ranking!D$5)</f>
        <v>0.03</v>
      </c>
      <c r="E192" s="48">
        <f>IF('Resultado da inspeção'!I192='Resultado da inspeção'!$W$4,0%,Ranking!E$5)</f>
        <v>0.1</v>
      </c>
      <c r="F192" s="48">
        <f>IF('Resultado da inspeção'!J192='Resultado da inspeção'!$W$4,0%,Ranking!F$5)</f>
        <v>0.21</v>
      </c>
      <c r="G192" s="48">
        <f>IF('Resultado da inspeção'!K192='Resultado da inspeção'!$W$4,0%,Ranking!G$5)</f>
        <v>0.05</v>
      </c>
      <c r="H192" s="48">
        <f>IF('Resultado da inspeção'!L192='Resultado da inspeção'!$W$4,0%,Ranking!H$5)</f>
        <v>0.24</v>
      </c>
      <c r="I192" s="48">
        <f>IF('Resultado da inspeção'!M192='Resultado da inspeção'!$W$4,0%,Ranking!I$5)</f>
        <v>0.05</v>
      </c>
      <c r="J192" s="48">
        <f>IF('Resultado da inspeção'!N192='Resultado da inspeção'!$W$4,0%,Ranking!J$5)</f>
        <v>0.04</v>
      </c>
      <c r="K192" s="48">
        <f>IF('Resultado da inspeção'!O192='Resultado da inspeção'!$W$4,0%,Ranking!K$5)</f>
        <v>0.06</v>
      </c>
      <c r="L192" s="48">
        <f>IF('Resultado da inspeção'!P192='Resultado da inspeção'!$W$4,0%,Ranking!L$5)</f>
        <v>0.08</v>
      </c>
      <c r="M192" s="48">
        <f>IF('Resultado da inspeção'!Q192='Resultado da inspeção'!$W$4,0%,Ranking!M$5)</f>
        <v>0.05</v>
      </c>
      <c r="N192" s="48">
        <f>IF('Resultado da inspeção'!R192='Resultado da inspeção'!$W$4,0%,Ranking!N$5)</f>
        <v>0.02</v>
      </c>
      <c r="O192" s="48">
        <f>IF('Resultado da inspeção'!S192='Resultado da inspeção'!$W$4,0%,Ranking!O$5)</f>
        <v>0.02</v>
      </c>
      <c r="P192" s="47">
        <f t="shared" si="37"/>
        <v>1</v>
      </c>
      <c r="Q192" s="49">
        <f t="shared" si="52"/>
        <v>0</v>
      </c>
      <c r="R192" s="50">
        <f t="shared" si="38"/>
        <v>0.02</v>
      </c>
      <c r="S192" s="50">
        <f t="shared" si="39"/>
        <v>0.03</v>
      </c>
      <c r="T192" s="50">
        <f t="shared" si="40"/>
        <v>0.03</v>
      </c>
      <c r="U192" s="50">
        <f t="shared" si="41"/>
        <v>0.1</v>
      </c>
      <c r="V192" s="50">
        <f t="shared" si="42"/>
        <v>0.21</v>
      </c>
      <c r="W192" s="50">
        <f t="shared" si="43"/>
        <v>0.05</v>
      </c>
      <c r="X192" s="50">
        <f t="shared" si="44"/>
        <v>0.24</v>
      </c>
      <c r="Y192" s="50">
        <f t="shared" si="45"/>
        <v>0.05</v>
      </c>
      <c r="Z192" s="50">
        <f t="shared" si="46"/>
        <v>0.04</v>
      </c>
      <c r="AA192" s="50">
        <f t="shared" si="47"/>
        <v>0.06</v>
      </c>
      <c r="AB192" s="50">
        <f t="shared" si="48"/>
        <v>0.08</v>
      </c>
      <c r="AC192" s="50">
        <f t="shared" si="49"/>
        <v>0.05</v>
      </c>
      <c r="AD192" s="50">
        <f t="shared" si="50"/>
        <v>0.02</v>
      </c>
      <c r="AE192" s="50">
        <f t="shared" si="51"/>
        <v>0.02</v>
      </c>
      <c r="AF192" s="47">
        <f t="shared" si="53"/>
        <v>1</v>
      </c>
      <c r="AG192" s="50">
        <f>IF('Resultado da inspeção'!F192='Resultado da inspeção'!$W$3,0%,Ranking!R192)</f>
        <v>0.02</v>
      </c>
      <c r="AH192" s="50">
        <f>IF('Resultado da inspeção'!G192='Resultado da inspeção'!$W$3,0%,Ranking!S192)</f>
        <v>0.03</v>
      </c>
      <c r="AI192" s="50">
        <f>IF('Resultado da inspeção'!H192='Resultado da inspeção'!$W$3,0%,Ranking!T192)</f>
        <v>0.03</v>
      </c>
      <c r="AJ192" s="50">
        <f>IF('Resultado da inspeção'!I192='Resultado da inspeção'!$W$3,0%,Ranking!U192)</f>
        <v>0.1</v>
      </c>
      <c r="AK192" s="50">
        <f>IF('Resultado da inspeção'!J192='Resultado da inspeção'!$W$3,0%,Ranking!V192)</f>
        <v>0.21</v>
      </c>
      <c r="AL192" s="50">
        <f>IF('Resultado da inspeção'!K192='Resultado da inspeção'!$W$3,0%,Ranking!W192)</f>
        <v>0.05</v>
      </c>
      <c r="AM192" s="50">
        <f>IF('Resultado da inspeção'!L192='Resultado da inspeção'!$W$3,0%,Ranking!X192)</f>
        <v>0.24</v>
      </c>
      <c r="AN192" s="50">
        <f>IF('Resultado da inspeção'!M192='Resultado da inspeção'!$W$3,0%,Ranking!Y192)</f>
        <v>0.05</v>
      </c>
      <c r="AO192" s="50">
        <f>IF('Resultado da inspeção'!N192='Resultado da inspeção'!$W$3,0%,Ranking!Z192)</f>
        <v>0.04</v>
      </c>
      <c r="AP192" s="50">
        <f>IF('Resultado da inspeção'!O192='Resultado da inspeção'!$W$3,0%,Ranking!AA192)</f>
        <v>0.06</v>
      </c>
      <c r="AQ192" s="50">
        <f>IF('Resultado da inspeção'!P192='Resultado da inspeção'!$W$3,0%,Ranking!AB192)</f>
        <v>0.08</v>
      </c>
      <c r="AR192" s="50">
        <f>IF('Resultado da inspeção'!Q192='Resultado da inspeção'!$W$3,0%,Ranking!AC192)</f>
        <v>0.05</v>
      </c>
      <c r="AS192" s="50">
        <f>IF('Resultado da inspeção'!R192='Resultado da inspeção'!$W$3,0%,Ranking!AD192)</f>
        <v>0.02</v>
      </c>
      <c r="AT192" s="50">
        <f>IF('Resultado da inspeção'!S192='Resultado da inspeção'!$W$3,0%,Ranking!AE192)</f>
        <v>0.02</v>
      </c>
      <c r="AU192" s="49">
        <f t="shared" si="54"/>
        <v>1</v>
      </c>
    </row>
    <row r="193" spans="2:47" x14ac:dyDescent="0.25">
      <c r="B193" s="48">
        <f>IF('Resultado da inspeção'!F193='Resultado da inspeção'!$W$4,0%,Ranking!B$5)</f>
        <v>0.02</v>
      </c>
      <c r="C193" s="48">
        <f>IF('Resultado da inspeção'!G193='Resultado da inspeção'!$W$4,0%,Ranking!C$5)</f>
        <v>0.03</v>
      </c>
      <c r="D193" s="48">
        <f>IF('Resultado da inspeção'!H193='Resultado da inspeção'!$W$4,0%,Ranking!D$5)</f>
        <v>0.03</v>
      </c>
      <c r="E193" s="48">
        <f>IF('Resultado da inspeção'!I193='Resultado da inspeção'!$W$4,0%,Ranking!E$5)</f>
        <v>0.1</v>
      </c>
      <c r="F193" s="48">
        <f>IF('Resultado da inspeção'!J193='Resultado da inspeção'!$W$4,0%,Ranking!F$5)</f>
        <v>0.21</v>
      </c>
      <c r="G193" s="48">
        <f>IF('Resultado da inspeção'!K193='Resultado da inspeção'!$W$4,0%,Ranking!G$5)</f>
        <v>0.05</v>
      </c>
      <c r="H193" s="48">
        <f>IF('Resultado da inspeção'!L193='Resultado da inspeção'!$W$4,0%,Ranking!H$5)</f>
        <v>0.24</v>
      </c>
      <c r="I193" s="48">
        <f>IF('Resultado da inspeção'!M193='Resultado da inspeção'!$W$4,0%,Ranking!I$5)</f>
        <v>0.05</v>
      </c>
      <c r="J193" s="48">
        <f>IF('Resultado da inspeção'!N193='Resultado da inspeção'!$W$4,0%,Ranking!J$5)</f>
        <v>0.04</v>
      </c>
      <c r="K193" s="48">
        <f>IF('Resultado da inspeção'!O193='Resultado da inspeção'!$W$4,0%,Ranking!K$5)</f>
        <v>0.06</v>
      </c>
      <c r="L193" s="48">
        <f>IF('Resultado da inspeção'!P193='Resultado da inspeção'!$W$4,0%,Ranking!L$5)</f>
        <v>0.08</v>
      </c>
      <c r="M193" s="48">
        <f>IF('Resultado da inspeção'!Q193='Resultado da inspeção'!$W$4,0%,Ranking!M$5)</f>
        <v>0.05</v>
      </c>
      <c r="N193" s="48">
        <f>IF('Resultado da inspeção'!R193='Resultado da inspeção'!$W$4,0%,Ranking!N$5)</f>
        <v>0.02</v>
      </c>
      <c r="O193" s="48">
        <f>IF('Resultado da inspeção'!S193='Resultado da inspeção'!$W$4,0%,Ranking!O$5)</f>
        <v>0.02</v>
      </c>
      <c r="P193" s="47">
        <f t="shared" si="37"/>
        <v>1</v>
      </c>
      <c r="Q193" s="49">
        <f t="shared" si="52"/>
        <v>0</v>
      </c>
      <c r="R193" s="50">
        <f t="shared" si="38"/>
        <v>0.02</v>
      </c>
      <c r="S193" s="50">
        <f t="shared" si="39"/>
        <v>0.03</v>
      </c>
      <c r="T193" s="50">
        <f t="shared" si="40"/>
        <v>0.03</v>
      </c>
      <c r="U193" s="50">
        <f t="shared" si="41"/>
        <v>0.1</v>
      </c>
      <c r="V193" s="50">
        <f t="shared" si="42"/>
        <v>0.21</v>
      </c>
      <c r="W193" s="50">
        <f t="shared" si="43"/>
        <v>0.05</v>
      </c>
      <c r="X193" s="50">
        <f t="shared" si="44"/>
        <v>0.24</v>
      </c>
      <c r="Y193" s="50">
        <f t="shared" si="45"/>
        <v>0.05</v>
      </c>
      <c r="Z193" s="50">
        <f t="shared" si="46"/>
        <v>0.04</v>
      </c>
      <c r="AA193" s="50">
        <f t="shared" si="47"/>
        <v>0.06</v>
      </c>
      <c r="AB193" s="50">
        <f t="shared" si="48"/>
        <v>0.08</v>
      </c>
      <c r="AC193" s="50">
        <f t="shared" si="49"/>
        <v>0.05</v>
      </c>
      <c r="AD193" s="50">
        <f t="shared" si="50"/>
        <v>0.02</v>
      </c>
      <c r="AE193" s="50">
        <f t="shared" si="51"/>
        <v>0.02</v>
      </c>
      <c r="AF193" s="47">
        <f t="shared" si="53"/>
        <v>1</v>
      </c>
      <c r="AG193" s="50">
        <f>IF('Resultado da inspeção'!F193='Resultado da inspeção'!$W$3,0%,Ranking!R193)</f>
        <v>0.02</v>
      </c>
      <c r="AH193" s="50">
        <f>IF('Resultado da inspeção'!G193='Resultado da inspeção'!$W$3,0%,Ranking!S193)</f>
        <v>0.03</v>
      </c>
      <c r="AI193" s="50">
        <f>IF('Resultado da inspeção'!H193='Resultado da inspeção'!$W$3,0%,Ranking!T193)</f>
        <v>0.03</v>
      </c>
      <c r="AJ193" s="50">
        <f>IF('Resultado da inspeção'!I193='Resultado da inspeção'!$W$3,0%,Ranking!U193)</f>
        <v>0.1</v>
      </c>
      <c r="AK193" s="50">
        <f>IF('Resultado da inspeção'!J193='Resultado da inspeção'!$W$3,0%,Ranking!V193)</f>
        <v>0.21</v>
      </c>
      <c r="AL193" s="50">
        <f>IF('Resultado da inspeção'!K193='Resultado da inspeção'!$W$3,0%,Ranking!W193)</f>
        <v>0.05</v>
      </c>
      <c r="AM193" s="50">
        <f>IF('Resultado da inspeção'!L193='Resultado da inspeção'!$W$3,0%,Ranking!X193)</f>
        <v>0.24</v>
      </c>
      <c r="AN193" s="50">
        <f>IF('Resultado da inspeção'!M193='Resultado da inspeção'!$W$3,0%,Ranking!Y193)</f>
        <v>0.05</v>
      </c>
      <c r="AO193" s="50">
        <f>IF('Resultado da inspeção'!N193='Resultado da inspeção'!$W$3,0%,Ranking!Z193)</f>
        <v>0.04</v>
      </c>
      <c r="AP193" s="50">
        <f>IF('Resultado da inspeção'!O193='Resultado da inspeção'!$W$3,0%,Ranking!AA193)</f>
        <v>0.06</v>
      </c>
      <c r="AQ193" s="50">
        <f>IF('Resultado da inspeção'!P193='Resultado da inspeção'!$W$3,0%,Ranking!AB193)</f>
        <v>0.08</v>
      </c>
      <c r="AR193" s="50">
        <f>IF('Resultado da inspeção'!Q193='Resultado da inspeção'!$W$3,0%,Ranking!AC193)</f>
        <v>0.05</v>
      </c>
      <c r="AS193" s="50">
        <f>IF('Resultado da inspeção'!R193='Resultado da inspeção'!$W$3,0%,Ranking!AD193)</f>
        <v>0.02</v>
      </c>
      <c r="AT193" s="50">
        <f>IF('Resultado da inspeção'!S193='Resultado da inspeção'!$W$3,0%,Ranking!AE193)</f>
        <v>0.02</v>
      </c>
      <c r="AU193" s="49">
        <f t="shared" si="54"/>
        <v>1</v>
      </c>
    </row>
    <row r="194" spans="2:47" x14ac:dyDescent="0.25">
      <c r="B194" s="48">
        <f>IF('Resultado da inspeção'!F194='Resultado da inspeção'!$W$4,0%,Ranking!B$5)</f>
        <v>0.02</v>
      </c>
      <c r="C194" s="48">
        <f>IF('Resultado da inspeção'!G194='Resultado da inspeção'!$W$4,0%,Ranking!C$5)</f>
        <v>0.03</v>
      </c>
      <c r="D194" s="48">
        <f>IF('Resultado da inspeção'!H194='Resultado da inspeção'!$W$4,0%,Ranking!D$5)</f>
        <v>0.03</v>
      </c>
      <c r="E194" s="48">
        <f>IF('Resultado da inspeção'!I194='Resultado da inspeção'!$W$4,0%,Ranking!E$5)</f>
        <v>0.1</v>
      </c>
      <c r="F194" s="48">
        <f>IF('Resultado da inspeção'!J194='Resultado da inspeção'!$W$4,0%,Ranking!F$5)</f>
        <v>0.21</v>
      </c>
      <c r="G194" s="48">
        <f>IF('Resultado da inspeção'!K194='Resultado da inspeção'!$W$4,0%,Ranking!G$5)</f>
        <v>0.05</v>
      </c>
      <c r="H194" s="48">
        <f>IF('Resultado da inspeção'!L194='Resultado da inspeção'!$W$4,0%,Ranking!H$5)</f>
        <v>0.24</v>
      </c>
      <c r="I194" s="48">
        <f>IF('Resultado da inspeção'!M194='Resultado da inspeção'!$W$4,0%,Ranking!I$5)</f>
        <v>0.05</v>
      </c>
      <c r="J194" s="48">
        <f>IF('Resultado da inspeção'!N194='Resultado da inspeção'!$W$4,0%,Ranking!J$5)</f>
        <v>0.04</v>
      </c>
      <c r="K194" s="48">
        <f>IF('Resultado da inspeção'!O194='Resultado da inspeção'!$W$4,0%,Ranking!K$5)</f>
        <v>0.06</v>
      </c>
      <c r="L194" s="48">
        <f>IF('Resultado da inspeção'!P194='Resultado da inspeção'!$W$4,0%,Ranking!L$5)</f>
        <v>0.08</v>
      </c>
      <c r="M194" s="48">
        <f>IF('Resultado da inspeção'!Q194='Resultado da inspeção'!$W$4,0%,Ranking!M$5)</f>
        <v>0.05</v>
      </c>
      <c r="N194" s="48">
        <f>IF('Resultado da inspeção'!R194='Resultado da inspeção'!$W$4,0%,Ranking!N$5)</f>
        <v>0.02</v>
      </c>
      <c r="O194" s="48">
        <f>IF('Resultado da inspeção'!S194='Resultado da inspeção'!$W$4,0%,Ranking!O$5)</f>
        <v>0.02</v>
      </c>
      <c r="P194" s="47">
        <f t="shared" si="37"/>
        <v>1</v>
      </c>
      <c r="Q194" s="49">
        <f t="shared" si="52"/>
        <v>0</v>
      </c>
      <c r="R194" s="50">
        <f t="shared" si="38"/>
        <v>0.02</v>
      </c>
      <c r="S194" s="50">
        <f t="shared" si="39"/>
        <v>0.03</v>
      </c>
      <c r="T194" s="50">
        <f t="shared" si="40"/>
        <v>0.03</v>
      </c>
      <c r="U194" s="50">
        <f t="shared" si="41"/>
        <v>0.1</v>
      </c>
      <c r="V194" s="50">
        <f t="shared" si="42"/>
        <v>0.21</v>
      </c>
      <c r="W194" s="50">
        <f t="shared" si="43"/>
        <v>0.05</v>
      </c>
      <c r="X194" s="50">
        <f t="shared" si="44"/>
        <v>0.24</v>
      </c>
      <c r="Y194" s="50">
        <f t="shared" si="45"/>
        <v>0.05</v>
      </c>
      <c r="Z194" s="50">
        <f t="shared" si="46"/>
        <v>0.04</v>
      </c>
      <c r="AA194" s="50">
        <f t="shared" si="47"/>
        <v>0.06</v>
      </c>
      <c r="AB194" s="50">
        <f t="shared" si="48"/>
        <v>0.08</v>
      </c>
      <c r="AC194" s="50">
        <f t="shared" si="49"/>
        <v>0.05</v>
      </c>
      <c r="AD194" s="50">
        <f t="shared" si="50"/>
        <v>0.02</v>
      </c>
      <c r="AE194" s="50">
        <f t="shared" si="51"/>
        <v>0.02</v>
      </c>
      <c r="AF194" s="47">
        <f t="shared" si="53"/>
        <v>1</v>
      </c>
      <c r="AG194" s="50">
        <f>IF('Resultado da inspeção'!F194='Resultado da inspeção'!$W$3,0%,Ranking!R194)</f>
        <v>0.02</v>
      </c>
      <c r="AH194" s="50">
        <f>IF('Resultado da inspeção'!G194='Resultado da inspeção'!$W$3,0%,Ranking!S194)</f>
        <v>0.03</v>
      </c>
      <c r="AI194" s="50">
        <f>IF('Resultado da inspeção'!H194='Resultado da inspeção'!$W$3,0%,Ranking!T194)</f>
        <v>0.03</v>
      </c>
      <c r="AJ194" s="50">
        <f>IF('Resultado da inspeção'!I194='Resultado da inspeção'!$W$3,0%,Ranking!U194)</f>
        <v>0.1</v>
      </c>
      <c r="AK194" s="50">
        <f>IF('Resultado da inspeção'!J194='Resultado da inspeção'!$W$3,0%,Ranking!V194)</f>
        <v>0.21</v>
      </c>
      <c r="AL194" s="50">
        <f>IF('Resultado da inspeção'!K194='Resultado da inspeção'!$W$3,0%,Ranking!W194)</f>
        <v>0.05</v>
      </c>
      <c r="AM194" s="50">
        <f>IF('Resultado da inspeção'!L194='Resultado da inspeção'!$W$3,0%,Ranking!X194)</f>
        <v>0.24</v>
      </c>
      <c r="AN194" s="50">
        <f>IF('Resultado da inspeção'!M194='Resultado da inspeção'!$W$3,0%,Ranking!Y194)</f>
        <v>0.05</v>
      </c>
      <c r="AO194" s="50">
        <f>IF('Resultado da inspeção'!N194='Resultado da inspeção'!$W$3,0%,Ranking!Z194)</f>
        <v>0.04</v>
      </c>
      <c r="AP194" s="50">
        <f>IF('Resultado da inspeção'!O194='Resultado da inspeção'!$W$3,0%,Ranking!AA194)</f>
        <v>0.06</v>
      </c>
      <c r="AQ194" s="50">
        <f>IF('Resultado da inspeção'!P194='Resultado da inspeção'!$W$3,0%,Ranking!AB194)</f>
        <v>0.08</v>
      </c>
      <c r="AR194" s="50">
        <f>IF('Resultado da inspeção'!Q194='Resultado da inspeção'!$W$3,0%,Ranking!AC194)</f>
        <v>0.05</v>
      </c>
      <c r="AS194" s="50">
        <f>IF('Resultado da inspeção'!R194='Resultado da inspeção'!$W$3,0%,Ranking!AD194)</f>
        <v>0.02</v>
      </c>
      <c r="AT194" s="50">
        <f>IF('Resultado da inspeção'!S194='Resultado da inspeção'!$W$3,0%,Ranking!AE194)</f>
        <v>0.02</v>
      </c>
      <c r="AU194" s="49">
        <f t="shared" si="54"/>
        <v>1</v>
      </c>
    </row>
    <row r="195" spans="2:47" x14ac:dyDescent="0.25">
      <c r="B195" s="48">
        <f>IF('Resultado da inspeção'!F195='Resultado da inspeção'!$W$4,0%,Ranking!B$5)</f>
        <v>0.02</v>
      </c>
      <c r="C195" s="48">
        <f>IF('Resultado da inspeção'!G195='Resultado da inspeção'!$W$4,0%,Ranking!C$5)</f>
        <v>0.03</v>
      </c>
      <c r="D195" s="48">
        <f>IF('Resultado da inspeção'!H195='Resultado da inspeção'!$W$4,0%,Ranking!D$5)</f>
        <v>0.03</v>
      </c>
      <c r="E195" s="48">
        <f>IF('Resultado da inspeção'!I195='Resultado da inspeção'!$W$4,0%,Ranking!E$5)</f>
        <v>0.1</v>
      </c>
      <c r="F195" s="48">
        <f>IF('Resultado da inspeção'!J195='Resultado da inspeção'!$W$4,0%,Ranking!F$5)</f>
        <v>0.21</v>
      </c>
      <c r="G195" s="48">
        <f>IF('Resultado da inspeção'!K195='Resultado da inspeção'!$W$4,0%,Ranking!G$5)</f>
        <v>0.05</v>
      </c>
      <c r="H195" s="48">
        <f>IF('Resultado da inspeção'!L195='Resultado da inspeção'!$W$4,0%,Ranking!H$5)</f>
        <v>0.24</v>
      </c>
      <c r="I195" s="48">
        <f>IF('Resultado da inspeção'!M195='Resultado da inspeção'!$W$4,0%,Ranking!I$5)</f>
        <v>0.05</v>
      </c>
      <c r="J195" s="48">
        <f>IF('Resultado da inspeção'!N195='Resultado da inspeção'!$W$4,0%,Ranking!J$5)</f>
        <v>0.04</v>
      </c>
      <c r="K195" s="48">
        <f>IF('Resultado da inspeção'!O195='Resultado da inspeção'!$W$4,0%,Ranking!K$5)</f>
        <v>0.06</v>
      </c>
      <c r="L195" s="48">
        <f>IF('Resultado da inspeção'!P195='Resultado da inspeção'!$W$4,0%,Ranking!L$5)</f>
        <v>0.08</v>
      </c>
      <c r="M195" s="48">
        <f>IF('Resultado da inspeção'!Q195='Resultado da inspeção'!$W$4,0%,Ranking!M$5)</f>
        <v>0.05</v>
      </c>
      <c r="N195" s="48">
        <f>IF('Resultado da inspeção'!R195='Resultado da inspeção'!$W$4,0%,Ranking!N$5)</f>
        <v>0.02</v>
      </c>
      <c r="O195" s="48">
        <f>IF('Resultado da inspeção'!S195='Resultado da inspeção'!$W$4,0%,Ranking!O$5)</f>
        <v>0.02</v>
      </c>
      <c r="P195" s="47">
        <f t="shared" si="37"/>
        <v>1</v>
      </c>
      <c r="Q195" s="49">
        <f t="shared" si="52"/>
        <v>0</v>
      </c>
      <c r="R195" s="50">
        <f t="shared" si="38"/>
        <v>0.02</v>
      </c>
      <c r="S195" s="50">
        <f t="shared" si="39"/>
        <v>0.03</v>
      </c>
      <c r="T195" s="50">
        <f t="shared" si="40"/>
        <v>0.03</v>
      </c>
      <c r="U195" s="50">
        <f t="shared" si="41"/>
        <v>0.1</v>
      </c>
      <c r="V195" s="50">
        <f t="shared" si="42"/>
        <v>0.21</v>
      </c>
      <c r="W195" s="50">
        <f t="shared" si="43"/>
        <v>0.05</v>
      </c>
      <c r="X195" s="50">
        <f t="shared" si="44"/>
        <v>0.24</v>
      </c>
      <c r="Y195" s="50">
        <f t="shared" si="45"/>
        <v>0.05</v>
      </c>
      <c r="Z195" s="50">
        <f t="shared" si="46"/>
        <v>0.04</v>
      </c>
      <c r="AA195" s="50">
        <f t="shared" si="47"/>
        <v>0.06</v>
      </c>
      <c r="AB195" s="50">
        <f t="shared" si="48"/>
        <v>0.08</v>
      </c>
      <c r="AC195" s="50">
        <f t="shared" si="49"/>
        <v>0.05</v>
      </c>
      <c r="AD195" s="50">
        <f t="shared" si="50"/>
        <v>0.02</v>
      </c>
      <c r="AE195" s="50">
        <f t="shared" si="51"/>
        <v>0.02</v>
      </c>
      <c r="AF195" s="47">
        <f t="shared" si="53"/>
        <v>1</v>
      </c>
      <c r="AG195" s="50">
        <f>IF('Resultado da inspeção'!F195='Resultado da inspeção'!$W$3,0%,Ranking!R195)</f>
        <v>0.02</v>
      </c>
      <c r="AH195" s="50">
        <f>IF('Resultado da inspeção'!G195='Resultado da inspeção'!$W$3,0%,Ranking!S195)</f>
        <v>0.03</v>
      </c>
      <c r="AI195" s="50">
        <f>IF('Resultado da inspeção'!H195='Resultado da inspeção'!$W$3,0%,Ranking!T195)</f>
        <v>0.03</v>
      </c>
      <c r="AJ195" s="50">
        <f>IF('Resultado da inspeção'!I195='Resultado da inspeção'!$W$3,0%,Ranking!U195)</f>
        <v>0.1</v>
      </c>
      <c r="AK195" s="50">
        <f>IF('Resultado da inspeção'!J195='Resultado da inspeção'!$W$3,0%,Ranking!V195)</f>
        <v>0.21</v>
      </c>
      <c r="AL195" s="50">
        <f>IF('Resultado da inspeção'!K195='Resultado da inspeção'!$W$3,0%,Ranking!W195)</f>
        <v>0.05</v>
      </c>
      <c r="AM195" s="50">
        <f>IF('Resultado da inspeção'!L195='Resultado da inspeção'!$W$3,0%,Ranking!X195)</f>
        <v>0.24</v>
      </c>
      <c r="AN195" s="50">
        <f>IF('Resultado da inspeção'!M195='Resultado da inspeção'!$W$3,0%,Ranking!Y195)</f>
        <v>0.05</v>
      </c>
      <c r="AO195" s="50">
        <f>IF('Resultado da inspeção'!N195='Resultado da inspeção'!$W$3,0%,Ranking!Z195)</f>
        <v>0.04</v>
      </c>
      <c r="AP195" s="50">
        <f>IF('Resultado da inspeção'!O195='Resultado da inspeção'!$W$3,0%,Ranking!AA195)</f>
        <v>0.06</v>
      </c>
      <c r="AQ195" s="50">
        <f>IF('Resultado da inspeção'!P195='Resultado da inspeção'!$W$3,0%,Ranking!AB195)</f>
        <v>0.08</v>
      </c>
      <c r="AR195" s="50">
        <f>IF('Resultado da inspeção'!Q195='Resultado da inspeção'!$W$3,0%,Ranking!AC195)</f>
        <v>0.05</v>
      </c>
      <c r="AS195" s="50">
        <f>IF('Resultado da inspeção'!R195='Resultado da inspeção'!$W$3,0%,Ranking!AD195)</f>
        <v>0.02</v>
      </c>
      <c r="AT195" s="50">
        <f>IF('Resultado da inspeção'!S195='Resultado da inspeção'!$W$3,0%,Ranking!AE195)</f>
        <v>0.02</v>
      </c>
      <c r="AU195" s="49">
        <f t="shared" si="54"/>
        <v>1</v>
      </c>
    </row>
    <row r="196" spans="2:47" x14ac:dyDescent="0.25">
      <c r="B196" s="48">
        <f>IF('Resultado da inspeção'!F196='Resultado da inspeção'!$W$4,0%,Ranking!B$5)</f>
        <v>0.02</v>
      </c>
      <c r="C196" s="48">
        <f>IF('Resultado da inspeção'!G196='Resultado da inspeção'!$W$4,0%,Ranking!C$5)</f>
        <v>0.03</v>
      </c>
      <c r="D196" s="48">
        <f>IF('Resultado da inspeção'!H196='Resultado da inspeção'!$W$4,0%,Ranking!D$5)</f>
        <v>0.03</v>
      </c>
      <c r="E196" s="48">
        <f>IF('Resultado da inspeção'!I196='Resultado da inspeção'!$W$4,0%,Ranking!E$5)</f>
        <v>0.1</v>
      </c>
      <c r="F196" s="48">
        <f>IF('Resultado da inspeção'!J196='Resultado da inspeção'!$W$4,0%,Ranking!F$5)</f>
        <v>0.21</v>
      </c>
      <c r="G196" s="48">
        <f>IF('Resultado da inspeção'!K196='Resultado da inspeção'!$W$4,0%,Ranking!G$5)</f>
        <v>0.05</v>
      </c>
      <c r="H196" s="48">
        <f>IF('Resultado da inspeção'!L196='Resultado da inspeção'!$W$4,0%,Ranking!H$5)</f>
        <v>0.24</v>
      </c>
      <c r="I196" s="48">
        <f>IF('Resultado da inspeção'!M196='Resultado da inspeção'!$W$4,0%,Ranking!I$5)</f>
        <v>0.05</v>
      </c>
      <c r="J196" s="48">
        <f>IF('Resultado da inspeção'!N196='Resultado da inspeção'!$W$4,0%,Ranking!J$5)</f>
        <v>0.04</v>
      </c>
      <c r="K196" s="48">
        <f>IF('Resultado da inspeção'!O196='Resultado da inspeção'!$W$4,0%,Ranking!K$5)</f>
        <v>0.06</v>
      </c>
      <c r="L196" s="48">
        <f>IF('Resultado da inspeção'!P196='Resultado da inspeção'!$W$4,0%,Ranking!L$5)</f>
        <v>0.08</v>
      </c>
      <c r="M196" s="48">
        <f>IF('Resultado da inspeção'!Q196='Resultado da inspeção'!$W$4,0%,Ranking!M$5)</f>
        <v>0.05</v>
      </c>
      <c r="N196" s="48">
        <f>IF('Resultado da inspeção'!R196='Resultado da inspeção'!$W$4,0%,Ranking!N$5)</f>
        <v>0.02</v>
      </c>
      <c r="O196" s="48">
        <f>IF('Resultado da inspeção'!S196='Resultado da inspeção'!$W$4,0%,Ranking!O$5)</f>
        <v>0.02</v>
      </c>
      <c r="P196" s="47">
        <f t="shared" si="37"/>
        <v>1</v>
      </c>
      <c r="Q196" s="49">
        <f t="shared" si="52"/>
        <v>0</v>
      </c>
      <c r="R196" s="50">
        <f t="shared" si="38"/>
        <v>0.02</v>
      </c>
      <c r="S196" s="50">
        <f t="shared" si="39"/>
        <v>0.03</v>
      </c>
      <c r="T196" s="50">
        <f t="shared" si="40"/>
        <v>0.03</v>
      </c>
      <c r="U196" s="50">
        <f t="shared" si="41"/>
        <v>0.1</v>
      </c>
      <c r="V196" s="50">
        <f t="shared" si="42"/>
        <v>0.21</v>
      </c>
      <c r="W196" s="50">
        <f t="shared" si="43"/>
        <v>0.05</v>
      </c>
      <c r="X196" s="50">
        <f t="shared" si="44"/>
        <v>0.24</v>
      </c>
      <c r="Y196" s="50">
        <f t="shared" si="45"/>
        <v>0.05</v>
      </c>
      <c r="Z196" s="50">
        <f t="shared" si="46"/>
        <v>0.04</v>
      </c>
      <c r="AA196" s="50">
        <f t="shared" si="47"/>
        <v>0.06</v>
      </c>
      <c r="AB196" s="50">
        <f t="shared" si="48"/>
        <v>0.08</v>
      </c>
      <c r="AC196" s="50">
        <f t="shared" si="49"/>
        <v>0.05</v>
      </c>
      <c r="AD196" s="50">
        <f t="shared" si="50"/>
        <v>0.02</v>
      </c>
      <c r="AE196" s="50">
        <f t="shared" si="51"/>
        <v>0.02</v>
      </c>
      <c r="AF196" s="47">
        <f t="shared" si="53"/>
        <v>1</v>
      </c>
      <c r="AG196" s="50">
        <f>IF('Resultado da inspeção'!F196='Resultado da inspeção'!$W$3,0%,Ranking!R196)</f>
        <v>0.02</v>
      </c>
      <c r="AH196" s="50">
        <f>IF('Resultado da inspeção'!G196='Resultado da inspeção'!$W$3,0%,Ranking!S196)</f>
        <v>0.03</v>
      </c>
      <c r="AI196" s="50">
        <f>IF('Resultado da inspeção'!H196='Resultado da inspeção'!$W$3,0%,Ranking!T196)</f>
        <v>0.03</v>
      </c>
      <c r="AJ196" s="50">
        <f>IF('Resultado da inspeção'!I196='Resultado da inspeção'!$W$3,0%,Ranking!U196)</f>
        <v>0.1</v>
      </c>
      <c r="AK196" s="50">
        <f>IF('Resultado da inspeção'!J196='Resultado da inspeção'!$W$3,0%,Ranking!V196)</f>
        <v>0.21</v>
      </c>
      <c r="AL196" s="50">
        <f>IF('Resultado da inspeção'!K196='Resultado da inspeção'!$W$3,0%,Ranking!W196)</f>
        <v>0.05</v>
      </c>
      <c r="AM196" s="50">
        <f>IF('Resultado da inspeção'!L196='Resultado da inspeção'!$W$3,0%,Ranking!X196)</f>
        <v>0.24</v>
      </c>
      <c r="AN196" s="50">
        <f>IF('Resultado da inspeção'!M196='Resultado da inspeção'!$W$3,0%,Ranking!Y196)</f>
        <v>0.05</v>
      </c>
      <c r="AO196" s="50">
        <f>IF('Resultado da inspeção'!N196='Resultado da inspeção'!$W$3,0%,Ranking!Z196)</f>
        <v>0.04</v>
      </c>
      <c r="AP196" s="50">
        <f>IF('Resultado da inspeção'!O196='Resultado da inspeção'!$W$3,0%,Ranking!AA196)</f>
        <v>0.06</v>
      </c>
      <c r="AQ196" s="50">
        <f>IF('Resultado da inspeção'!P196='Resultado da inspeção'!$W$3,0%,Ranking!AB196)</f>
        <v>0.08</v>
      </c>
      <c r="AR196" s="50">
        <f>IF('Resultado da inspeção'!Q196='Resultado da inspeção'!$W$3,0%,Ranking!AC196)</f>
        <v>0.05</v>
      </c>
      <c r="AS196" s="50">
        <f>IF('Resultado da inspeção'!R196='Resultado da inspeção'!$W$3,0%,Ranking!AD196)</f>
        <v>0.02</v>
      </c>
      <c r="AT196" s="50">
        <f>IF('Resultado da inspeção'!S196='Resultado da inspeção'!$W$3,0%,Ranking!AE196)</f>
        <v>0.02</v>
      </c>
      <c r="AU196" s="49">
        <f t="shared" si="54"/>
        <v>1</v>
      </c>
    </row>
    <row r="197" spans="2:47" x14ac:dyDescent="0.25">
      <c r="B197" s="48">
        <f>IF('Resultado da inspeção'!F197='Resultado da inspeção'!$W$4,0%,Ranking!B$5)</f>
        <v>0.02</v>
      </c>
      <c r="C197" s="48">
        <f>IF('Resultado da inspeção'!G197='Resultado da inspeção'!$W$4,0%,Ranking!C$5)</f>
        <v>0.03</v>
      </c>
      <c r="D197" s="48">
        <f>IF('Resultado da inspeção'!H197='Resultado da inspeção'!$W$4,0%,Ranking!D$5)</f>
        <v>0.03</v>
      </c>
      <c r="E197" s="48">
        <f>IF('Resultado da inspeção'!I197='Resultado da inspeção'!$W$4,0%,Ranking!E$5)</f>
        <v>0.1</v>
      </c>
      <c r="F197" s="48">
        <f>IF('Resultado da inspeção'!J197='Resultado da inspeção'!$W$4,0%,Ranking!F$5)</f>
        <v>0.21</v>
      </c>
      <c r="G197" s="48">
        <f>IF('Resultado da inspeção'!K197='Resultado da inspeção'!$W$4,0%,Ranking!G$5)</f>
        <v>0.05</v>
      </c>
      <c r="H197" s="48">
        <f>IF('Resultado da inspeção'!L197='Resultado da inspeção'!$W$4,0%,Ranking!H$5)</f>
        <v>0.24</v>
      </c>
      <c r="I197" s="48">
        <f>IF('Resultado da inspeção'!M197='Resultado da inspeção'!$W$4,0%,Ranking!I$5)</f>
        <v>0.05</v>
      </c>
      <c r="J197" s="48">
        <f>IF('Resultado da inspeção'!N197='Resultado da inspeção'!$W$4,0%,Ranking!J$5)</f>
        <v>0.04</v>
      </c>
      <c r="K197" s="48">
        <f>IF('Resultado da inspeção'!O197='Resultado da inspeção'!$W$4,0%,Ranking!K$5)</f>
        <v>0.06</v>
      </c>
      <c r="L197" s="48">
        <f>IF('Resultado da inspeção'!P197='Resultado da inspeção'!$W$4,0%,Ranking!L$5)</f>
        <v>0.08</v>
      </c>
      <c r="M197" s="48">
        <f>IF('Resultado da inspeção'!Q197='Resultado da inspeção'!$W$4,0%,Ranking!M$5)</f>
        <v>0.05</v>
      </c>
      <c r="N197" s="48">
        <f>IF('Resultado da inspeção'!R197='Resultado da inspeção'!$W$4,0%,Ranking!N$5)</f>
        <v>0.02</v>
      </c>
      <c r="O197" s="48">
        <f>IF('Resultado da inspeção'!S197='Resultado da inspeção'!$W$4,0%,Ranking!O$5)</f>
        <v>0.02</v>
      </c>
      <c r="P197" s="47">
        <f t="shared" ref="P197:P260" si="55">SUM(B197:O197)</f>
        <v>1</v>
      </c>
      <c r="Q197" s="49">
        <f t="shared" si="52"/>
        <v>0</v>
      </c>
      <c r="R197" s="50">
        <f t="shared" si="38"/>
        <v>0.02</v>
      </c>
      <c r="S197" s="50">
        <f t="shared" si="39"/>
        <v>0.03</v>
      </c>
      <c r="T197" s="50">
        <f t="shared" si="40"/>
        <v>0.03</v>
      </c>
      <c r="U197" s="50">
        <f t="shared" si="41"/>
        <v>0.1</v>
      </c>
      <c r="V197" s="50">
        <f t="shared" si="42"/>
        <v>0.21</v>
      </c>
      <c r="W197" s="50">
        <f t="shared" si="43"/>
        <v>0.05</v>
      </c>
      <c r="X197" s="50">
        <f t="shared" si="44"/>
        <v>0.24</v>
      </c>
      <c r="Y197" s="50">
        <f t="shared" si="45"/>
        <v>0.05</v>
      </c>
      <c r="Z197" s="50">
        <f t="shared" si="46"/>
        <v>0.04</v>
      </c>
      <c r="AA197" s="50">
        <f t="shared" si="47"/>
        <v>0.06</v>
      </c>
      <c r="AB197" s="50">
        <f t="shared" si="48"/>
        <v>0.08</v>
      </c>
      <c r="AC197" s="50">
        <f t="shared" si="49"/>
        <v>0.05</v>
      </c>
      <c r="AD197" s="50">
        <f t="shared" si="50"/>
        <v>0.02</v>
      </c>
      <c r="AE197" s="50">
        <f t="shared" si="51"/>
        <v>0.02</v>
      </c>
      <c r="AF197" s="47">
        <f t="shared" si="53"/>
        <v>1</v>
      </c>
      <c r="AG197" s="50">
        <f>IF('Resultado da inspeção'!F197='Resultado da inspeção'!$W$3,0%,Ranking!R197)</f>
        <v>0.02</v>
      </c>
      <c r="AH197" s="50">
        <f>IF('Resultado da inspeção'!G197='Resultado da inspeção'!$W$3,0%,Ranking!S197)</f>
        <v>0.03</v>
      </c>
      <c r="AI197" s="50">
        <f>IF('Resultado da inspeção'!H197='Resultado da inspeção'!$W$3,0%,Ranking!T197)</f>
        <v>0.03</v>
      </c>
      <c r="AJ197" s="50">
        <f>IF('Resultado da inspeção'!I197='Resultado da inspeção'!$W$3,0%,Ranking!U197)</f>
        <v>0.1</v>
      </c>
      <c r="AK197" s="50">
        <f>IF('Resultado da inspeção'!J197='Resultado da inspeção'!$W$3,0%,Ranking!V197)</f>
        <v>0.21</v>
      </c>
      <c r="AL197" s="50">
        <f>IF('Resultado da inspeção'!K197='Resultado da inspeção'!$W$3,0%,Ranking!W197)</f>
        <v>0.05</v>
      </c>
      <c r="AM197" s="50">
        <f>IF('Resultado da inspeção'!L197='Resultado da inspeção'!$W$3,0%,Ranking!X197)</f>
        <v>0.24</v>
      </c>
      <c r="AN197" s="50">
        <f>IF('Resultado da inspeção'!M197='Resultado da inspeção'!$W$3,0%,Ranking!Y197)</f>
        <v>0.05</v>
      </c>
      <c r="AO197" s="50">
        <f>IF('Resultado da inspeção'!N197='Resultado da inspeção'!$W$3,0%,Ranking!Z197)</f>
        <v>0.04</v>
      </c>
      <c r="AP197" s="50">
        <f>IF('Resultado da inspeção'!O197='Resultado da inspeção'!$W$3,0%,Ranking!AA197)</f>
        <v>0.06</v>
      </c>
      <c r="AQ197" s="50">
        <f>IF('Resultado da inspeção'!P197='Resultado da inspeção'!$W$3,0%,Ranking!AB197)</f>
        <v>0.08</v>
      </c>
      <c r="AR197" s="50">
        <f>IF('Resultado da inspeção'!Q197='Resultado da inspeção'!$W$3,0%,Ranking!AC197)</f>
        <v>0.05</v>
      </c>
      <c r="AS197" s="50">
        <f>IF('Resultado da inspeção'!R197='Resultado da inspeção'!$W$3,0%,Ranking!AD197)</f>
        <v>0.02</v>
      </c>
      <c r="AT197" s="50">
        <f>IF('Resultado da inspeção'!S197='Resultado da inspeção'!$W$3,0%,Ranking!AE197)</f>
        <v>0.02</v>
      </c>
      <c r="AU197" s="49">
        <f t="shared" si="54"/>
        <v>1</v>
      </c>
    </row>
    <row r="198" spans="2:47" x14ac:dyDescent="0.25">
      <c r="B198" s="48">
        <f>IF('Resultado da inspeção'!F198='Resultado da inspeção'!$W$4,0%,Ranking!B$5)</f>
        <v>0.02</v>
      </c>
      <c r="C198" s="48">
        <f>IF('Resultado da inspeção'!G198='Resultado da inspeção'!$W$4,0%,Ranking!C$5)</f>
        <v>0.03</v>
      </c>
      <c r="D198" s="48">
        <f>IF('Resultado da inspeção'!H198='Resultado da inspeção'!$W$4,0%,Ranking!D$5)</f>
        <v>0.03</v>
      </c>
      <c r="E198" s="48">
        <f>IF('Resultado da inspeção'!I198='Resultado da inspeção'!$W$4,0%,Ranking!E$5)</f>
        <v>0.1</v>
      </c>
      <c r="F198" s="48">
        <f>IF('Resultado da inspeção'!J198='Resultado da inspeção'!$W$4,0%,Ranking!F$5)</f>
        <v>0.21</v>
      </c>
      <c r="G198" s="48">
        <f>IF('Resultado da inspeção'!K198='Resultado da inspeção'!$W$4,0%,Ranking!G$5)</f>
        <v>0.05</v>
      </c>
      <c r="H198" s="48">
        <f>IF('Resultado da inspeção'!L198='Resultado da inspeção'!$W$4,0%,Ranking!H$5)</f>
        <v>0.24</v>
      </c>
      <c r="I198" s="48">
        <f>IF('Resultado da inspeção'!M198='Resultado da inspeção'!$W$4,0%,Ranking!I$5)</f>
        <v>0.05</v>
      </c>
      <c r="J198" s="48">
        <f>IF('Resultado da inspeção'!N198='Resultado da inspeção'!$W$4,0%,Ranking!J$5)</f>
        <v>0.04</v>
      </c>
      <c r="K198" s="48">
        <f>IF('Resultado da inspeção'!O198='Resultado da inspeção'!$W$4,0%,Ranking!K$5)</f>
        <v>0.06</v>
      </c>
      <c r="L198" s="48">
        <f>IF('Resultado da inspeção'!P198='Resultado da inspeção'!$W$4,0%,Ranking!L$5)</f>
        <v>0.08</v>
      </c>
      <c r="M198" s="48">
        <f>IF('Resultado da inspeção'!Q198='Resultado da inspeção'!$W$4,0%,Ranking!M$5)</f>
        <v>0.05</v>
      </c>
      <c r="N198" s="48">
        <f>IF('Resultado da inspeção'!R198='Resultado da inspeção'!$W$4,0%,Ranking!N$5)</f>
        <v>0.02</v>
      </c>
      <c r="O198" s="48">
        <f>IF('Resultado da inspeção'!S198='Resultado da inspeção'!$W$4,0%,Ranking!O$5)</f>
        <v>0.02</v>
      </c>
      <c r="P198" s="47">
        <f t="shared" si="55"/>
        <v>1</v>
      </c>
      <c r="Q198" s="49">
        <f t="shared" si="52"/>
        <v>0</v>
      </c>
      <c r="R198" s="50">
        <f t="shared" ref="R198:R261" si="56">B198/$P198</f>
        <v>0.02</v>
      </c>
      <c r="S198" s="50">
        <f t="shared" ref="S198:S261" si="57">C198/$P198</f>
        <v>0.03</v>
      </c>
      <c r="T198" s="50">
        <f t="shared" ref="T198:T261" si="58">D198/$P198</f>
        <v>0.03</v>
      </c>
      <c r="U198" s="50">
        <f t="shared" ref="U198:U261" si="59">E198/$P198</f>
        <v>0.1</v>
      </c>
      <c r="V198" s="50">
        <f t="shared" ref="V198:V261" si="60">F198/$P198</f>
        <v>0.21</v>
      </c>
      <c r="W198" s="50">
        <f t="shared" ref="W198:W261" si="61">G198/$P198</f>
        <v>0.05</v>
      </c>
      <c r="X198" s="50">
        <f t="shared" ref="X198:X261" si="62">H198/$P198</f>
        <v>0.24</v>
      </c>
      <c r="Y198" s="50">
        <f t="shared" ref="Y198:Y261" si="63">I198/$P198</f>
        <v>0.05</v>
      </c>
      <c r="Z198" s="50">
        <f t="shared" ref="Z198:Z261" si="64">J198/$P198</f>
        <v>0.04</v>
      </c>
      <c r="AA198" s="50">
        <f t="shared" ref="AA198:AA261" si="65">K198/$P198</f>
        <v>0.06</v>
      </c>
      <c r="AB198" s="50">
        <f t="shared" ref="AB198:AB261" si="66">L198/$P198</f>
        <v>0.08</v>
      </c>
      <c r="AC198" s="50">
        <f t="shared" ref="AC198:AC261" si="67">M198/$P198</f>
        <v>0.05</v>
      </c>
      <c r="AD198" s="50">
        <f t="shared" ref="AD198:AD261" si="68">N198/$P198</f>
        <v>0.02</v>
      </c>
      <c r="AE198" s="50">
        <f t="shared" ref="AE198:AE261" si="69">O198/$P198</f>
        <v>0.02</v>
      </c>
      <c r="AF198" s="47">
        <f t="shared" si="53"/>
        <v>1</v>
      </c>
      <c r="AG198" s="50">
        <f>IF('Resultado da inspeção'!F198='Resultado da inspeção'!$W$3,0%,Ranking!R198)</f>
        <v>0.02</v>
      </c>
      <c r="AH198" s="50">
        <f>IF('Resultado da inspeção'!G198='Resultado da inspeção'!$W$3,0%,Ranking!S198)</f>
        <v>0.03</v>
      </c>
      <c r="AI198" s="50">
        <f>IF('Resultado da inspeção'!H198='Resultado da inspeção'!$W$3,0%,Ranking!T198)</f>
        <v>0.03</v>
      </c>
      <c r="AJ198" s="50">
        <f>IF('Resultado da inspeção'!I198='Resultado da inspeção'!$W$3,0%,Ranking!U198)</f>
        <v>0.1</v>
      </c>
      <c r="AK198" s="50">
        <f>IF('Resultado da inspeção'!J198='Resultado da inspeção'!$W$3,0%,Ranking!V198)</f>
        <v>0.21</v>
      </c>
      <c r="AL198" s="50">
        <f>IF('Resultado da inspeção'!K198='Resultado da inspeção'!$W$3,0%,Ranking!W198)</f>
        <v>0.05</v>
      </c>
      <c r="AM198" s="50">
        <f>IF('Resultado da inspeção'!L198='Resultado da inspeção'!$W$3,0%,Ranking!X198)</f>
        <v>0.24</v>
      </c>
      <c r="AN198" s="50">
        <f>IF('Resultado da inspeção'!M198='Resultado da inspeção'!$W$3,0%,Ranking!Y198)</f>
        <v>0.05</v>
      </c>
      <c r="AO198" s="50">
        <f>IF('Resultado da inspeção'!N198='Resultado da inspeção'!$W$3,0%,Ranking!Z198)</f>
        <v>0.04</v>
      </c>
      <c r="AP198" s="50">
        <f>IF('Resultado da inspeção'!O198='Resultado da inspeção'!$W$3,0%,Ranking!AA198)</f>
        <v>0.06</v>
      </c>
      <c r="AQ198" s="50">
        <f>IF('Resultado da inspeção'!P198='Resultado da inspeção'!$W$3,0%,Ranking!AB198)</f>
        <v>0.08</v>
      </c>
      <c r="AR198" s="50">
        <f>IF('Resultado da inspeção'!Q198='Resultado da inspeção'!$W$3,0%,Ranking!AC198)</f>
        <v>0.05</v>
      </c>
      <c r="AS198" s="50">
        <f>IF('Resultado da inspeção'!R198='Resultado da inspeção'!$W$3,0%,Ranking!AD198)</f>
        <v>0.02</v>
      </c>
      <c r="AT198" s="50">
        <f>IF('Resultado da inspeção'!S198='Resultado da inspeção'!$W$3,0%,Ranking!AE198)</f>
        <v>0.02</v>
      </c>
      <c r="AU198" s="49">
        <f t="shared" si="54"/>
        <v>1</v>
      </c>
    </row>
    <row r="199" spans="2:47" x14ac:dyDescent="0.25">
      <c r="B199" s="48">
        <f>IF('Resultado da inspeção'!F199='Resultado da inspeção'!$W$4,0%,Ranking!B$5)</f>
        <v>0.02</v>
      </c>
      <c r="C199" s="48">
        <f>IF('Resultado da inspeção'!G199='Resultado da inspeção'!$W$4,0%,Ranking!C$5)</f>
        <v>0.03</v>
      </c>
      <c r="D199" s="48">
        <f>IF('Resultado da inspeção'!H199='Resultado da inspeção'!$W$4,0%,Ranking!D$5)</f>
        <v>0.03</v>
      </c>
      <c r="E199" s="48">
        <f>IF('Resultado da inspeção'!I199='Resultado da inspeção'!$W$4,0%,Ranking!E$5)</f>
        <v>0.1</v>
      </c>
      <c r="F199" s="48">
        <f>IF('Resultado da inspeção'!J199='Resultado da inspeção'!$W$4,0%,Ranking!F$5)</f>
        <v>0.21</v>
      </c>
      <c r="G199" s="48">
        <f>IF('Resultado da inspeção'!K199='Resultado da inspeção'!$W$4,0%,Ranking!G$5)</f>
        <v>0.05</v>
      </c>
      <c r="H199" s="48">
        <f>IF('Resultado da inspeção'!L199='Resultado da inspeção'!$W$4,0%,Ranking!H$5)</f>
        <v>0.24</v>
      </c>
      <c r="I199" s="48">
        <f>IF('Resultado da inspeção'!M199='Resultado da inspeção'!$W$4,0%,Ranking!I$5)</f>
        <v>0.05</v>
      </c>
      <c r="J199" s="48">
        <f>IF('Resultado da inspeção'!N199='Resultado da inspeção'!$W$4,0%,Ranking!J$5)</f>
        <v>0.04</v>
      </c>
      <c r="K199" s="48">
        <f>IF('Resultado da inspeção'!O199='Resultado da inspeção'!$W$4,0%,Ranking!K$5)</f>
        <v>0.06</v>
      </c>
      <c r="L199" s="48">
        <f>IF('Resultado da inspeção'!P199='Resultado da inspeção'!$W$4,0%,Ranking!L$5)</f>
        <v>0.08</v>
      </c>
      <c r="M199" s="48">
        <f>IF('Resultado da inspeção'!Q199='Resultado da inspeção'!$W$4,0%,Ranking!M$5)</f>
        <v>0.05</v>
      </c>
      <c r="N199" s="48">
        <f>IF('Resultado da inspeção'!R199='Resultado da inspeção'!$W$4,0%,Ranking!N$5)</f>
        <v>0.02</v>
      </c>
      <c r="O199" s="48">
        <f>IF('Resultado da inspeção'!S199='Resultado da inspeção'!$W$4,0%,Ranking!O$5)</f>
        <v>0.02</v>
      </c>
      <c r="P199" s="47">
        <f t="shared" si="55"/>
        <v>1</v>
      </c>
      <c r="Q199" s="49">
        <f t="shared" ref="Q199:Q262" si="70">100%-P199</f>
        <v>0</v>
      </c>
      <c r="R199" s="50">
        <f t="shared" si="56"/>
        <v>0.02</v>
      </c>
      <c r="S199" s="50">
        <f t="shared" si="57"/>
        <v>0.03</v>
      </c>
      <c r="T199" s="50">
        <f t="shared" si="58"/>
        <v>0.03</v>
      </c>
      <c r="U199" s="50">
        <f t="shared" si="59"/>
        <v>0.1</v>
      </c>
      <c r="V199" s="50">
        <f t="shared" si="60"/>
        <v>0.21</v>
      </c>
      <c r="W199" s="50">
        <f t="shared" si="61"/>
        <v>0.05</v>
      </c>
      <c r="X199" s="50">
        <f t="shared" si="62"/>
        <v>0.24</v>
      </c>
      <c r="Y199" s="50">
        <f t="shared" si="63"/>
        <v>0.05</v>
      </c>
      <c r="Z199" s="50">
        <f t="shared" si="64"/>
        <v>0.04</v>
      </c>
      <c r="AA199" s="50">
        <f t="shared" si="65"/>
        <v>0.06</v>
      </c>
      <c r="AB199" s="50">
        <f t="shared" si="66"/>
        <v>0.08</v>
      </c>
      <c r="AC199" s="50">
        <f t="shared" si="67"/>
        <v>0.05</v>
      </c>
      <c r="AD199" s="50">
        <f t="shared" si="68"/>
        <v>0.02</v>
      </c>
      <c r="AE199" s="50">
        <f t="shared" si="69"/>
        <v>0.02</v>
      </c>
      <c r="AF199" s="47">
        <f t="shared" ref="AF199:AF262" si="71">SUM(R199:AE199)</f>
        <v>1</v>
      </c>
      <c r="AG199" s="50">
        <f>IF('Resultado da inspeção'!F199='Resultado da inspeção'!$W$3,0%,Ranking!R199)</f>
        <v>0.02</v>
      </c>
      <c r="AH199" s="50">
        <f>IF('Resultado da inspeção'!G199='Resultado da inspeção'!$W$3,0%,Ranking!S199)</f>
        <v>0.03</v>
      </c>
      <c r="AI199" s="50">
        <f>IF('Resultado da inspeção'!H199='Resultado da inspeção'!$W$3,0%,Ranking!T199)</f>
        <v>0.03</v>
      </c>
      <c r="AJ199" s="50">
        <f>IF('Resultado da inspeção'!I199='Resultado da inspeção'!$W$3,0%,Ranking!U199)</f>
        <v>0.1</v>
      </c>
      <c r="AK199" s="50">
        <f>IF('Resultado da inspeção'!J199='Resultado da inspeção'!$W$3,0%,Ranking!V199)</f>
        <v>0.21</v>
      </c>
      <c r="AL199" s="50">
        <f>IF('Resultado da inspeção'!K199='Resultado da inspeção'!$W$3,0%,Ranking!W199)</f>
        <v>0.05</v>
      </c>
      <c r="AM199" s="50">
        <f>IF('Resultado da inspeção'!L199='Resultado da inspeção'!$W$3,0%,Ranking!X199)</f>
        <v>0.24</v>
      </c>
      <c r="AN199" s="50">
        <f>IF('Resultado da inspeção'!M199='Resultado da inspeção'!$W$3,0%,Ranking!Y199)</f>
        <v>0.05</v>
      </c>
      <c r="AO199" s="50">
        <f>IF('Resultado da inspeção'!N199='Resultado da inspeção'!$W$3,0%,Ranking!Z199)</f>
        <v>0.04</v>
      </c>
      <c r="AP199" s="50">
        <f>IF('Resultado da inspeção'!O199='Resultado da inspeção'!$W$3,0%,Ranking!AA199)</f>
        <v>0.06</v>
      </c>
      <c r="AQ199" s="50">
        <f>IF('Resultado da inspeção'!P199='Resultado da inspeção'!$W$3,0%,Ranking!AB199)</f>
        <v>0.08</v>
      </c>
      <c r="AR199" s="50">
        <f>IF('Resultado da inspeção'!Q199='Resultado da inspeção'!$W$3,0%,Ranking!AC199)</f>
        <v>0.05</v>
      </c>
      <c r="AS199" s="50">
        <f>IF('Resultado da inspeção'!R199='Resultado da inspeção'!$W$3,0%,Ranking!AD199)</f>
        <v>0.02</v>
      </c>
      <c r="AT199" s="50">
        <f>IF('Resultado da inspeção'!S199='Resultado da inspeção'!$W$3,0%,Ranking!AE199)</f>
        <v>0.02</v>
      </c>
      <c r="AU199" s="49">
        <f t="shared" ref="AU199:AU262" si="72">SUM(AG199:AT199)</f>
        <v>1</v>
      </c>
    </row>
    <row r="200" spans="2:47" x14ac:dyDescent="0.25">
      <c r="B200" s="48">
        <f>IF('Resultado da inspeção'!F200='Resultado da inspeção'!$W$4,0%,Ranking!B$5)</f>
        <v>0.02</v>
      </c>
      <c r="C200" s="48">
        <f>IF('Resultado da inspeção'!G200='Resultado da inspeção'!$W$4,0%,Ranking!C$5)</f>
        <v>0.03</v>
      </c>
      <c r="D200" s="48">
        <f>IF('Resultado da inspeção'!H200='Resultado da inspeção'!$W$4,0%,Ranking!D$5)</f>
        <v>0.03</v>
      </c>
      <c r="E200" s="48">
        <f>IF('Resultado da inspeção'!I200='Resultado da inspeção'!$W$4,0%,Ranking!E$5)</f>
        <v>0.1</v>
      </c>
      <c r="F200" s="48">
        <f>IF('Resultado da inspeção'!J200='Resultado da inspeção'!$W$4,0%,Ranking!F$5)</f>
        <v>0.21</v>
      </c>
      <c r="G200" s="48">
        <f>IF('Resultado da inspeção'!K200='Resultado da inspeção'!$W$4,0%,Ranking!G$5)</f>
        <v>0.05</v>
      </c>
      <c r="H200" s="48">
        <f>IF('Resultado da inspeção'!L200='Resultado da inspeção'!$W$4,0%,Ranking!H$5)</f>
        <v>0.24</v>
      </c>
      <c r="I200" s="48">
        <f>IF('Resultado da inspeção'!M200='Resultado da inspeção'!$W$4,0%,Ranking!I$5)</f>
        <v>0.05</v>
      </c>
      <c r="J200" s="48">
        <f>IF('Resultado da inspeção'!N200='Resultado da inspeção'!$W$4,0%,Ranking!J$5)</f>
        <v>0.04</v>
      </c>
      <c r="K200" s="48">
        <f>IF('Resultado da inspeção'!O200='Resultado da inspeção'!$W$4,0%,Ranking!K$5)</f>
        <v>0.06</v>
      </c>
      <c r="L200" s="48">
        <f>IF('Resultado da inspeção'!P200='Resultado da inspeção'!$W$4,0%,Ranking!L$5)</f>
        <v>0.08</v>
      </c>
      <c r="M200" s="48">
        <f>IF('Resultado da inspeção'!Q200='Resultado da inspeção'!$W$4,0%,Ranking!M$5)</f>
        <v>0.05</v>
      </c>
      <c r="N200" s="48">
        <f>IF('Resultado da inspeção'!R200='Resultado da inspeção'!$W$4,0%,Ranking!N$5)</f>
        <v>0.02</v>
      </c>
      <c r="O200" s="48">
        <f>IF('Resultado da inspeção'!S200='Resultado da inspeção'!$W$4,0%,Ranking!O$5)</f>
        <v>0.02</v>
      </c>
      <c r="P200" s="47">
        <f t="shared" si="55"/>
        <v>1</v>
      </c>
      <c r="Q200" s="49">
        <f t="shared" si="70"/>
        <v>0</v>
      </c>
      <c r="R200" s="50">
        <f t="shared" si="56"/>
        <v>0.02</v>
      </c>
      <c r="S200" s="50">
        <f t="shared" si="57"/>
        <v>0.03</v>
      </c>
      <c r="T200" s="50">
        <f t="shared" si="58"/>
        <v>0.03</v>
      </c>
      <c r="U200" s="50">
        <f t="shared" si="59"/>
        <v>0.1</v>
      </c>
      <c r="V200" s="50">
        <f t="shared" si="60"/>
        <v>0.21</v>
      </c>
      <c r="W200" s="50">
        <f t="shared" si="61"/>
        <v>0.05</v>
      </c>
      <c r="X200" s="50">
        <f t="shared" si="62"/>
        <v>0.24</v>
      </c>
      <c r="Y200" s="50">
        <f t="shared" si="63"/>
        <v>0.05</v>
      </c>
      <c r="Z200" s="50">
        <f t="shared" si="64"/>
        <v>0.04</v>
      </c>
      <c r="AA200" s="50">
        <f t="shared" si="65"/>
        <v>0.06</v>
      </c>
      <c r="AB200" s="50">
        <f t="shared" si="66"/>
        <v>0.08</v>
      </c>
      <c r="AC200" s="50">
        <f t="shared" si="67"/>
        <v>0.05</v>
      </c>
      <c r="AD200" s="50">
        <f t="shared" si="68"/>
        <v>0.02</v>
      </c>
      <c r="AE200" s="50">
        <f t="shared" si="69"/>
        <v>0.02</v>
      </c>
      <c r="AF200" s="47">
        <f t="shared" si="71"/>
        <v>1</v>
      </c>
      <c r="AG200" s="50">
        <f>IF('Resultado da inspeção'!F200='Resultado da inspeção'!$W$3,0%,Ranking!R200)</f>
        <v>0.02</v>
      </c>
      <c r="AH200" s="50">
        <f>IF('Resultado da inspeção'!G200='Resultado da inspeção'!$W$3,0%,Ranking!S200)</f>
        <v>0.03</v>
      </c>
      <c r="AI200" s="50">
        <f>IF('Resultado da inspeção'!H200='Resultado da inspeção'!$W$3,0%,Ranking!T200)</f>
        <v>0.03</v>
      </c>
      <c r="AJ200" s="50">
        <f>IF('Resultado da inspeção'!I200='Resultado da inspeção'!$W$3,0%,Ranking!U200)</f>
        <v>0.1</v>
      </c>
      <c r="AK200" s="50">
        <f>IF('Resultado da inspeção'!J200='Resultado da inspeção'!$W$3,0%,Ranking!V200)</f>
        <v>0.21</v>
      </c>
      <c r="AL200" s="50">
        <f>IF('Resultado da inspeção'!K200='Resultado da inspeção'!$W$3,0%,Ranking!W200)</f>
        <v>0.05</v>
      </c>
      <c r="AM200" s="50">
        <f>IF('Resultado da inspeção'!L200='Resultado da inspeção'!$W$3,0%,Ranking!X200)</f>
        <v>0.24</v>
      </c>
      <c r="AN200" s="50">
        <f>IF('Resultado da inspeção'!M200='Resultado da inspeção'!$W$3,0%,Ranking!Y200)</f>
        <v>0.05</v>
      </c>
      <c r="AO200" s="50">
        <f>IF('Resultado da inspeção'!N200='Resultado da inspeção'!$W$3,0%,Ranking!Z200)</f>
        <v>0.04</v>
      </c>
      <c r="AP200" s="50">
        <f>IF('Resultado da inspeção'!O200='Resultado da inspeção'!$W$3,0%,Ranking!AA200)</f>
        <v>0.06</v>
      </c>
      <c r="AQ200" s="50">
        <f>IF('Resultado da inspeção'!P200='Resultado da inspeção'!$W$3,0%,Ranking!AB200)</f>
        <v>0.08</v>
      </c>
      <c r="AR200" s="50">
        <f>IF('Resultado da inspeção'!Q200='Resultado da inspeção'!$W$3,0%,Ranking!AC200)</f>
        <v>0.05</v>
      </c>
      <c r="AS200" s="50">
        <f>IF('Resultado da inspeção'!R200='Resultado da inspeção'!$W$3,0%,Ranking!AD200)</f>
        <v>0.02</v>
      </c>
      <c r="AT200" s="50">
        <f>IF('Resultado da inspeção'!S200='Resultado da inspeção'!$W$3,0%,Ranking!AE200)</f>
        <v>0.02</v>
      </c>
      <c r="AU200" s="49">
        <f t="shared" si="72"/>
        <v>1</v>
      </c>
    </row>
    <row r="201" spans="2:47" x14ac:dyDescent="0.25">
      <c r="B201" s="48">
        <f>IF('Resultado da inspeção'!F201='Resultado da inspeção'!$W$4,0%,Ranking!B$5)</f>
        <v>0.02</v>
      </c>
      <c r="C201" s="48">
        <f>IF('Resultado da inspeção'!G201='Resultado da inspeção'!$W$4,0%,Ranking!C$5)</f>
        <v>0.03</v>
      </c>
      <c r="D201" s="48">
        <f>IF('Resultado da inspeção'!H201='Resultado da inspeção'!$W$4,0%,Ranking!D$5)</f>
        <v>0.03</v>
      </c>
      <c r="E201" s="48">
        <f>IF('Resultado da inspeção'!I201='Resultado da inspeção'!$W$4,0%,Ranking!E$5)</f>
        <v>0.1</v>
      </c>
      <c r="F201" s="48">
        <f>IF('Resultado da inspeção'!J201='Resultado da inspeção'!$W$4,0%,Ranking!F$5)</f>
        <v>0.21</v>
      </c>
      <c r="G201" s="48">
        <f>IF('Resultado da inspeção'!K201='Resultado da inspeção'!$W$4,0%,Ranking!G$5)</f>
        <v>0.05</v>
      </c>
      <c r="H201" s="48">
        <f>IF('Resultado da inspeção'!L201='Resultado da inspeção'!$W$4,0%,Ranking!H$5)</f>
        <v>0.24</v>
      </c>
      <c r="I201" s="48">
        <f>IF('Resultado da inspeção'!M201='Resultado da inspeção'!$W$4,0%,Ranking!I$5)</f>
        <v>0.05</v>
      </c>
      <c r="J201" s="48">
        <f>IF('Resultado da inspeção'!N201='Resultado da inspeção'!$W$4,0%,Ranking!J$5)</f>
        <v>0.04</v>
      </c>
      <c r="K201" s="48">
        <f>IF('Resultado da inspeção'!O201='Resultado da inspeção'!$W$4,0%,Ranking!K$5)</f>
        <v>0.06</v>
      </c>
      <c r="L201" s="48">
        <f>IF('Resultado da inspeção'!P201='Resultado da inspeção'!$W$4,0%,Ranking!L$5)</f>
        <v>0.08</v>
      </c>
      <c r="M201" s="48">
        <f>IF('Resultado da inspeção'!Q201='Resultado da inspeção'!$W$4,0%,Ranking!M$5)</f>
        <v>0.05</v>
      </c>
      <c r="N201" s="48">
        <f>IF('Resultado da inspeção'!R201='Resultado da inspeção'!$W$4,0%,Ranking!N$5)</f>
        <v>0.02</v>
      </c>
      <c r="O201" s="48">
        <f>IF('Resultado da inspeção'!S201='Resultado da inspeção'!$W$4,0%,Ranking!O$5)</f>
        <v>0.02</v>
      </c>
      <c r="P201" s="47">
        <f t="shared" si="55"/>
        <v>1</v>
      </c>
      <c r="Q201" s="49">
        <f t="shared" si="70"/>
        <v>0</v>
      </c>
      <c r="R201" s="50">
        <f t="shared" si="56"/>
        <v>0.02</v>
      </c>
      <c r="S201" s="50">
        <f t="shared" si="57"/>
        <v>0.03</v>
      </c>
      <c r="T201" s="50">
        <f t="shared" si="58"/>
        <v>0.03</v>
      </c>
      <c r="U201" s="50">
        <f t="shared" si="59"/>
        <v>0.1</v>
      </c>
      <c r="V201" s="50">
        <f t="shared" si="60"/>
        <v>0.21</v>
      </c>
      <c r="W201" s="50">
        <f t="shared" si="61"/>
        <v>0.05</v>
      </c>
      <c r="X201" s="50">
        <f t="shared" si="62"/>
        <v>0.24</v>
      </c>
      <c r="Y201" s="50">
        <f t="shared" si="63"/>
        <v>0.05</v>
      </c>
      <c r="Z201" s="50">
        <f t="shared" si="64"/>
        <v>0.04</v>
      </c>
      <c r="AA201" s="50">
        <f t="shared" si="65"/>
        <v>0.06</v>
      </c>
      <c r="AB201" s="50">
        <f t="shared" si="66"/>
        <v>0.08</v>
      </c>
      <c r="AC201" s="50">
        <f t="shared" si="67"/>
        <v>0.05</v>
      </c>
      <c r="AD201" s="50">
        <f t="shared" si="68"/>
        <v>0.02</v>
      </c>
      <c r="AE201" s="50">
        <f t="shared" si="69"/>
        <v>0.02</v>
      </c>
      <c r="AF201" s="47">
        <f t="shared" si="71"/>
        <v>1</v>
      </c>
      <c r="AG201" s="50">
        <f>IF('Resultado da inspeção'!F201='Resultado da inspeção'!$W$3,0%,Ranking!R201)</f>
        <v>0.02</v>
      </c>
      <c r="AH201" s="50">
        <f>IF('Resultado da inspeção'!G201='Resultado da inspeção'!$W$3,0%,Ranking!S201)</f>
        <v>0.03</v>
      </c>
      <c r="AI201" s="50">
        <f>IF('Resultado da inspeção'!H201='Resultado da inspeção'!$W$3,0%,Ranking!T201)</f>
        <v>0.03</v>
      </c>
      <c r="AJ201" s="50">
        <f>IF('Resultado da inspeção'!I201='Resultado da inspeção'!$W$3,0%,Ranking!U201)</f>
        <v>0.1</v>
      </c>
      <c r="AK201" s="50">
        <f>IF('Resultado da inspeção'!J201='Resultado da inspeção'!$W$3,0%,Ranking!V201)</f>
        <v>0.21</v>
      </c>
      <c r="AL201" s="50">
        <f>IF('Resultado da inspeção'!K201='Resultado da inspeção'!$W$3,0%,Ranking!W201)</f>
        <v>0.05</v>
      </c>
      <c r="AM201" s="50">
        <f>IF('Resultado da inspeção'!L201='Resultado da inspeção'!$W$3,0%,Ranking!X201)</f>
        <v>0.24</v>
      </c>
      <c r="AN201" s="50">
        <f>IF('Resultado da inspeção'!M201='Resultado da inspeção'!$W$3,0%,Ranking!Y201)</f>
        <v>0.05</v>
      </c>
      <c r="AO201" s="50">
        <f>IF('Resultado da inspeção'!N201='Resultado da inspeção'!$W$3,0%,Ranking!Z201)</f>
        <v>0.04</v>
      </c>
      <c r="AP201" s="50">
        <f>IF('Resultado da inspeção'!O201='Resultado da inspeção'!$W$3,0%,Ranking!AA201)</f>
        <v>0.06</v>
      </c>
      <c r="AQ201" s="50">
        <f>IF('Resultado da inspeção'!P201='Resultado da inspeção'!$W$3,0%,Ranking!AB201)</f>
        <v>0.08</v>
      </c>
      <c r="AR201" s="50">
        <f>IF('Resultado da inspeção'!Q201='Resultado da inspeção'!$W$3,0%,Ranking!AC201)</f>
        <v>0.05</v>
      </c>
      <c r="AS201" s="50">
        <f>IF('Resultado da inspeção'!R201='Resultado da inspeção'!$W$3,0%,Ranking!AD201)</f>
        <v>0.02</v>
      </c>
      <c r="AT201" s="50">
        <f>IF('Resultado da inspeção'!S201='Resultado da inspeção'!$W$3,0%,Ranking!AE201)</f>
        <v>0.02</v>
      </c>
      <c r="AU201" s="49">
        <f t="shared" si="72"/>
        <v>1</v>
      </c>
    </row>
    <row r="202" spans="2:47" x14ac:dyDescent="0.25">
      <c r="B202" s="48">
        <f>IF('Resultado da inspeção'!F202='Resultado da inspeção'!$W$4,0%,Ranking!B$5)</f>
        <v>0.02</v>
      </c>
      <c r="C202" s="48">
        <f>IF('Resultado da inspeção'!G202='Resultado da inspeção'!$W$4,0%,Ranking!C$5)</f>
        <v>0.03</v>
      </c>
      <c r="D202" s="48">
        <f>IF('Resultado da inspeção'!H202='Resultado da inspeção'!$W$4,0%,Ranking!D$5)</f>
        <v>0.03</v>
      </c>
      <c r="E202" s="48">
        <f>IF('Resultado da inspeção'!I202='Resultado da inspeção'!$W$4,0%,Ranking!E$5)</f>
        <v>0.1</v>
      </c>
      <c r="F202" s="48">
        <f>IF('Resultado da inspeção'!J202='Resultado da inspeção'!$W$4,0%,Ranking!F$5)</f>
        <v>0.21</v>
      </c>
      <c r="G202" s="48">
        <f>IF('Resultado da inspeção'!K202='Resultado da inspeção'!$W$4,0%,Ranking!G$5)</f>
        <v>0.05</v>
      </c>
      <c r="H202" s="48">
        <f>IF('Resultado da inspeção'!L202='Resultado da inspeção'!$W$4,0%,Ranking!H$5)</f>
        <v>0.24</v>
      </c>
      <c r="I202" s="48">
        <f>IF('Resultado da inspeção'!M202='Resultado da inspeção'!$W$4,0%,Ranking!I$5)</f>
        <v>0.05</v>
      </c>
      <c r="J202" s="48">
        <f>IF('Resultado da inspeção'!N202='Resultado da inspeção'!$W$4,0%,Ranking!J$5)</f>
        <v>0.04</v>
      </c>
      <c r="K202" s="48">
        <f>IF('Resultado da inspeção'!O202='Resultado da inspeção'!$W$4,0%,Ranking!K$5)</f>
        <v>0.06</v>
      </c>
      <c r="L202" s="48">
        <f>IF('Resultado da inspeção'!P202='Resultado da inspeção'!$W$4,0%,Ranking!L$5)</f>
        <v>0.08</v>
      </c>
      <c r="M202" s="48">
        <f>IF('Resultado da inspeção'!Q202='Resultado da inspeção'!$W$4,0%,Ranking!M$5)</f>
        <v>0.05</v>
      </c>
      <c r="N202" s="48">
        <f>IF('Resultado da inspeção'!R202='Resultado da inspeção'!$W$4,0%,Ranking!N$5)</f>
        <v>0.02</v>
      </c>
      <c r="O202" s="48">
        <f>IF('Resultado da inspeção'!S202='Resultado da inspeção'!$W$4,0%,Ranking!O$5)</f>
        <v>0.02</v>
      </c>
      <c r="P202" s="47">
        <f t="shared" si="55"/>
        <v>1</v>
      </c>
      <c r="Q202" s="49">
        <f t="shared" si="70"/>
        <v>0</v>
      </c>
      <c r="R202" s="50">
        <f t="shared" si="56"/>
        <v>0.02</v>
      </c>
      <c r="S202" s="50">
        <f t="shared" si="57"/>
        <v>0.03</v>
      </c>
      <c r="T202" s="50">
        <f t="shared" si="58"/>
        <v>0.03</v>
      </c>
      <c r="U202" s="50">
        <f t="shared" si="59"/>
        <v>0.1</v>
      </c>
      <c r="V202" s="50">
        <f t="shared" si="60"/>
        <v>0.21</v>
      </c>
      <c r="W202" s="50">
        <f t="shared" si="61"/>
        <v>0.05</v>
      </c>
      <c r="X202" s="50">
        <f t="shared" si="62"/>
        <v>0.24</v>
      </c>
      <c r="Y202" s="50">
        <f t="shared" si="63"/>
        <v>0.05</v>
      </c>
      <c r="Z202" s="50">
        <f t="shared" si="64"/>
        <v>0.04</v>
      </c>
      <c r="AA202" s="50">
        <f t="shared" si="65"/>
        <v>0.06</v>
      </c>
      <c r="AB202" s="50">
        <f t="shared" si="66"/>
        <v>0.08</v>
      </c>
      <c r="AC202" s="50">
        <f t="shared" si="67"/>
        <v>0.05</v>
      </c>
      <c r="AD202" s="50">
        <f t="shared" si="68"/>
        <v>0.02</v>
      </c>
      <c r="AE202" s="50">
        <f t="shared" si="69"/>
        <v>0.02</v>
      </c>
      <c r="AF202" s="47">
        <f t="shared" si="71"/>
        <v>1</v>
      </c>
      <c r="AG202" s="50">
        <f>IF('Resultado da inspeção'!F202='Resultado da inspeção'!$W$3,0%,Ranking!R202)</f>
        <v>0.02</v>
      </c>
      <c r="AH202" s="50">
        <f>IF('Resultado da inspeção'!G202='Resultado da inspeção'!$W$3,0%,Ranking!S202)</f>
        <v>0.03</v>
      </c>
      <c r="AI202" s="50">
        <f>IF('Resultado da inspeção'!H202='Resultado da inspeção'!$W$3,0%,Ranking!T202)</f>
        <v>0.03</v>
      </c>
      <c r="AJ202" s="50">
        <f>IF('Resultado da inspeção'!I202='Resultado da inspeção'!$W$3,0%,Ranking!U202)</f>
        <v>0.1</v>
      </c>
      <c r="AK202" s="50">
        <f>IF('Resultado da inspeção'!J202='Resultado da inspeção'!$W$3,0%,Ranking!V202)</f>
        <v>0.21</v>
      </c>
      <c r="AL202" s="50">
        <f>IF('Resultado da inspeção'!K202='Resultado da inspeção'!$W$3,0%,Ranking!W202)</f>
        <v>0.05</v>
      </c>
      <c r="AM202" s="50">
        <f>IF('Resultado da inspeção'!L202='Resultado da inspeção'!$W$3,0%,Ranking!X202)</f>
        <v>0.24</v>
      </c>
      <c r="AN202" s="50">
        <f>IF('Resultado da inspeção'!M202='Resultado da inspeção'!$W$3,0%,Ranking!Y202)</f>
        <v>0.05</v>
      </c>
      <c r="AO202" s="50">
        <f>IF('Resultado da inspeção'!N202='Resultado da inspeção'!$W$3,0%,Ranking!Z202)</f>
        <v>0.04</v>
      </c>
      <c r="AP202" s="50">
        <f>IF('Resultado da inspeção'!O202='Resultado da inspeção'!$W$3,0%,Ranking!AA202)</f>
        <v>0.06</v>
      </c>
      <c r="AQ202" s="50">
        <f>IF('Resultado da inspeção'!P202='Resultado da inspeção'!$W$3,0%,Ranking!AB202)</f>
        <v>0.08</v>
      </c>
      <c r="AR202" s="50">
        <f>IF('Resultado da inspeção'!Q202='Resultado da inspeção'!$W$3,0%,Ranking!AC202)</f>
        <v>0.05</v>
      </c>
      <c r="AS202" s="50">
        <f>IF('Resultado da inspeção'!R202='Resultado da inspeção'!$W$3,0%,Ranking!AD202)</f>
        <v>0.02</v>
      </c>
      <c r="AT202" s="50">
        <f>IF('Resultado da inspeção'!S202='Resultado da inspeção'!$W$3,0%,Ranking!AE202)</f>
        <v>0.02</v>
      </c>
      <c r="AU202" s="49">
        <f t="shared" si="72"/>
        <v>1</v>
      </c>
    </row>
    <row r="203" spans="2:47" x14ac:dyDescent="0.25">
      <c r="B203" s="48">
        <f>IF('Resultado da inspeção'!F203='Resultado da inspeção'!$W$4,0%,Ranking!B$5)</f>
        <v>0.02</v>
      </c>
      <c r="C203" s="48">
        <f>IF('Resultado da inspeção'!G203='Resultado da inspeção'!$W$4,0%,Ranking!C$5)</f>
        <v>0.03</v>
      </c>
      <c r="D203" s="48">
        <f>IF('Resultado da inspeção'!H203='Resultado da inspeção'!$W$4,0%,Ranking!D$5)</f>
        <v>0.03</v>
      </c>
      <c r="E203" s="48">
        <f>IF('Resultado da inspeção'!I203='Resultado da inspeção'!$W$4,0%,Ranking!E$5)</f>
        <v>0.1</v>
      </c>
      <c r="F203" s="48">
        <f>IF('Resultado da inspeção'!J203='Resultado da inspeção'!$W$4,0%,Ranking!F$5)</f>
        <v>0.21</v>
      </c>
      <c r="G203" s="48">
        <f>IF('Resultado da inspeção'!K203='Resultado da inspeção'!$W$4,0%,Ranking!G$5)</f>
        <v>0.05</v>
      </c>
      <c r="H203" s="48">
        <f>IF('Resultado da inspeção'!L203='Resultado da inspeção'!$W$4,0%,Ranking!H$5)</f>
        <v>0.24</v>
      </c>
      <c r="I203" s="48">
        <f>IF('Resultado da inspeção'!M203='Resultado da inspeção'!$W$4,0%,Ranking!I$5)</f>
        <v>0.05</v>
      </c>
      <c r="J203" s="48">
        <f>IF('Resultado da inspeção'!N203='Resultado da inspeção'!$W$4,0%,Ranking!J$5)</f>
        <v>0.04</v>
      </c>
      <c r="K203" s="48">
        <f>IF('Resultado da inspeção'!O203='Resultado da inspeção'!$W$4,0%,Ranking!K$5)</f>
        <v>0.06</v>
      </c>
      <c r="L203" s="48">
        <f>IF('Resultado da inspeção'!P203='Resultado da inspeção'!$W$4,0%,Ranking!L$5)</f>
        <v>0.08</v>
      </c>
      <c r="M203" s="48">
        <f>IF('Resultado da inspeção'!Q203='Resultado da inspeção'!$W$4,0%,Ranking!M$5)</f>
        <v>0.05</v>
      </c>
      <c r="N203" s="48">
        <f>IF('Resultado da inspeção'!R203='Resultado da inspeção'!$W$4,0%,Ranking!N$5)</f>
        <v>0.02</v>
      </c>
      <c r="O203" s="48">
        <f>IF('Resultado da inspeção'!S203='Resultado da inspeção'!$W$4,0%,Ranking!O$5)</f>
        <v>0.02</v>
      </c>
      <c r="P203" s="47">
        <f t="shared" si="55"/>
        <v>1</v>
      </c>
      <c r="Q203" s="49">
        <f t="shared" si="70"/>
        <v>0</v>
      </c>
      <c r="R203" s="50">
        <f t="shared" si="56"/>
        <v>0.02</v>
      </c>
      <c r="S203" s="50">
        <f t="shared" si="57"/>
        <v>0.03</v>
      </c>
      <c r="T203" s="50">
        <f t="shared" si="58"/>
        <v>0.03</v>
      </c>
      <c r="U203" s="50">
        <f t="shared" si="59"/>
        <v>0.1</v>
      </c>
      <c r="V203" s="50">
        <f t="shared" si="60"/>
        <v>0.21</v>
      </c>
      <c r="W203" s="50">
        <f t="shared" si="61"/>
        <v>0.05</v>
      </c>
      <c r="X203" s="50">
        <f t="shared" si="62"/>
        <v>0.24</v>
      </c>
      <c r="Y203" s="50">
        <f t="shared" si="63"/>
        <v>0.05</v>
      </c>
      <c r="Z203" s="50">
        <f t="shared" si="64"/>
        <v>0.04</v>
      </c>
      <c r="AA203" s="50">
        <f t="shared" si="65"/>
        <v>0.06</v>
      </c>
      <c r="AB203" s="50">
        <f t="shared" si="66"/>
        <v>0.08</v>
      </c>
      <c r="AC203" s="50">
        <f t="shared" si="67"/>
        <v>0.05</v>
      </c>
      <c r="AD203" s="50">
        <f t="shared" si="68"/>
        <v>0.02</v>
      </c>
      <c r="AE203" s="50">
        <f t="shared" si="69"/>
        <v>0.02</v>
      </c>
      <c r="AF203" s="47">
        <f t="shared" si="71"/>
        <v>1</v>
      </c>
      <c r="AG203" s="50">
        <f>IF('Resultado da inspeção'!F203='Resultado da inspeção'!$W$3,0%,Ranking!R203)</f>
        <v>0.02</v>
      </c>
      <c r="AH203" s="50">
        <f>IF('Resultado da inspeção'!G203='Resultado da inspeção'!$W$3,0%,Ranking!S203)</f>
        <v>0.03</v>
      </c>
      <c r="AI203" s="50">
        <f>IF('Resultado da inspeção'!H203='Resultado da inspeção'!$W$3,0%,Ranking!T203)</f>
        <v>0.03</v>
      </c>
      <c r="AJ203" s="50">
        <f>IF('Resultado da inspeção'!I203='Resultado da inspeção'!$W$3,0%,Ranking!U203)</f>
        <v>0.1</v>
      </c>
      <c r="AK203" s="50">
        <f>IF('Resultado da inspeção'!J203='Resultado da inspeção'!$W$3,0%,Ranking!V203)</f>
        <v>0.21</v>
      </c>
      <c r="AL203" s="50">
        <f>IF('Resultado da inspeção'!K203='Resultado da inspeção'!$W$3,0%,Ranking!W203)</f>
        <v>0.05</v>
      </c>
      <c r="AM203" s="50">
        <f>IF('Resultado da inspeção'!L203='Resultado da inspeção'!$W$3,0%,Ranking!X203)</f>
        <v>0.24</v>
      </c>
      <c r="AN203" s="50">
        <f>IF('Resultado da inspeção'!M203='Resultado da inspeção'!$W$3,0%,Ranking!Y203)</f>
        <v>0.05</v>
      </c>
      <c r="AO203" s="50">
        <f>IF('Resultado da inspeção'!N203='Resultado da inspeção'!$W$3,0%,Ranking!Z203)</f>
        <v>0.04</v>
      </c>
      <c r="AP203" s="50">
        <f>IF('Resultado da inspeção'!O203='Resultado da inspeção'!$W$3,0%,Ranking!AA203)</f>
        <v>0.06</v>
      </c>
      <c r="AQ203" s="50">
        <f>IF('Resultado da inspeção'!P203='Resultado da inspeção'!$W$3,0%,Ranking!AB203)</f>
        <v>0.08</v>
      </c>
      <c r="AR203" s="50">
        <f>IF('Resultado da inspeção'!Q203='Resultado da inspeção'!$W$3,0%,Ranking!AC203)</f>
        <v>0.05</v>
      </c>
      <c r="AS203" s="50">
        <f>IF('Resultado da inspeção'!R203='Resultado da inspeção'!$W$3,0%,Ranking!AD203)</f>
        <v>0.02</v>
      </c>
      <c r="AT203" s="50">
        <f>IF('Resultado da inspeção'!S203='Resultado da inspeção'!$W$3,0%,Ranking!AE203)</f>
        <v>0.02</v>
      </c>
      <c r="AU203" s="49">
        <f t="shared" si="72"/>
        <v>1</v>
      </c>
    </row>
    <row r="204" spans="2:47" x14ac:dyDescent="0.25">
      <c r="B204" s="48">
        <f>IF('Resultado da inspeção'!F204='Resultado da inspeção'!$W$4,0%,Ranking!B$5)</f>
        <v>0.02</v>
      </c>
      <c r="C204" s="48">
        <f>IF('Resultado da inspeção'!G204='Resultado da inspeção'!$W$4,0%,Ranking!C$5)</f>
        <v>0.03</v>
      </c>
      <c r="D204" s="48">
        <f>IF('Resultado da inspeção'!H204='Resultado da inspeção'!$W$4,0%,Ranking!D$5)</f>
        <v>0.03</v>
      </c>
      <c r="E204" s="48">
        <f>IF('Resultado da inspeção'!I204='Resultado da inspeção'!$W$4,0%,Ranking!E$5)</f>
        <v>0.1</v>
      </c>
      <c r="F204" s="48">
        <f>IF('Resultado da inspeção'!J204='Resultado da inspeção'!$W$4,0%,Ranking!F$5)</f>
        <v>0.21</v>
      </c>
      <c r="G204" s="48">
        <f>IF('Resultado da inspeção'!K204='Resultado da inspeção'!$W$4,0%,Ranking!G$5)</f>
        <v>0.05</v>
      </c>
      <c r="H204" s="48">
        <f>IF('Resultado da inspeção'!L204='Resultado da inspeção'!$W$4,0%,Ranking!H$5)</f>
        <v>0.24</v>
      </c>
      <c r="I204" s="48">
        <f>IF('Resultado da inspeção'!M204='Resultado da inspeção'!$W$4,0%,Ranking!I$5)</f>
        <v>0.05</v>
      </c>
      <c r="J204" s="48">
        <f>IF('Resultado da inspeção'!N204='Resultado da inspeção'!$W$4,0%,Ranking!J$5)</f>
        <v>0.04</v>
      </c>
      <c r="K204" s="48">
        <f>IF('Resultado da inspeção'!O204='Resultado da inspeção'!$W$4,0%,Ranking!K$5)</f>
        <v>0.06</v>
      </c>
      <c r="L204" s="48">
        <f>IF('Resultado da inspeção'!P204='Resultado da inspeção'!$W$4,0%,Ranking!L$5)</f>
        <v>0.08</v>
      </c>
      <c r="M204" s="48">
        <f>IF('Resultado da inspeção'!Q204='Resultado da inspeção'!$W$4,0%,Ranking!M$5)</f>
        <v>0.05</v>
      </c>
      <c r="N204" s="48">
        <f>IF('Resultado da inspeção'!R204='Resultado da inspeção'!$W$4,0%,Ranking!N$5)</f>
        <v>0.02</v>
      </c>
      <c r="O204" s="48">
        <f>IF('Resultado da inspeção'!S204='Resultado da inspeção'!$W$4,0%,Ranking!O$5)</f>
        <v>0.02</v>
      </c>
      <c r="P204" s="47">
        <f t="shared" si="55"/>
        <v>1</v>
      </c>
      <c r="Q204" s="49">
        <f t="shared" si="70"/>
        <v>0</v>
      </c>
      <c r="R204" s="50">
        <f t="shared" si="56"/>
        <v>0.02</v>
      </c>
      <c r="S204" s="50">
        <f t="shared" si="57"/>
        <v>0.03</v>
      </c>
      <c r="T204" s="50">
        <f t="shared" si="58"/>
        <v>0.03</v>
      </c>
      <c r="U204" s="50">
        <f t="shared" si="59"/>
        <v>0.1</v>
      </c>
      <c r="V204" s="50">
        <f t="shared" si="60"/>
        <v>0.21</v>
      </c>
      <c r="W204" s="50">
        <f t="shared" si="61"/>
        <v>0.05</v>
      </c>
      <c r="X204" s="50">
        <f t="shared" si="62"/>
        <v>0.24</v>
      </c>
      <c r="Y204" s="50">
        <f t="shared" si="63"/>
        <v>0.05</v>
      </c>
      <c r="Z204" s="50">
        <f t="shared" si="64"/>
        <v>0.04</v>
      </c>
      <c r="AA204" s="50">
        <f t="shared" si="65"/>
        <v>0.06</v>
      </c>
      <c r="AB204" s="50">
        <f t="shared" si="66"/>
        <v>0.08</v>
      </c>
      <c r="AC204" s="50">
        <f t="shared" si="67"/>
        <v>0.05</v>
      </c>
      <c r="AD204" s="50">
        <f t="shared" si="68"/>
        <v>0.02</v>
      </c>
      <c r="AE204" s="50">
        <f t="shared" si="69"/>
        <v>0.02</v>
      </c>
      <c r="AF204" s="47">
        <f t="shared" si="71"/>
        <v>1</v>
      </c>
      <c r="AG204" s="50">
        <f>IF('Resultado da inspeção'!F204='Resultado da inspeção'!$W$3,0%,Ranking!R204)</f>
        <v>0.02</v>
      </c>
      <c r="AH204" s="50">
        <f>IF('Resultado da inspeção'!G204='Resultado da inspeção'!$W$3,0%,Ranking!S204)</f>
        <v>0.03</v>
      </c>
      <c r="AI204" s="50">
        <f>IF('Resultado da inspeção'!H204='Resultado da inspeção'!$W$3,0%,Ranking!T204)</f>
        <v>0.03</v>
      </c>
      <c r="AJ204" s="50">
        <f>IF('Resultado da inspeção'!I204='Resultado da inspeção'!$W$3,0%,Ranking!U204)</f>
        <v>0.1</v>
      </c>
      <c r="AK204" s="50">
        <f>IF('Resultado da inspeção'!J204='Resultado da inspeção'!$W$3,0%,Ranking!V204)</f>
        <v>0.21</v>
      </c>
      <c r="AL204" s="50">
        <f>IF('Resultado da inspeção'!K204='Resultado da inspeção'!$W$3,0%,Ranking!W204)</f>
        <v>0.05</v>
      </c>
      <c r="AM204" s="50">
        <f>IF('Resultado da inspeção'!L204='Resultado da inspeção'!$W$3,0%,Ranking!X204)</f>
        <v>0.24</v>
      </c>
      <c r="AN204" s="50">
        <f>IF('Resultado da inspeção'!M204='Resultado da inspeção'!$W$3,0%,Ranking!Y204)</f>
        <v>0.05</v>
      </c>
      <c r="AO204" s="50">
        <f>IF('Resultado da inspeção'!N204='Resultado da inspeção'!$W$3,0%,Ranking!Z204)</f>
        <v>0.04</v>
      </c>
      <c r="AP204" s="50">
        <f>IF('Resultado da inspeção'!O204='Resultado da inspeção'!$W$3,0%,Ranking!AA204)</f>
        <v>0.06</v>
      </c>
      <c r="AQ204" s="50">
        <f>IF('Resultado da inspeção'!P204='Resultado da inspeção'!$W$3,0%,Ranking!AB204)</f>
        <v>0.08</v>
      </c>
      <c r="AR204" s="50">
        <f>IF('Resultado da inspeção'!Q204='Resultado da inspeção'!$W$3,0%,Ranking!AC204)</f>
        <v>0.05</v>
      </c>
      <c r="AS204" s="50">
        <f>IF('Resultado da inspeção'!R204='Resultado da inspeção'!$W$3,0%,Ranking!AD204)</f>
        <v>0.02</v>
      </c>
      <c r="AT204" s="50">
        <f>IF('Resultado da inspeção'!S204='Resultado da inspeção'!$W$3,0%,Ranking!AE204)</f>
        <v>0.02</v>
      </c>
      <c r="AU204" s="49">
        <f t="shared" si="72"/>
        <v>1</v>
      </c>
    </row>
    <row r="205" spans="2:47" x14ac:dyDescent="0.25">
      <c r="B205" s="48">
        <f>IF('Resultado da inspeção'!F205='Resultado da inspeção'!$W$4,0%,Ranking!B$5)</f>
        <v>0.02</v>
      </c>
      <c r="C205" s="48">
        <f>IF('Resultado da inspeção'!G205='Resultado da inspeção'!$W$4,0%,Ranking!C$5)</f>
        <v>0.03</v>
      </c>
      <c r="D205" s="48">
        <f>IF('Resultado da inspeção'!H205='Resultado da inspeção'!$W$4,0%,Ranking!D$5)</f>
        <v>0.03</v>
      </c>
      <c r="E205" s="48">
        <f>IF('Resultado da inspeção'!I205='Resultado da inspeção'!$W$4,0%,Ranking!E$5)</f>
        <v>0.1</v>
      </c>
      <c r="F205" s="48">
        <f>IF('Resultado da inspeção'!J205='Resultado da inspeção'!$W$4,0%,Ranking!F$5)</f>
        <v>0.21</v>
      </c>
      <c r="G205" s="48">
        <f>IF('Resultado da inspeção'!K205='Resultado da inspeção'!$W$4,0%,Ranking!G$5)</f>
        <v>0.05</v>
      </c>
      <c r="H205" s="48">
        <f>IF('Resultado da inspeção'!L205='Resultado da inspeção'!$W$4,0%,Ranking!H$5)</f>
        <v>0.24</v>
      </c>
      <c r="I205" s="48">
        <f>IF('Resultado da inspeção'!M205='Resultado da inspeção'!$W$4,0%,Ranking!I$5)</f>
        <v>0.05</v>
      </c>
      <c r="J205" s="48">
        <f>IF('Resultado da inspeção'!N205='Resultado da inspeção'!$W$4,0%,Ranking!J$5)</f>
        <v>0.04</v>
      </c>
      <c r="K205" s="48">
        <f>IF('Resultado da inspeção'!O205='Resultado da inspeção'!$W$4,0%,Ranking!K$5)</f>
        <v>0.06</v>
      </c>
      <c r="L205" s="48">
        <f>IF('Resultado da inspeção'!P205='Resultado da inspeção'!$W$4,0%,Ranking!L$5)</f>
        <v>0.08</v>
      </c>
      <c r="M205" s="48">
        <f>IF('Resultado da inspeção'!Q205='Resultado da inspeção'!$W$4,0%,Ranking!M$5)</f>
        <v>0.05</v>
      </c>
      <c r="N205" s="48">
        <f>IF('Resultado da inspeção'!R205='Resultado da inspeção'!$W$4,0%,Ranking!N$5)</f>
        <v>0.02</v>
      </c>
      <c r="O205" s="48">
        <f>IF('Resultado da inspeção'!S205='Resultado da inspeção'!$W$4,0%,Ranking!O$5)</f>
        <v>0.02</v>
      </c>
      <c r="P205" s="47">
        <f t="shared" si="55"/>
        <v>1</v>
      </c>
      <c r="Q205" s="49">
        <f t="shared" si="70"/>
        <v>0</v>
      </c>
      <c r="R205" s="50">
        <f t="shared" si="56"/>
        <v>0.02</v>
      </c>
      <c r="S205" s="50">
        <f t="shared" si="57"/>
        <v>0.03</v>
      </c>
      <c r="T205" s="50">
        <f t="shared" si="58"/>
        <v>0.03</v>
      </c>
      <c r="U205" s="50">
        <f t="shared" si="59"/>
        <v>0.1</v>
      </c>
      <c r="V205" s="50">
        <f t="shared" si="60"/>
        <v>0.21</v>
      </c>
      <c r="W205" s="50">
        <f t="shared" si="61"/>
        <v>0.05</v>
      </c>
      <c r="X205" s="50">
        <f t="shared" si="62"/>
        <v>0.24</v>
      </c>
      <c r="Y205" s="50">
        <f t="shared" si="63"/>
        <v>0.05</v>
      </c>
      <c r="Z205" s="50">
        <f t="shared" si="64"/>
        <v>0.04</v>
      </c>
      <c r="AA205" s="50">
        <f t="shared" si="65"/>
        <v>0.06</v>
      </c>
      <c r="AB205" s="50">
        <f t="shared" si="66"/>
        <v>0.08</v>
      </c>
      <c r="AC205" s="50">
        <f t="shared" si="67"/>
        <v>0.05</v>
      </c>
      <c r="AD205" s="50">
        <f t="shared" si="68"/>
        <v>0.02</v>
      </c>
      <c r="AE205" s="50">
        <f t="shared" si="69"/>
        <v>0.02</v>
      </c>
      <c r="AF205" s="47">
        <f t="shared" si="71"/>
        <v>1</v>
      </c>
      <c r="AG205" s="50">
        <f>IF('Resultado da inspeção'!F205='Resultado da inspeção'!$W$3,0%,Ranking!R205)</f>
        <v>0.02</v>
      </c>
      <c r="AH205" s="50">
        <f>IF('Resultado da inspeção'!G205='Resultado da inspeção'!$W$3,0%,Ranking!S205)</f>
        <v>0.03</v>
      </c>
      <c r="AI205" s="50">
        <f>IF('Resultado da inspeção'!H205='Resultado da inspeção'!$W$3,0%,Ranking!T205)</f>
        <v>0.03</v>
      </c>
      <c r="AJ205" s="50">
        <f>IF('Resultado da inspeção'!I205='Resultado da inspeção'!$W$3,0%,Ranking!U205)</f>
        <v>0.1</v>
      </c>
      <c r="AK205" s="50">
        <f>IF('Resultado da inspeção'!J205='Resultado da inspeção'!$W$3,0%,Ranking!V205)</f>
        <v>0.21</v>
      </c>
      <c r="AL205" s="50">
        <f>IF('Resultado da inspeção'!K205='Resultado da inspeção'!$W$3,0%,Ranking!W205)</f>
        <v>0.05</v>
      </c>
      <c r="AM205" s="50">
        <f>IF('Resultado da inspeção'!L205='Resultado da inspeção'!$W$3,0%,Ranking!X205)</f>
        <v>0.24</v>
      </c>
      <c r="AN205" s="50">
        <f>IF('Resultado da inspeção'!M205='Resultado da inspeção'!$W$3,0%,Ranking!Y205)</f>
        <v>0.05</v>
      </c>
      <c r="AO205" s="50">
        <f>IF('Resultado da inspeção'!N205='Resultado da inspeção'!$W$3,0%,Ranking!Z205)</f>
        <v>0.04</v>
      </c>
      <c r="AP205" s="50">
        <f>IF('Resultado da inspeção'!O205='Resultado da inspeção'!$W$3,0%,Ranking!AA205)</f>
        <v>0.06</v>
      </c>
      <c r="AQ205" s="50">
        <f>IF('Resultado da inspeção'!P205='Resultado da inspeção'!$W$3,0%,Ranking!AB205)</f>
        <v>0.08</v>
      </c>
      <c r="AR205" s="50">
        <f>IF('Resultado da inspeção'!Q205='Resultado da inspeção'!$W$3,0%,Ranking!AC205)</f>
        <v>0.05</v>
      </c>
      <c r="AS205" s="50">
        <f>IF('Resultado da inspeção'!R205='Resultado da inspeção'!$W$3,0%,Ranking!AD205)</f>
        <v>0.02</v>
      </c>
      <c r="AT205" s="50">
        <f>IF('Resultado da inspeção'!S205='Resultado da inspeção'!$W$3,0%,Ranking!AE205)</f>
        <v>0.02</v>
      </c>
      <c r="AU205" s="49">
        <f t="shared" si="72"/>
        <v>1</v>
      </c>
    </row>
    <row r="206" spans="2:47" x14ac:dyDescent="0.25">
      <c r="B206" s="48">
        <f>IF('Resultado da inspeção'!F206='Resultado da inspeção'!$W$4,0%,Ranking!B$5)</f>
        <v>0.02</v>
      </c>
      <c r="C206" s="48">
        <f>IF('Resultado da inspeção'!G206='Resultado da inspeção'!$W$4,0%,Ranking!C$5)</f>
        <v>0.03</v>
      </c>
      <c r="D206" s="48">
        <f>IF('Resultado da inspeção'!H206='Resultado da inspeção'!$W$4,0%,Ranking!D$5)</f>
        <v>0.03</v>
      </c>
      <c r="E206" s="48">
        <f>IF('Resultado da inspeção'!I206='Resultado da inspeção'!$W$4,0%,Ranking!E$5)</f>
        <v>0.1</v>
      </c>
      <c r="F206" s="48">
        <f>IF('Resultado da inspeção'!J206='Resultado da inspeção'!$W$4,0%,Ranking!F$5)</f>
        <v>0.21</v>
      </c>
      <c r="G206" s="48">
        <f>IF('Resultado da inspeção'!K206='Resultado da inspeção'!$W$4,0%,Ranking!G$5)</f>
        <v>0.05</v>
      </c>
      <c r="H206" s="48">
        <f>IF('Resultado da inspeção'!L206='Resultado da inspeção'!$W$4,0%,Ranking!H$5)</f>
        <v>0.24</v>
      </c>
      <c r="I206" s="48">
        <f>IF('Resultado da inspeção'!M206='Resultado da inspeção'!$W$4,0%,Ranking!I$5)</f>
        <v>0.05</v>
      </c>
      <c r="J206" s="48">
        <f>IF('Resultado da inspeção'!N206='Resultado da inspeção'!$W$4,0%,Ranking!J$5)</f>
        <v>0.04</v>
      </c>
      <c r="K206" s="48">
        <f>IF('Resultado da inspeção'!O206='Resultado da inspeção'!$W$4,0%,Ranking!K$5)</f>
        <v>0.06</v>
      </c>
      <c r="L206" s="48">
        <f>IF('Resultado da inspeção'!P206='Resultado da inspeção'!$W$4,0%,Ranking!L$5)</f>
        <v>0.08</v>
      </c>
      <c r="M206" s="48">
        <f>IF('Resultado da inspeção'!Q206='Resultado da inspeção'!$W$4,0%,Ranking!M$5)</f>
        <v>0.05</v>
      </c>
      <c r="N206" s="48">
        <f>IF('Resultado da inspeção'!R206='Resultado da inspeção'!$W$4,0%,Ranking!N$5)</f>
        <v>0.02</v>
      </c>
      <c r="O206" s="48">
        <f>IF('Resultado da inspeção'!S206='Resultado da inspeção'!$W$4,0%,Ranking!O$5)</f>
        <v>0.02</v>
      </c>
      <c r="P206" s="47">
        <f t="shared" si="55"/>
        <v>1</v>
      </c>
      <c r="Q206" s="49">
        <f t="shared" si="70"/>
        <v>0</v>
      </c>
      <c r="R206" s="50">
        <f t="shared" si="56"/>
        <v>0.02</v>
      </c>
      <c r="S206" s="50">
        <f t="shared" si="57"/>
        <v>0.03</v>
      </c>
      <c r="T206" s="50">
        <f t="shared" si="58"/>
        <v>0.03</v>
      </c>
      <c r="U206" s="50">
        <f t="shared" si="59"/>
        <v>0.1</v>
      </c>
      <c r="V206" s="50">
        <f t="shared" si="60"/>
        <v>0.21</v>
      </c>
      <c r="W206" s="50">
        <f t="shared" si="61"/>
        <v>0.05</v>
      </c>
      <c r="X206" s="50">
        <f t="shared" si="62"/>
        <v>0.24</v>
      </c>
      <c r="Y206" s="50">
        <f t="shared" si="63"/>
        <v>0.05</v>
      </c>
      <c r="Z206" s="50">
        <f t="shared" si="64"/>
        <v>0.04</v>
      </c>
      <c r="AA206" s="50">
        <f t="shared" si="65"/>
        <v>0.06</v>
      </c>
      <c r="AB206" s="50">
        <f t="shared" si="66"/>
        <v>0.08</v>
      </c>
      <c r="AC206" s="50">
        <f t="shared" si="67"/>
        <v>0.05</v>
      </c>
      <c r="AD206" s="50">
        <f t="shared" si="68"/>
        <v>0.02</v>
      </c>
      <c r="AE206" s="50">
        <f t="shared" si="69"/>
        <v>0.02</v>
      </c>
      <c r="AF206" s="47">
        <f t="shared" si="71"/>
        <v>1</v>
      </c>
      <c r="AG206" s="50">
        <f>IF('Resultado da inspeção'!F206='Resultado da inspeção'!$W$3,0%,Ranking!R206)</f>
        <v>0.02</v>
      </c>
      <c r="AH206" s="50">
        <f>IF('Resultado da inspeção'!G206='Resultado da inspeção'!$W$3,0%,Ranking!S206)</f>
        <v>0.03</v>
      </c>
      <c r="AI206" s="50">
        <f>IF('Resultado da inspeção'!H206='Resultado da inspeção'!$W$3,0%,Ranking!T206)</f>
        <v>0.03</v>
      </c>
      <c r="AJ206" s="50">
        <f>IF('Resultado da inspeção'!I206='Resultado da inspeção'!$W$3,0%,Ranking!U206)</f>
        <v>0.1</v>
      </c>
      <c r="AK206" s="50">
        <f>IF('Resultado da inspeção'!J206='Resultado da inspeção'!$W$3,0%,Ranking!V206)</f>
        <v>0.21</v>
      </c>
      <c r="AL206" s="50">
        <f>IF('Resultado da inspeção'!K206='Resultado da inspeção'!$W$3,0%,Ranking!W206)</f>
        <v>0.05</v>
      </c>
      <c r="AM206" s="50">
        <f>IF('Resultado da inspeção'!L206='Resultado da inspeção'!$W$3,0%,Ranking!X206)</f>
        <v>0.24</v>
      </c>
      <c r="AN206" s="50">
        <f>IF('Resultado da inspeção'!M206='Resultado da inspeção'!$W$3,0%,Ranking!Y206)</f>
        <v>0.05</v>
      </c>
      <c r="AO206" s="50">
        <f>IF('Resultado da inspeção'!N206='Resultado da inspeção'!$W$3,0%,Ranking!Z206)</f>
        <v>0.04</v>
      </c>
      <c r="AP206" s="50">
        <f>IF('Resultado da inspeção'!O206='Resultado da inspeção'!$W$3,0%,Ranking!AA206)</f>
        <v>0.06</v>
      </c>
      <c r="AQ206" s="50">
        <f>IF('Resultado da inspeção'!P206='Resultado da inspeção'!$W$3,0%,Ranking!AB206)</f>
        <v>0.08</v>
      </c>
      <c r="AR206" s="50">
        <f>IF('Resultado da inspeção'!Q206='Resultado da inspeção'!$W$3,0%,Ranking!AC206)</f>
        <v>0.05</v>
      </c>
      <c r="AS206" s="50">
        <f>IF('Resultado da inspeção'!R206='Resultado da inspeção'!$W$3,0%,Ranking!AD206)</f>
        <v>0.02</v>
      </c>
      <c r="AT206" s="50">
        <f>IF('Resultado da inspeção'!S206='Resultado da inspeção'!$W$3,0%,Ranking!AE206)</f>
        <v>0.02</v>
      </c>
      <c r="AU206" s="49">
        <f t="shared" si="72"/>
        <v>1</v>
      </c>
    </row>
    <row r="207" spans="2:47" x14ac:dyDescent="0.25">
      <c r="B207" s="48">
        <f>IF('Resultado da inspeção'!F207='Resultado da inspeção'!$W$4,0%,Ranking!B$5)</f>
        <v>0.02</v>
      </c>
      <c r="C207" s="48">
        <f>IF('Resultado da inspeção'!G207='Resultado da inspeção'!$W$4,0%,Ranking!C$5)</f>
        <v>0.03</v>
      </c>
      <c r="D207" s="48">
        <f>IF('Resultado da inspeção'!H207='Resultado da inspeção'!$W$4,0%,Ranking!D$5)</f>
        <v>0.03</v>
      </c>
      <c r="E207" s="48">
        <f>IF('Resultado da inspeção'!I207='Resultado da inspeção'!$W$4,0%,Ranking!E$5)</f>
        <v>0.1</v>
      </c>
      <c r="F207" s="48">
        <f>IF('Resultado da inspeção'!J207='Resultado da inspeção'!$W$4,0%,Ranking!F$5)</f>
        <v>0.21</v>
      </c>
      <c r="G207" s="48">
        <f>IF('Resultado da inspeção'!K207='Resultado da inspeção'!$W$4,0%,Ranking!G$5)</f>
        <v>0.05</v>
      </c>
      <c r="H207" s="48">
        <f>IF('Resultado da inspeção'!L207='Resultado da inspeção'!$W$4,0%,Ranking!H$5)</f>
        <v>0.24</v>
      </c>
      <c r="I207" s="48">
        <f>IF('Resultado da inspeção'!M207='Resultado da inspeção'!$W$4,0%,Ranking!I$5)</f>
        <v>0.05</v>
      </c>
      <c r="J207" s="48">
        <f>IF('Resultado da inspeção'!N207='Resultado da inspeção'!$W$4,0%,Ranking!J$5)</f>
        <v>0.04</v>
      </c>
      <c r="K207" s="48">
        <f>IF('Resultado da inspeção'!O207='Resultado da inspeção'!$W$4,0%,Ranking!K$5)</f>
        <v>0.06</v>
      </c>
      <c r="L207" s="48">
        <f>IF('Resultado da inspeção'!P207='Resultado da inspeção'!$W$4,0%,Ranking!L$5)</f>
        <v>0.08</v>
      </c>
      <c r="M207" s="48">
        <f>IF('Resultado da inspeção'!Q207='Resultado da inspeção'!$W$4,0%,Ranking!M$5)</f>
        <v>0.05</v>
      </c>
      <c r="N207" s="48">
        <f>IF('Resultado da inspeção'!R207='Resultado da inspeção'!$W$4,0%,Ranking!N$5)</f>
        <v>0.02</v>
      </c>
      <c r="O207" s="48">
        <f>IF('Resultado da inspeção'!S207='Resultado da inspeção'!$W$4,0%,Ranking!O$5)</f>
        <v>0.02</v>
      </c>
      <c r="P207" s="47">
        <f t="shared" si="55"/>
        <v>1</v>
      </c>
      <c r="Q207" s="49">
        <f t="shared" si="70"/>
        <v>0</v>
      </c>
      <c r="R207" s="50">
        <f t="shared" si="56"/>
        <v>0.02</v>
      </c>
      <c r="S207" s="50">
        <f t="shared" si="57"/>
        <v>0.03</v>
      </c>
      <c r="T207" s="50">
        <f t="shared" si="58"/>
        <v>0.03</v>
      </c>
      <c r="U207" s="50">
        <f t="shared" si="59"/>
        <v>0.1</v>
      </c>
      <c r="V207" s="50">
        <f t="shared" si="60"/>
        <v>0.21</v>
      </c>
      <c r="W207" s="50">
        <f t="shared" si="61"/>
        <v>0.05</v>
      </c>
      <c r="X207" s="50">
        <f t="shared" si="62"/>
        <v>0.24</v>
      </c>
      <c r="Y207" s="50">
        <f t="shared" si="63"/>
        <v>0.05</v>
      </c>
      <c r="Z207" s="50">
        <f t="shared" si="64"/>
        <v>0.04</v>
      </c>
      <c r="AA207" s="50">
        <f t="shared" si="65"/>
        <v>0.06</v>
      </c>
      <c r="AB207" s="50">
        <f t="shared" si="66"/>
        <v>0.08</v>
      </c>
      <c r="AC207" s="50">
        <f t="shared" si="67"/>
        <v>0.05</v>
      </c>
      <c r="AD207" s="50">
        <f t="shared" si="68"/>
        <v>0.02</v>
      </c>
      <c r="AE207" s="50">
        <f t="shared" si="69"/>
        <v>0.02</v>
      </c>
      <c r="AF207" s="47">
        <f t="shared" si="71"/>
        <v>1</v>
      </c>
      <c r="AG207" s="50">
        <f>IF('Resultado da inspeção'!F207='Resultado da inspeção'!$W$3,0%,Ranking!R207)</f>
        <v>0.02</v>
      </c>
      <c r="AH207" s="50">
        <f>IF('Resultado da inspeção'!G207='Resultado da inspeção'!$W$3,0%,Ranking!S207)</f>
        <v>0.03</v>
      </c>
      <c r="AI207" s="50">
        <f>IF('Resultado da inspeção'!H207='Resultado da inspeção'!$W$3,0%,Ranking!T207)</f>
        <v>0.03</v>
      </c>
      <c r="AJ207" s="50">
        <f>IF('Resultado da inspeção'!I207='Resultado da inspeção'!$W$3,0%,Ranking!U207)</f>
        <v>0.1</v>
      </c>
      <c r="AK207" s="50">
        <f>IF('Resultado da inspeção'!J207='Resultado da inspeção'!$W$3,0%,Ranking!V207)</f>
        <v>0.21</v>
      </c>
      <c r="AL207" s="50">
        <f>IF('Resultado da inspeção'!K207='Resultado da inspeção'!$W$3,0%,Ranking!W207)</f>
        <v>0.05</v>
      </c>
      <c r="AM207" s="50">
        <f>IF('Resultado da inspeção'!L207='Resultado da inspeção'!$W$3,0%,Ranking!X207)</f>
        <v>0.24</v>
      </c>
      <c r="AN207" s="50">
        <f>IF('Resultado da inspeção'!M207='Resultado da inspeção'!$W$3,0%,Ranking!Y207)</f>
        <v>0.05</v>
      </c>
      <c r="AO207" s="50">
        <f>IF('Resultado da inspeção'!N207='Resultado da inspeção'!$W$3,0%,Ranking!Z207)</f>
        <v>0.04</v>
      </c>
      <c r="AP207" s="50">
        <f>IF('Resultado da inspeção'!O207='Resultado da inspeção'!$W$3,0%,Ranking!AA207)</f>
        <v>0.06</v>
      </c>
      <c r="AQ207" s="50">
        <f>IF('Resultado da inspeção'!P207='Resultado da inspeção'!$W$3,0%,Ranking!AB207)</f>
        <v>0.08</v>
      </c>
      <c r="AR207" s="50">
        <f>IF('Resultado da inspeção'!Q207='Resultado da inspeção'!$W$3,0%,Ranking!AC207)</f>
        <v>0.05</v>
      </c>
      <c r="AS207" s="50">
        <f>IF('Resultado da inspeção'!R207='Resultado da inspeção'!$W$3,0%,Ranking!AD207)</f>
        <v>0.02</v>
      </c>
      <c r="AT207" s="50">
        <f>IF('Resultado da inspeção'!S207='Resultado da inspeção'!$W$3,0%,Ranking!AE207)</f>
        <v>0.02</v>
      </c>
      <c r="AU207" s="49">
        <f t="shared" si="72"/>
        <v>1</v>
      </c>
    </row>
    <row r="208" spans="2:47" x14ac:dyDescent="0.25">
      <c r="B208" s="48">
        <f>IF('Resultado da inspeção'!F208='Resultado da inspeção'!$W$4,0%,Ranking!B$5)</f>
        <v>0.02</v>
      </c>
      <c r="C208" s="48">
        <f>IF('Resultado da inspeção'!G208='Resultado da inspeção'!$W$4,0%,Ranking!C$5)</f>
        <v>0.03</v>
      </c>
      <c r="D208" s="48">
        <f>IF('Resultado da inspeção'!H208='Resultado da inspeção'!$W$4,0%,Ranking!D$5)</f>
        <v>0.03</v>
      </c>
      <c r="E208" s="48">
        <f>IF('Resultado da inspeção'!I208='Resultado da inspeção'!$W$4,0%,Ranking!E$5)</f>
        <v>0.1</v>
      </c>
      <c r="F208" s="48">
        <f>IF('Resultado da inspeção'!J208='Resultado da inspeção'!$W$4,0%,Ranking!F$5)</f>
        <v>0.21</v>
      </c>
      <c r="G208" s="48">
        <f>IF('Resultado da inspeção'!K208='Resultado da inspeção'!$W$4,0%,Ranking!G$5)</f>
        <v>0.05</v>
      </c>
      <c r="H208" s="48">
        <f>IF('Resultado da inspeção'!L208='Resultado da inspeção'!$W$4,0%,Ranking!H$5)</f>
        <v>0.24</v>
      </c>
      <c r="I208" s="48">
        <f>IF('Resultado da inspeção'!M208='Resultado da inspeção'!$W$4,0%,Ranking!I$5)</f>
        <v>0.05</v>
      </c>
      <c r="J208" s="48">
        <f>IF('Resultado da inspeção'!N208='Resultado da inspeção'!$W$4,0%,Ranking!J$5)</f>
        <v>0.04</v>
      </c>
      <c r="K208" s="48">
        <f>IF('Resultado da inspeção'!O208='Resultado da inspeção'!$W$4,0%,Ranking!K$5)</f>
        <v>0.06</v>
      </c>
      <c r="L208" s="48">
        <f>IF('Resultado da inspeção'!P208='Resultado da inspeção'!$W$4,0%,Ranking!L$5)</f>
        <v>0.08</v>
      </c>
      <c r="M208" s="48">
        <f>IF('Resultado da inspeção'!Q208='Resultado da inspeção'!$W$4,0%,Ranking!M$5)</f>
        <v>0.05</v>
      </c>
      <c r="N208" s="48">
        <f>IF('Resultado da inspeção'!R208='Resultado da inspeção'!$W$4,0%,Ranking!N$5)</f>
        <v>0.02</v>
      </c>
      <c r="O208" s="48">
        <f>IF('Resultado da inspeção'!S208='Resultado da inspeção'!$W$4,0%,Ranking!O$5)</f>
        <v>0.02</v>
      </c>
      <c r="P208" s="47">
        <f t="shared" si="55"/>
        <v>1</v>
      </c>
      <c r="Q208" s="49">
        <f t="shared" si="70"/>
        <v>0</v>
      </c>
      <c r="R208" s="50">
        <f t="shared" si="56"/>
        <v>0.02</v>
      </c>
      <c r="S208" s="50">
        <f t="shared" si="57"/>
        <v>0.03</v>
      </c>
      <c r="T208" s="50">
        <f t="shared" si="58"/>
        <v>0.03</v>
      </c>
      <c r="U208" s="50">
        <f t="shared" si="59"/>
        <v>0.1</v>
      </c>
      <c r="V208" s="50">
        <f t="shared" si="60"/>
        <v>0.21</v>
      </c>
      <c r="W208" s="50">
        <f t="shared" si="61"/>
        <v>0.05</v>
      </c>
      <c r="X208" s="50">
        <f t="shared" si="62"/>
        <v>0.24</v>
      </c>
      <c r="Y208" s="50">
        <f t="shared" si="63"/>
        <v>0.05</v>
      </c>
      <c r="Z208" s="50">
        <f t="shared" si="64"/>
        <v>0.04</v>
      </c>
      <c r="AA208" s="50">
        <f t="shared" si="65"/>
        <v>0.06</v>
      </c>
      <c r="AB208" s="50">
        <f t="shared" si="66"/>
        <v>0.08</v>
      </c>
      <c r="AC208" s="50">
        <f t="shared" si="67"/>
        <v>0.05</v>
      </c>
      <c r="AD208" s="50">
        <f t="shared" si="68"/>
        <v>0.02</v>
      </c>
      <c r="AE208" s="50">
        <f t="shared" si="69"/>
        <v>0.02</v>
      </c>
      <c r="AF208" s="47">
        <f t="shared" si="71"/>
        <v>1</v>
      </c>
      <c r="AG208" s="50">
        <f>IF('Resultado da inspeção'!F208='Resultado da inspeção'!$W$3,0%,Ranking!R208)</f>
        <v>0.02</v>
      </c>
      <c r="AH208" s="50">
        <f>IF('Resultado da inspeção'!G208='Resultado da inspeção'!$W$3,0%,Ranking!S208)</f>
        <v>0.03</v>
      </c>
      <c r="AI208" s="50">
        <f>IF('Resultado da inspeção'!H208='Resultado da inspeção'!$W$3,0%,Ranking!T208)</f>
        <v>0.03</v>
      </c>
      <c r="AJ208" s="50">
        <f>IF('Resultado da inspeção'!I208='Resultado da inspeção'!$W$3,0%,Ranking!U208)</f>
        <v>0.1</v>
      </c>
      <c r="AK208" s="50">
        <f>IF('Resultado da inspeção'!J208='Resultado da inspeção'!$W$3,0%,Ranking!V208)</f>
        <v>0.21</v>
      </c>
      <c r="AL208" s="50">
        <f>IF('Resultado da inspeção'!K208='Resultado da inspeção'!$W$3,0%,Ranking!W208)</f>
        <v>0.05</v>
      </c>
      <c r="AM208" s="50">
        <f>IF('Resultado da inspeção'!L208='Resultado da inspeção'!$W$3,0%,Ranking!X208)</f>
        <v>0.24</v>
      </c>
      <c r="AN208" s="50">
        <f>IF('Resultado da inspeção'!M208='Resultado da inspeção'!$W$3,0%,Ranking!Y208)</f>
        <v>0.05</v>
      </c>
      <c r="AO208" s="50">
        <f>IF('Resultado da inspeção'!N208='Resultado da inspeção'!$W$3,0%,Ranking!Z208)</f>
        <v>0.04</v>
      </c>
      <c r="AP208" s="50">
        <f>IF('Resultado da inspeção'!O208='Resultado da inspeção'!$W$3,0%,Ranking!AA208)</f>
        <v>0.06</v>
      </c>
      <c r="AQ208" s="50">
        <f>IF('Resultado da inspeção'!P208='Resultado da inspeção'!$W$3,0%,Ranking!AB208)</f>
        <v>0.08</v>
      </c>
      <c r="AR208" s="50">
        <f>IF('Resultado da inspeção'!Q208='Resultado da inspeção'!$W$3,0%,Ranking!AC208)</f>
        <v>0.05</v>
      </c>
      <c r="AS208" s="50">
        <f>IF('Resultado da inspeção'!R208='Resultado da inspeção'!$W$3,0%,Ranking!AD208)</f>
        <v>0.02</v>
      </c>
      <c r="AT208" s="50">
        <f>IF('Resultado da inspeção'!S208='Resultado da inspeção'!$W$3,0%,Ranking!AE208)</f>
        <v>0.02</v>
      </c>
      <c r="AU208" s="49">
        <f t="shared" si="72"/>
        <v>1</v>
      </c>
    </row>
    <row r="209" spans="2:47" x14ac:dyDescent="0.25">
      <c r="B209" s="48">
        <f>IF('Resultado da inspeção'!F209='Resultado da inspeção'!$W$4,0%,Ranking!B$5)</f>
        <v>0.02</v>
      </c>
      <c r="C209" s="48">
        <f>IF('Resultado da inspeção'!G209='Resultado da inspeção'!$W$4,0%,Ranking!C$5)</f>
        <v>0.03</v>
      </c>
      <c r="D209" s="48">
        <f>IF('Resultado da inspeção'!H209='Resultado da inspeção'!$W$4,0%,Ranking!D$5)</f>
        <v>0.03</v>
      </c>
      <c r="E209" s="48">
        <f>IF('Resultado da inspeção'!I209='Resultado da inspeção'!$W$4,0%,Ranking!E$5)</f>
        <v>0.1</v>
      </c>
      <c r="F209" s="48">
        <f>IF('Resultado da inspeção'!J209='Resultado da inspeção'!$W$4,0%,Ranking!F$5)</f>
        <v>0.21</v>
      </c>
      <c r="G209" s="48">
        <f>IF('Resultado da inspeção'!K209='Resultado da inspeção'!$W$4,0%,Ranking!G$5)</f>
        <v>0.05</v>
      </c>
      <c r="H209" s="48">
        <f>IF('Resultado da inspeção'!L209='Resultado da inspeção'!$W$4,0%,Ranking!H$5)</f>
        <v>0.24</v>
      </c>
      <c r="I209" s="48">
        <f>IF('Resultado da inspeção'!M209='Resultado da inspeção'!$W$4,0%,Ranking!I$5)</f>
        <v>0.05</v>
      </c>
      <c r="J209" s="48">
        <f>IF('Resultado da inspeção'!N209='Resultado da inspeção'!$W$4,0%,Ranking!J$5)</f>
        <v>0.04</v>
      </c>
      <c r="K209" s="48">
        <f>IF('Resultado da inspeção'!O209='Resultado da inspeção'!$W$4,0%,Ranking!K$5)</f>
        <v>0.06</v>
      </c>
      <c r="L209" s="48">
        <f>IF('Resultado da inspeção'!P209='Resultado da inspeção'!$W$4,0%,Ranking!L$5)</f>
        <v>0.08</v>
      </c>
      <c r="M209" s="48">
        <f>IF('Resultado da inspeção'!Q209='Resultado da inspeção'!$W$4,0%,Ranking!M$5)</f>
        <v>0.05</v>
      </c>
      <c r="N209" s="48">
        <f>IF('Resultado da inspeção'!R209='Resultado da inspeção'!$W$4,0%,Ranking!N$5)</f>
        <v>0.02</v>
      </c>
      <c r="O209" s="48">
        <f>IF('Resultado da inspeção'!S209='Resultado da inspeção'!$W$4,0%,Ranking!O$5)</f>
        <v>0.02</v>
      </c>
      <c r="P209" s="47">
        <f t="shared" si="55"/>
        <v>1</v>
      </c>
      <c r="Q209" s="49">
        <f t="shared" si="70"/>
        <v>0</v>
      </c>
      <c r="R209" s="50">
        <f t="shared" si="56"/>
        <v>0.02</v>
      </c>
      <c r="S209" s="50">
        <f t="shared" si="57"/>
        <v>0.03</v>
      </c>
      <c r="T209" s="50">
        <f t="shared" si="58"/>
        <v>0.03</v>
      </c>
      <c r="U209" s="50">
        <f t="shared" si="59"/>
        <v>0.1</v>
      </c>
      <c r="V209" s="50">
        <f t="shared" si="60"/>
        <v>0.21</v>
      </c>
      <c r="W209" s="50">
        <f t="shared" si="61"/>
        <v>0.05</v>
      </c>
      <c r="X209" s="50">
        <f t="shared" si="62"/>
        <v>0.24</v>
      </c>
      <c r="Y209" s="50">
        <f t="shared" si="63"/>
        <v>0.05</v>
      </c>
      <c r="Z209" s="50">
        <f t="shared" si="64"/>
        <v>0.04</v>
      </c>
      <c r="AA209" s="50">
        <f t="shared" si="65"/>
        <v>0.06</v>
      </c>
      <c r="AB209" s="50">
        <f t="shared" si="66"/>
        <v>0.08</v>
      </c>
      <c r="AC209" s="50">
        <f t="shared" si="67"/>
        <v>0.05</v>
      </c>
      <c r="AD209" s="50">
        <f t="shared" si="68"/>
        <v>0.02</v>
      </c>
      <c r="AE209" s="50">
        <f t="shared" si="69"/>
        <v>0.02</v>
      </c>
      <c r="AF209" s="47">
        <f t="shared" si="71"/>
        <v>1</v>
      </c>
      <c r="AG209" s="50">
        <f>IF('Resultado da inspeção'!F209='Resultado da inspeção'!$W$3,0%,Ranking!R209)</f>
        <v>0.02</v>
      </c>
      <c r="AH209" s="50">
        <f>IF('Resultado da inspeção'!G209='Resultado da inspeção'!$W$3,0%,Ranking!S209)</f>
        <v>0.03</v>
      </c>
      <c r="AI209" s="50">
        <f>IF('Resultado da inspeção'!H209='Resultado da inspeção'!$W$3,0%,Ranking!T209)</f>
        <v>0.03</v>
      </c>
      <c r="AJ209" s="50">
        <f>IF('Resultado da inspeção'!I209='Resultado da inspeção'!$W$3,0%,Ranking!U209)</f>
        <v>0.1</v>
      </c>
      <c r="AK209" s="50">
        <f>IF('Resultado da inspeção'!J209='Resultado da inspeção'!$W$3,0%,Ranking!V209)</f>
        <v>0.21</v>
      </c>
      <c r="AL209" s="50">
        <f>IF('Resultado da inspeção'!K209='Resultado da inspeção'!$W$3,0%,Ranking!W209)</f>
        <v>0.05</v>
      </c>
      <c r="AM209" s="50">
        <f>IF('Resultado da inspeção'!L209='Resultado da inspeção'!$W$3,0%,Ranking!X209)</f>
        <v>0.24</v>
      </c>
      <c r="AN209" s="50">
        <f>IF('Resultado da inspeção'!M209='Resultado da inspeção'!$W$3,0%,Ranking!Y209)</f>
        <v>0.05</v>
      </c>
      <c r="AO209" s="50">
        <f>IF('Resultado da inspeção'!N209='Resultado da inspeção'!$W$3,0%,Ranking!Z209)</f>
        <v>0.04</v>
      </c>
      <c r="AP209" s="50">
        <f>IF('Resultado da inspeção'!O209='Resultado da inspeção'!$W$3,0%,Ranking!AA209)</f>
        <v>0.06</v>
      </c>
      <c r="AQ209" s="50">
        <f>IF('Resultado da inspeção'!P209='Resultado da inspeção'!$W$3,0%,Ranking!AB209)</f>
        <v>0.08</v>
      </c>
      <c r="AR209" s="50">
        <f>IF('Resultado da inspeção'!Q209='Resultado da inspeção'!$W$3,0%,Ranking!AC209)</f>
        <v>0.05</v>
      </c>
      <c r="AS209" s="50">
        <f>IF('Resultado da inspeção'!R209='Resultado da inspeção'!$W$3,0%,Ranking!AD209)</f>
        <v>0.02</v>
      </c>
      <c r="AT209" s="50">
        <f>IF('Resultado da inspeção'!S209='Resultado da inspeção'!$W$3,0%,Ranking!AE209)</f>
        <v>0.02</v>
      </c>
      <c r="AU209" s="49">
        <f t="shared" si="72"/>
        <v>1</v>
      </c>
    </row>
    <row r="210" spans="2:47" x14ac:dyDescent="0.25">
      <c r="B210" s="48">
        <f>IF('Resultado da inspeção'!F210='Resultado da inspeção'!$W$4,0%,Ranking!B$5)</f>
        <v>0.02</v>
      </c>
      <c r="C210" s="48">
        <f>IF('Resultado da inspeção'!G210='Resultado da inspeção'!$W$4,0%,Ranking!C$5)</f>
        <v>0.03</v>
      </c>
      <c r="D210" s="48">
        <f>IF('Resultado da inspeção'!H210='Resultado da inspeção'!$W$4,0%,Ranking!D$5)</f>
        <v>0.03</v>
      </c>
      <c r="E210" s="48">
        <f>IF('Resultado da inspeção'!I210='Resultado da inspeção'!$W$4,0%,Ranking!E$5)</f>
        <v>0.1</v>
      </c>
      <c r="F210" s="48">
        <f>IF('Resultado da inspeção'!J210='Resultado da inspeção'!$W$4,0%,Ranking!F$5)</f>
        <v>0.21</v>
      </c>
      <c r="G210" s="48">
        <f>IF('Resultado da inspeção'!K210='Resultado da inspeção'!$W$4,0%,Ranking!G$5)</f>
        <v>0.05</v>
      </c>
      <c r="H210" s="48">
        <f>IF('Resultado da inspeção'!L210='Resultado da inspeção'!$W$4,0%,Ranking!H$5)</f>
        <v>0.24</v>
      </c>
      <c r="I210" s="48">
        <f>IF('Resultado da inspeção'!M210='Resultado da inspeção'!$W$4,0%,Ranking!I$5)</f>
        <v>0.05</v>
      </c>
      <c r="J210" s="48">
        <f>IF('Resultado da inspeção'!N210='Resultado da inspeção'!$W$4,0%,Ranking!J$5)</f>
        <v>0.04</v>
      </c>
      <c r="K210" s="48">
        <f>IF('Resultado da inspeção'!O210='Resultado da inspeção'!$W$4,0%,Ranking!K$5)</f>
        <v>0.06</v>
      </c>
      <c r="L210" s="48">
        <f>IF('Resultado da inspeção'!P210='Resultado da inspeção'!$W$4,0%,Ranking!L$5)</f>
        <v>0.08</v>
      </c>
      <c r="M210" s="48">
        <f>IF('Resultado da inspeção'!Q210='Resultado da inspeção'!$W$4,0%,Ranking!M$5)</f>
        <v>0.05</v>
      </c>
      <c r="N210" s="48">
        <f>IF('Resultado da inspeção'!R210='Resultado da inspeção'!$W$4,0%,Ranking!N$5)</f>
        <v>0.02</v>
      </c>
      <c r="O210" s="48">
        <f>IF('Resultado da inspeção'!S210='Resultado da inspeção'!$W$4,0%,Ranking!O$5)</f>
        <v>0.02</v>
      </c>
      <c r="P210" s="47">
        <f t="shared" si="55"/>
        <v>1</v>
      </c>
      <c r="Q210" s="49">
        <f t="shared" si="70"/>
        <v>0</v>
      </c>
      <c r="R210" s="50">
        <f t="shared" si="56"/>
        <v>0.02</v>
      </c>
      <c r="S210" s="50">
        <f t="shared" si="57"/>
        <v>0.03</v>
      </c>
      <c r="T210" s="50">
        <f t="shared" si="58"/>
        <v>0.03</v>
      </c>
      <c r="U210" s="50">
        <f t="shared" si="59"/>
        <v>0.1</v>
      </c>
      <c r="V210" s="50">
        <f t="shared" si="60"/>
        <v>0.21</v>
      </c>
      <c r="W210" s="50">
        <f t="shared" si="61"/>
        <v>0.05</v>
      </c>
      <c r="X210" s="50">
        <f t="shared" si="62"/>
        <v>0.24</v>
      </c>
      <c r="Y210" s="50">
        <f t="shared" si="63"/>
        <v>0.05</v>
      </c>
      <c r="Z210" s="50">
        <f t="shared" si="64"/>
        <v>0.04</v>
      </c>
      <c r="AA210" s="50">
        <f t="shared" si="65"/>
        <v>0.06</v>
      </c>
      <c r="AB210" s="50">
        <f t="shared" si="66"/>
        <v>0.08</v>
      </c>
      <c r="AC210" s="50">
        <f t="shared" si="67"/>
        <v>0.05</v>
      </c>
      <c r="AD210" s="50">
        <f t="shared" si="68"/>
        <v>0.02</v>
      </c>
      <c r="AE210" s="50">
        <f t="shared" si="69"/>
        <v>0.02</v>
      </c>
      <c r="AF210" s="47">
        <f t="shared" si="71"/>
        <v>1</v>
      </c>
      <c r="AG210" s="50">
        <f>IF('Resultado da inspeção'!F210='Resultado da inspeção'!$W$3,0%,Ranking!R210)</f>
        <v>0.02</v>
      </c>
      <c r="AH210" s="50">
        <f>IF('Resultado da inspeção'!G210='Resultado da inspeção'!$W$3,0%,Ranking!S210)</f>
        <v>0.03</v>
      </c>
      <c r="AI210" s="50">
        <f>IF('Resultado da inspeção'!H210='Resultado da inspeção'!$W$3,0%,Ranking!T210)</f>
        <v>0.03</v>
      </c>
      <c r="AJ210" s="50">
        <f>IF('Resultado da inspeção'!I210='Resultado da inspeção'!$W$3,0%,Ranking!U210)</f>
        <v>0.1</v>
      </c>
      <c r="AK210" s="50">
        <f>IF('Resultado da inspeção'!J210='Resultado da inspeção'!$W$3,0%,Ranking!V210)</f>
        <v>0.21</v>
      </c>
      <c r="AL210" s="50">
        <f>IF('Resultado da inspeção'!K210='Resultado da inspeção'!$W$3,0%,Ranking!W210)</f>
        <v>0.05</v>
      </c>
      <c r="AM210" s="50">
        <f>IF('Resultado da inspeção'!L210='Resultado da inspeção'!$W$3,0%,Ranking!X210)</f>
        <v>0.24</v>
      </c>
      <c r="AN210" s="50">
        <f>IF('Resultado da inspeção'!M210='Resultado da inspeção'!$W$3,0%,Ranking!Y210)</f>
        <v>0.05</v>
      </c>
      <c r="AO210" s="50">
        <f>IF('Resultado da inspeção'!N210='Resultado da inspeção'!$W$3,0%,Ranking!Z210)</f>
        <v>0.04</v>
      </c>
      <c r="AP210" s="50">
        <f>IF('Resultado da inspeção'!O210='Resultado da inspeção'!$W$3,0%,Ranking!AA210)</f>
        <v>0.06</v>
      </c>
      <c r="AQ210" s="50">
        <f>IF('Resultado da inspeção'!P210='Resultado da inspeção'!$W$3,0%,Ranking!AB210)</f>
        <v>0.08</v>
      </c>
      <c r="AR210" s="50">
        <f>IF('Resultado da inspeção'!Q210='Resultado da inspeção'!$W$3,0%,Ranking!AC210)</f>
        <v>0.05</v>
      </c>
      <c r="AS210" s="50">
        <f>IF('Resultado da inspeção'!R210='Resultado da inspeção'!$W$3,0%,Ranking!AD210)</f>
        <v>0.02</v>
      </c>
      <c r="AT210" s="50">
        <f>IF('Resultado da inspeção'!S210='Resultado da inspeção'!$W$3,0%,Ranking!AE210)</f>
        <v>0.02</v>
      </c>
      <c r="AU210" s="49">
        <f t="shared" si="72"/>
        <v>1</v>
      </c>
    </row>
    <row r="211" spans="2:47" x14ac:dyDescent="0.25">
      <c r="B211" s="48">
        <f>IF('Resultado da inspeção'!F211='Resultado da inspeção'!$W$4,0%,Ranking!B$5)</f>
        <v>0.02</v>
      </c>
      <c r="C211" s="48">
        <f>IF('Resultado da inspeção'!G211='Resultado da inspeção'!$W$4,0%,Ranking!C$5)</f>
        <v>0.03</v>
      </c>
      <c r="D211" s="48">
        <f>IF('Resultado da inspeção'!H211='Resultado da inspeção'!$W$4,0%,Ranking!D$5)</f>
        <v>0.03</v>
      </c>
      <c r="E211" s="48">
        <f>IF('Resultado da inspeção'!I211='Resultado da inspeção'!$W$4,0%,Ranking!E$5)</f>
        <v>0.1</v>
      </c>
      <c r="F211" s="48">
        <f>IF('Resultado da inspeção'!J211='Resultado da inspeção'!$W$4,0%,Ranking!F$5)</f>
        <v>0.21</v>
      </c>
      <c r="G211" s="48">
        <f>IF('Resultado da inspeção'!K211='Resultado da inspeção'!$W$4,0%,Ranking!G$5)</f>
        <v>0.05</v>
      </c>
      <c r="H211" s="48">
        <f>IF('Resultado da inspeção'!L211='Resultado da inspeção'!$W$4,0%,Ranking!H$5)</f>
        <v>0.24</v>
      </c>
      <c r="I211" s="48">
        <f>IF('Resultado da inspeção'!M211='Resultado da inspeção'!$W$4,0%,Ranking!I$5)</f>
        <v>0.05</v>
      </c>
      <c r="J211" s="48">
        <f>IF('Resultado da inspeção'!N211='Resultado da inspeção'!$W$4,0%,Ranking!J$5)</f>
        <v>0.04</v>
      </c>
      <c r="K211" s="48">
        <f>IF('Resultado da inspeção'!O211='Resultado da inspeção'!$W$4,0%,Ranking!K$5)</f>
        <v>0.06</v>
      </c>
      <c r="L211" s="48">
        <f>IF('Resultado da inspeção'!P211='Resultado da inspeção'!$W$4,0%,Ranking!L$5)</f>
        <v>0.08</v>
      </c>
      <c r="M211" s="48">
        <f>IF('Resultado da inspeção'!Q211='Resultado da inspeção'!$W$4,0%,Ranking!M$5)</f>
        <v>0.05</v>
      </c>
      <c r="N211" s="48">
        <f>IF('Resultado da inspeção'!R211='Resultado da inspeção'!$W$4,0%,Ranking!N$5)</f>
        <v>0.02</v>
      </c>
      <c r="O211" s="48">
        <f>IF('Resultado da inspeção'!S211='Resultado da inspeção'!$W$4,0%,Ranking!O$5)</f>
        <v>0.02</v>
      </c>
      <c r="P211" s="47">
        <f t="shared" si="55"/>
        <v>1</v>
      </c>
      <c r="Q211" s="49">
        <f t="shared" si="70"/>
        <v>0</v>
      </c>
      <c r="R211" s="50">
        <f t="shared" si="56"/>
        <v>0.02</v>
      </c>
      <c r="S211" s="50">
        <f t="shared" si="57"/>
        <v>0.03</v>
      </c>
      <c r="T211" s="50">
        <f t="shared" si="58"/>
        <v>0.03</v>
      </c>
      <c r="U211" s="50">
        <f t="shared" si="59"/>
        <v>0.1</v>
      </c>
      <c r="V211" s="50">
        <f t="shared" si="60"/>
        <v>0.21</v>
      </c>
      <c r="W211" s="50">
        <f t="shared" si="61"/>
        <v>0.05</v>
      </c>
      <c r="X211" s="50">
        <f t="shared" si="62"/>
        <v>0.24</v>
      </c>
      <c r="Y211" s="50">
        <f t="shared" si="63"/>
        <v>0.05</v>
      </c>
      <c r="Z211" s="50">
        <f t="shared" si="64"/>
        <v>0.04</v>
      </c>
      <c r="AA211" s="50">
        <f t="shared" si="65"/>
        <v>0.06</v>
      </c>
      <c r="AB211" s="50">
        <f t="shared" si="66"/>
        <v>0.08</v>
      </c>
      <c r="AC211" s="50">
        <f t="shared" si="67"/>
        <v>0.05</v>
      </c>
      <c r="AD211" s="50">
        <f t="shared" si="68"/>
        <v>0.02</v>
      </c>
      <c r="AE211" s="50">
        <f t="shared" si="69"/>
        <v>0.02</v>
      </c>
      <c r="AF211" s="47">
        <f t="shared" si="71"/>
        <v>1</v>
      </c>
      <c r="AG211" s="50">
        <f>IF('Resultado da inspeção'!F211='Resultado da inspeção'!$W$3,0%,Ranking!R211)</f>
        <v>0.02</v>
      </c>
      <c r="AH211" s="50">
        <f>IF('Resultado da inspeção'!G211='Resultado da inspeção'!$W$3,0%,Ranking!S211)</f>
        <v>0.03</v>
      </c>
      <c r="AI211" s="50">
        <f>IF('Resultado da inspeção'!H211='Resultado da inspeção'!$W$3,0%,Ranking!T211)</f>
        <v>0.03</v>
      </c>
      <c r="AJ211" s="50">
        <f>IF('Resultado da inspeção'!I211='Resultado da inspeção'!$W$3,0%,Ranking!U211)</f>
        <v>0.1</v>
      </c>
      <c r="AK211" s="50">
        <f>IF('Resultado da inspeção'!J211='Resultado da inspeção'!$W$3,0%,Ranking!V211)</f>
        <v>0.21</v>
      </c>
      <c r="AL211" s="50">
        <f>IF('Resultado da inspeção'!K211='Resultado da inspeção'!$W$3,0%,Ranking!W211)</f>
        <v>0.05</v>
      </c>
      <c r="AM211" s="50">
        <f>IF('Resultado da inspeção'!L211='Resultado da inspeção'!$W$3,0%,Ranking!X211)</f>
        <v>0.24</v>
      </c>
      <c r="AN211" s="50">
        <f>IF('Resultado da inspeção'!M211='Resultado da inspeção'!$W$3,0%,Ranking!Y211)</f>
        <v>0.05</v>
      </c>
      <c r="AO211" s="50">
        <f>IF('Resultado da inspeção'!N211='Resultado da inspeção'!$W$3,0%,Ranking!Z211)</f>
        <v>0.04</v>
      </c>
      <c r="AP211" s="50">
        <f>IF('Resultado da inspeção'!O211='Resultado da inspeção'!$W$3,0%,Ranking!AA211)</f>
        <v>0.06</v>
      </c>
      <c r="AQ211" s="50">
        <f>IF('Resultado da inspeção'!P211='Resultado da inspeção'!$W$3,0%,Ranking!AB211)</f>
        <v>0.08</v>
      </c>
      <c r="AR211" s="50">
        <f>IF('Resultado da inspeção'!Q211='Resultado da inspeção'!$W$3,0%,Ranking!AC211)</f>
        <v>0.05</v>
      </c>
      <c r="AS211" s="50">
        <f>IF('Resultado da inspeção'!R211='Resultado da inspeção'!$W$3,0%,Ranking!AD211)</f>
        <v>0.02</v>
      </c>
      <c r="AT211" s="50">
        <f>IF('Resultado da inspeção'!S211='Resultado da inspeção'!$W$3,0%,Ranking!AE211)</f>
        <v>0.02</v>
      </c>
      <c r="AU211" s="49">
        <f t="shared" si="72"/>
        <v>1</v>
      </c>
    </row>
    <row r="212" spans="2:47" x14ac:dyDescent="0.25">
      <c r="B212" s="48">
        <f>IF('Resultado da inspeção'!F212='Resultado da inspeção'!$W$4,0%,Ranking!B$5)</f>
        <v>0.02</v>
      </c>
      <c r="C212" s="48">
        <f>IF('Resultado da inspeção'!G212='Resultado da inspeção'!$W$4,0%,Ranking!C$5)</f>
        <v>0.03</v>
      </c>
      <c r="D212" s="48">
        <f>IF('Resultado da inspeção'!H212='Resultado da inspeção'!$W$4,0%,Ranking!D$5)</f>
        <v>0.03</v>
      </c>
      <c r="E212" s="48">
        <f>IF('Resultado da inspeção'!I212='Resultado da inspeção'!$W$4,0%,Ranking!E$5)</f>
        <v>0.1</v>
      </c>
      <c r="F212" s="48">
        <f>IF('Resultado da inspeção'!J212='Resultado da inspeção'!$W$4,0%,Ranking!F$5)</f>
        <v>0.21</v>
      </c>
      <c r="G212" s="48">
        <f>IF('Resultado da inspeção'!K212='Resultado da inspeção'!$W$4,0%,Ranking!G$5)</f>
        <v>0.05</v>
      </c>
      <c r="H212" s="48">
        <f>IF('Resultado da inspeção'!L212='Resultado da inspeção'!$W$4,0%,Ranking!H$5)</f>
        <v>0.24</v>
      </c>
      <c r="I212" s="48">
        <f>IF('Resultado da inspeção'!M212='Resultado da inspeção'!$W$4,0%,Ranking!I$5)</f>
        <v>0.05</v>
      </c>
      <c r="J212" s="48">
        <f>IF('Resultado da inspeção'!N212='Resultado da inspeção'!$W$4,0%,Ranking!J$5)</f>
        <v>0.04</v>
      </c>
      <c r="K212" s="48">
        <f>IF('Resultado da inspeção'!O212='Resultado da inspeção'!$W$4,0%,Ranking!K$5)</f>
        <v>0.06</v>
      </c>
      <c r="L212" s="48">
        <f>IF('Resultado da inspeção'!P212='Resultado da inspeção'!$W$4,0%,Ranking!L$5)</f>
        <v>0.08</v>
      </c>
      <c r="M212" s="48">
        <f>IF('Resultado da inspeção'!Q212='Resultado da inspeção'!$W$4,0%,Ranking!M$5)</f>
        <v>0.05</v>
      </c>
      <c r="N212" s="48">
        <f>IF('Resultado da inspeção'!R212='Resultado da inspeção'!$W$4,0%,Ranking!N$5)</f>
        <v>0.02</v>
      </c>
      <c r="O212" s="48">
        <f>IF('Resultado da inspeção'!S212='Resultado da inspeção'!$W$4,0%,Ranking!O$5)</f>
        <v>0.02</v>
      </c>
      <c r="P212" s="47">
        <f t="shared" si="55"/>
        <v>1</v>
      </c>
      <c r="Q212" s="49">
        <f t="shared" si="70"/>
        <v>0</v>
      </c>
      <c r="R212" s="50">
        <f t="shared" si="56"/>
        <v>0.02</v>
      </c>
      <c r="S212" s="50">
        <f t="shared" si="57"/>
        <v>0.03</v>
      </c>
      <c r="T212" s="50">
        <f t="shared" si="58"/>
        <v>0.03</v>
      </c>
      <c r="U212" s="50">
        <f t="shared" si="59"/>
        <v>0.1</v>
      </c>
      <c r="V212" s="50">
        <f t="shared" si="60"/>
        <v>0.21</v>
      </c>
      <c r="W212" s="50">
        <f t="shared" si="61"/>
        <v>0.05</v>
      </c>
      <c r="X212" s="50">
        <f t="shared" si="62"/>
        <v>0.24</v>
      </c>
      <c r="Y212" s="50">
        <f t="shared" si="63"/>
        <v>0.05</v>
      </c>
      <c r="Z212" s="50">
        <f t="shared" si="64"/>
        <v>0.04</v>
      </c>
      <c r="AA212" s="50">
        <f t="shared" si="65"/>
        <v>0.06</v>
      </c>
      <c r="AB212" s="50">
        <f t="shared" si="66"/>
        <v>0.08</v>
      </c>
      <c r="AC212" s="50">
        <f t="shared" si="67"/>
        <v>0.05</v>
      </c>
      <c r="AD212" s="50">
        <f t="shared" si="68"/>
        <v>0.02</v>
      </c>
      <c r="AE212" s="50">
        <f t="shared" si="69"/>
        <v>0.02</v>
      </c>
      <c r="AF212" s="47">
        <f t="shared" si="71"/>
        <v>1</v>
      </c>
      <c r="AG212" s="50">
        <f>IF('Resultado da inspeção'!F212='Resultado da inspeção'!$W$3,0%,Ranking!R212)</f>
        <v>0.02</v>
      </c>
      <c r="AH212" s="50">
        <f>IF('Resultado da inspeção'!G212='Resultado da inspeção'!$W$3,0%,Ranking!S212)</f>
        <v>0.03</v>
      </c>
      <c r="AI212" s="50">
        <f>IF('Resultado da inspeção'!H212='Resultado da inspeção'!$W$3,0%,Ranking!T212)</f>
        <v>0.03</v>
      </c>
      <c r="AJ212" s="50">
        <f>IF('Resultado da inspeção'!I212='Resultado da inspeção'!$W$3,0%,Ranking!U212)</f>
        <v>0.1</v>
      </c>
      <c r="AK212" s="50">
        <f>IF('Resultado da inspeção'!J212='Resultado da inspeção'!$W$3,0%,Ranking!V212)</f>
        <v>0.21</v>
      </c>
      <c r="AL212" s="50">
        <f>IF('Resultado da inspeção'!K212='Resultado da inspeção'!$W$3,0%,Ranking!W212)</f>
        <v>0.05</v>
      </c>
      <c r="AM212" s="50">
        <f>IF('Resultado da inspeção'!L212='Resultado da inspeção'!$W$3,0%,Ranking!X212)</f>
        <v>0.24</v>
      </c>
      <c r="AN212" s="50">
        <f>IF('Resultado da inspeção'!M212='Resultado da inspeção'!$W$3,0%,Ranking!Y212)</f>
        <v>0.05</v>
      </c>
      <c r="AO212" s="50">
        <f>IF('Resultado da inspeção'!N212='Resultado da inspeção'!$W$3,0%,Ranking!Z212)</f>
        <v>0.04</v>
      </c>
      <c r="AP212" s="50">
        <f>IF('Resultado da inspeção'!O212='Resultado da inspeção'!$W$3,0%,Ranking!AA212)</f>
        <v>0.06</v>
      </c>
      <c r="AQ212" s="50">
        <f>IF('Resultado da inspeção'!P212='Resultado da inspeção'!$W$3,0%,Ranking!AB212)</f>
        <v>0.08</v>
      </c>
      <c r="AR212" s="50">
        <f>IF('Resultado da inspeção'!Q212='Resultado da inspeção'!$W$3,0%,Ranking!AC212)</f>
        <v>0.05</v>
      </c>
      <c r="AS212" s="50">
        <f>IF('Resultado da inspeção'!R212='Resultado da inspeção'!$W$3,0%,Ranking!AD212)</f>
        <v>0.02</v>
      </c>
      <c r="AT212" s="50">
        <f>IF('Resultado da inspeção'!S212='Resultado da inspeção'!$W$3,0%,Ranking!AE212)</f>
        <v>0.02</v>
      </c>
      <c r="AU212" s="49">
        <f t="shared" si="72"/>
        <v>1</v>
      </c>
    </row>
    <row r="213" spans="2:47" x14ac:dyDescent="0.25">
      <c r="B213" s="48">
        <f>IF('Resultado da inspeção'!F213='Resultado da inspeção'!$W$4,0%,Ranking!B$5)</f>
        <v>0.02</v>
      </c>
      <c r="C213" s="48">
        <f>IF('Resultado da inspeção'!G213='Resultado da inspeção'!$W$4,0%,Ranking!C$5)</f>
        <v>0.03</v>
      </c>
      <c r="D213" s="48">
        <f>IF('Resultado da inspeção'!H213='Resultado da inspeção'!$W$4,0%,Ranking!D$5)</f>
        <v>0.03</v>
      </c>
      <c r="E213" s="48">
        <f>IF('Resultado da inspeção'!I213='Resultado da inspeção'!$W$4,0%,Ranking!E$5)</f>
        <v>0.1</v>
      </c>
      <c r="F213" s="48">
        <f>IF('Resultado da inspeção'!J213='Resultado da inspeção'!$W$4,0%,Ranking!F$5)</f>
        <v>0.21</v>
      </c>
      <c r="G213" s="48">
        <f>IF('Resultado da inspeção'!K213='Resultado da inspeção'!$W$4,0%,Ranking!G$5)</f>
        <v>0.05</v>
      </c>
      <c r="H213" s="48">
        <f>IF('Resultado da inspeção'!L213='Resultado da inspeção'!$W$4,0%,Ranking!H$5)</f>
        <v>0.24</v>
      </c>
      <c r="I213" s="48">
        <f>IF('Resultado da inspeção'!M213='Resultado da inspeção'!$W$4,0%,Ranking!I$5)</f>
        <v>0.05</v>
      </c>
      <c r="J213" s="48">
        <f>IF('Resultado da inspeção'!N213='Resultado da inspeção'!$W$4,0%,Ranking!J$5)</f>
        <v>0.04</v>
      </c>
      <c r="K213" s="48">
        <f>IF('Resultado da inspeção'!O213='Resultado da inspeção'!$W$4,0%,Ranking!K$5)</f>
        <v>0.06</v>
      </c>
      <c r="L213" s="48">
        <f>IF('Resultado da inspeção'!P213='Resultado da inspeção'!$W$4,0%,Ranking!L$5)</f>
        <v>0.08</v>
      </c>
      <c r="M213" s="48">
        <f>IF('Resultado da inspeção'!Q213='Resultado da inspeção'!$W$4,0%,Ranking!M$5)</f>
        <v>0.05</v>
      </c>
      <c r="N213" s="48">
        <f>IF('Resultado da inspeção'!R213='Resultado da inspeção'!$W$4,0%,Ranking!N$5)</f>
        <v>0.02</v>
      </c>
      <c r="O213" s="48">
        <f>IF('Resultado da inspeção'!S213='Resultado da inspeção'!$W$4,0%,Ranking!O$5)</f>
        <v>0.02</v>
      </c>
      <c r="P213" s="47">
        <f t="shared" si="55"/>
        <v>1</v>
      </c>
      <c r="Q213" s="49">
        <f t="shared" si="70"/>
        <v>0</v>
      </c>
      <c r="R213" s="50">
        <f t="shared" si="56"/>
        <v>0.02</v>
      </c>
      <c r="S213" s="50">
        <f t="shared" si="57"/>
        <v>0.03</v>
      </c>
      <c r="T213" s="50">
        <f t="shared" si="58"/>
        <v>0.03</v>
      </c>
      <c r="U213" s="50">
        <f t="shared" si="59"/>
        <v>0.1</v>
      </c>
      <c r="V213" s="50">
        <f t="shared" si="60"/>
        <v>0.21</v>
      </c>
      <c r="W213" s="50">
        <f t="shared" si="61"/>
        <v>0.05</v>
      </c>
      <c r="X213" s="50">
        <f t="shared" si="62"/>
        <v>0.24</v>
      </c>
      <c r="Y213" s="50">
        <f t="shared" si="63"/>
        <v>0.05</v>
      </c>
      <c r="Z213" s="50">
        <f t="shared" si="64"/>
        <v>0.04</v>
      </c>
      <c r="AA213" s="50">
        <f t="shared" si="65"/>
        <v>0.06</v>
      </c>
      <c r="AB213" s="50">
        <f t="shared" si="66"/>
        <v>0.08</v>
      </c>
      <c r="AC213" s="50">
        <f t="shared" si="67"/>
        <v>0.05</v>
      </c>
      <c r="AD213" s="50">
        <f t="shared" si="68"/>
        <v>0.02</v>
      </c>
      <c r="AE213" s="50">
        <f t="shared" si="69"/>
        <v>0.02</v>
      </c>
      <c r="AF213" s="47">
        <f t="shared" si="71"/>
        <v>1</v>
      </c>
      <c r="AG213" s="50">
        <f>IF('Resultado da inspeção'!F213='Resultado da inspeção'!$W$3,0%,Ranking!R213)</f>
        <v>0.02</v>
      </c>
      <c r="AH213" s="50">
        <f>IF('Resultado da inspeção'!G213='Resultado da inspeção'!$W$3,0%,Ranking!S213)</f>
        <v>0.03</v>
      </c>
      <c r="AI213" s="50">
        <f>IF('Resultado da inspeção'!H213='Resultado da inspeção'!$W$3,0%,Ranking!T213)</f>
        <v>0.03</v>
      </c>
      <c r="AJ213" s="50">
        <f>IF('Resultado da inspeção'!I213='Resultado da inspeção'!$W$3,0%,Ranking!U213)</f>
        <v>0.1</v>
      </c>
      <c r="AK213" s="50">
        <f>IF('Resultado da inspeção'!J213='Resultado da inspeção'!$W$3,0%,Ranking!V213)</f>
        <v>0.21</v>
      </c>
      <c r="AL213" s="50">
        <f>IF('Resultado da inspeção'!K213='Resultado da inspeção'!$W$3,0%,Ranking!W213)</f>
        <v>0.05</v>
      </c>
      <c r="AM213" s="50">
        <f>IF('Resultado da inspeção'!L213='Resultado da inspeção'!$W$3,0%,Ranking!X213)</f>
        <v>0.24</v>
      </c>
      <c r="AN213" s="50">
        <f>IF('Resultado da inspeção'!M213='Resultado da inspeção'!$W$3,0%,Ranking!Y213)</f>
        <v>0.05</v>
      </c>
      <c r="AO213" s="50">
        <f>IF('Resultado da inspeção'!N213='Resultado da inspeção'!$W$3,0%,Ranking!Z213)</f>
        <v>0.04</v>
      </c>
      <c r="AP213" s="50">
        <f>IF('Resultado da inspeção'!O213='Resultado da inspeção'!$W$3,0%,Ranking!AA213)</f>
        <v>0.06</v>
      </c>
      <c r="AQ213" s="50">
        <f>IF('Resultado da inspeção'!P213='Resultado da inspeção'!$W$3,0%,Ranking!AB213)</f>
        <v>0.08</v>
      </c>
      <c r="AR213" s="50">
        <f>IF('Resultado da inspeção'!Q213='Resultado da inspeção'!$W$3,0%,Ranking!AC213)</f>
        <v>0.05</v>
      </c>
      <c r="AS213" s="50">
        <f>IF('Resultado da inspeção'!R213='Resultado da inspeção'!$W$3,0%,Ranking!AD213)</f>
        <v>0.02</v>
      </c>
      <c r="AT213" s="50">
        <f>IF('Resultado da inspeção'!S213='Resultado da inspeção'!$W$3,0%,Ranking!AE213)</f>
        <v>0.02</v>
      </c>
      <c r="AU213" s="49">
        <f t="shared" si="72"/>
        <v>1</v>
      </c>
    </row>
    <row r="214" spans="2:47" x14ac:dyDescent="0.25">
      <c r="B214" s="48">
        <f>IF('Resultado da inspeção'!F214='Resultado da inspeção'!$W$4,0%,Ranking!B$5)</f>
        <v>0.02</v>
      </c>
      <c r="C214" s="48">
        <f>IF('Resultado da inspeção'!G214='Resultado da inspeção'!$W$4,0%,Ranking!C$5)</f>
        <v>0.03</v>
      </c>
      <c r="D214" s="48">
        <f>IF('Resultado da inspeção'!H214='Resultado da inspeção'!$W$4,0%,Ranking!D$5)</f>
        <v>0.03</v>
      </c>
      <c r="E214" s="48">
        <f>IF('Resultado da inspeção'!I214='Resultado da inspeção'!$W$4,0%,Ranking!E$5)</f>
        <v>0.1</v>
      </c>
      <c r="F214" s="48">
        <f>IF('Resultado da inspeção'!J214='Resultado da inspeção'!$W$4,0%,Ranking!F$5)</f>
        <v>0.21</v>
      </c>
      <c r="G214" s="48">
        <f>IF('Resultado da inspeção'!K214='Resultado da inspeção'!$W$4,0%,Ranking!G$5)</f>
        <v>0.05</v>
      </c>
      <c r="H214" s="48">
        <f>IF('Resultado da inspeção'!L214='Resultado da inspeção'!$W$4,0%,Ranking!H$5)</f>
        <v>0.24</v>
      </c>
      <c r="I214" s="48">
        <f>IF('Resultado da inspeção'!M214='Resultado da inspeção'!$W$4,0%,Ranking!I$5)</f>
        <v>0.05</v>
      </c>
      <c r="J214" s="48">
        <f>IF('Resultado da inspeção'!N214='Resultado da inspeção'!$W$4,0%,Ranking!J$5)</f>
        <v>0.04</v>
      </c>
      <c r="K214" s="48">
        <f>IF('Resultado da inspeção'!O214='Resultado da inspeção'!$W$4,0%,Ranking!K$5)</f>
        <v>0.06</v>
      </c>
      <c r="L214" s="48">
        <f>IF('Resultado da inspeção'!P214='Resultado da inspeção'!$W$4,0%,Ranking!L$5)</f>
        <v>0.08</v>
      </c>
      <c r="M214" s="48">
        <f>IF('Resultado da inspeção'!Q214='Resultado da inspeção'!$W$4,0%,Ranking!M$5)</f>
        <v>0.05</v>
      </c>
      <c r="N214" s="48">
        <f>IF('Resultado da inspeção'!R214='Resultado da inspeção'!$W$4,0%,Ranking!N$5)</f>
        <v>0.02</v>
      </c>
      <c r="O214" s="48">
        <f>IF('Resultado da inspeção'!S214='Resultado da inspeção'!$W$4,0%,Ranking!O$5)</f>
        <v>0.02</v>
      </c>
      <c r="P214" s="47">
        <f t="shared" si="55"/>
        <v>1</v>
      </c>
      <c r="Q214" s="49">
        <f t="shared" si="70"/>
        <v>0</v>
      </c>
      <c r="R214" s="50">
        <f t="shared" si="56"/>
        <v>0.02</v>
      </c>
      <c r="S214" s="50">
        <f t="shared" si="57"/>
        <v>0.03</v>
      </c>
      <c r="T214" s="50">
        <f t="shared" si="58"/>
        <v>0.03</v>
      </c>
      <c r="U214" s="50">
        <f t="shared" si="59"/>
        <v>0.1</v>
      </c>
      <c r="V214" s="50">
        <f t="shared" si="60"/>
        <v>0.21</v>
      </c>
      <c r="W214" s="50">
        <f t="shared" si="61"/>
        <v>0.05</v>
      </c>
      <c r="X214" s="50">
        <f t="shared" si="62"/>
        <v>0.24</v>
      </c>
      <c r="Y214" s="50">
        <f t="shared" si="63"/>
        <v>0.05</v>
      </c>
      <c r="Z214" s="50">
        <f t="shared" si="64"/>
        <v>0.04</v>
      </c>
      <c r="AA214" s="50">
        <f t="shared" si="65"/>
        <v>0.06</v>
      </c>
      <c r="AB214" s="50">
        <f t="shared" si="66"/>
        <v>0.08</v>
      </c>
      <c r="AC214" s="50">
        <f t="shared" si="67"/>
        <v>0.05</v>
      </c>
      <c r="AD214" s="50">
        <f t="shared" si="68"/>
        <v>0.02</v>
      </c>
      <c r="AE214" s="50">
        <f t="shared" si="69"/>
        <v>0.02</v>
      </c>
      <c r="AF214" s="47">
        <f t="shared" si="71"/>
        <v>1</v>
      </c>
      <c r="AG214" s="50">
        <f>IF('Resultado da inspeção'!F214='Resultado da inspeção'!$W$3,0%,Ranking!R214)</f>
        <v>0.02</v>
      </c>
      <c r="AH214" s="50">
        <f>IF('Resultado da inspeção'!G214='Resultado da inspeção'!$W$3,0%,Ranking!S214)</f>
        <v>0.03</v>
      </c>
      <c r="AI214" s="50">
        <f>IF('Resultado da inspeção'!H214='Resultado da inspeção'!$W$3,0%,Ranking!T214)</f>
        <v>0.03</v>
      </c>
      <c r="AJ214" s="50">
        <f>IF('Resultado da inspeção'!I214='Resultado da inspeção'!$W$3,0%,Ranking!U214)</f>
        <v>0.1</v>
      </c>
      <c r="AK214" s="50">
        <f>IF('Resultado da inspeção'!J214='Resultado da inspeção'!$W$3,0%,Ranking!V214)</f>
        <v>0.21</v>
      </c>
      <c r="AL214" s="50">
        <f>IF('Resultado da inspeção'!K214='Resultado da inspeção'!$W$3,0%,Ranking!W214)</f>
        <v>0.05</v>
      </c>
      <c r="AM214" s="50">
        <f>IF('Resultado da inspeção'!L214='Resultado da inspeção'!$W$3,0%,Ranking!X214)</f>
        <v>0.24</v>
      </c>
      <c r="AN214" s="50">
        <f>IF('Resultado da inspeção'!M214='Resultado da inspeção'!$W$3,0%,Ranking!Y214)</f>
        <v>0.05</v>
      </c>
      <c r="AO214" s="50">
        <f>IF('Resultado da inspeção'!N214='Resultado da inspeção'!$W$3,0%,Ranking!Z214)</f>
        <v>0.04</v>
      </c>
      <c r="AP214" s="50">
        <f>IF('Resultado da inspeção'!O214='Resultado da inspeção'!$W$3,0%,Ranking!AA214)</f>
        <v>0.06</v>
      </c>
      <c r="AQ214" s="50">
        <f>IF('Resultado da inspeção'!P214='Resultado da inspeção'!$W$3,0%,Ranking!AB214)</f>
        <v>0.08</v>
      </c>
      <c r="AR214" s="50">
        <f>IF('Resultado da inspeção'!Q214='Resultado da inspeção'!$W$3,0%,Ranking!AC214)</f>
        <v>0.05</v>
      </c>
      <c r="AS214" s="50">
        <f>IF('Resultado da inspeção'!R214='Resultado da inspeção'!$W$3,0%,Ranking!AD214)</f>
        <v>0.02</v>
      </c>
      <c r="AT214" s="50">
        <f>IF('Resultado da inspeção'!S214='Resultado da inspeção'!$W$3,0%,Ranking!AE214)</f>
        <v>0.02</v>
      </c>
      <c r="AU214" s="49">
        <f t="shared" si="72"/>
        <v>1</v>
      </c>
    </row>
    <row r="215" spans="2:47" x14ac:dyDescent="0.25">
      <c r="B215" s="48">
        <f>IF('Resultado da inspeção'!F215='Resultado da inspeção'!$W$4,0%,Ranking!B$5)</f>
        <v>0.02</v>
      </c>
      <c r="C215" s="48">
        <f>IF('Resultado da inspeção'!G215='Resultado da inspeção'!$W$4,0%,Ranking!C$5)</f>
        <v>0.03</v>
      </c>
      <c r="D215" s="48">
        <f>IF('Resultado da inspeção'!H215='Resultado da inspeção'!$W$4,0%,Ranking!D$5)</f>
        <v>0.03</v>
      </c>
      <c r="E215" s="48">
        <f>IF('Resultado da inspeção'!I215='Resultado da inspeção'!$W$4,0%,Ranking!E$5)</f>
        <v>0.1</v>
      </c>
      <c r="F215" s="48">
        <f>IF('Resultado da inspeção'!J215='Resultado da inspeção'!$W$4,0%,Ranking!F$5)</f>
        <v>0.21</v>
      </c>
      <c r="G215" s="48">
        <f>IF('Resultado da inspeção'!K215='Resultado da inspeção'!$W$4,0%,Ranking!G$5)</f>
        <v>0.05</v>
      </c>
      <c r="H215" s="48">
        <f>IF('Resultado da inspeção'!L215='Resultado da inspeção'!$W$4,0%,Ranking!H$5)</f>
        <v>0.24</v>
      </c>
      <c r="I215" s="48">
        <f>IF('Resultado da inspeção'!M215='Resultado da inspeção'!$W$4,0%,Ranking!I$5)</f>
        <v>0.05</v>
      </c>
      <c r="J215" s="48">
        <f>IF('Resultado da inspeção'!N215='Resultado da inspeção'!$W$4,0%,Ranking!J$5)</f>
        <v>0.04</v>
      </c>
      <c r="K215" s="48">
        <f>IF('Resultado da inspeção'!O215='Resultado da inspeção'!$W$4,0%,Ranking!K$5)</f>
        <v>0.06</v>
      </c>
      <c r="L215" s="48">
        <f>IF('Resultado da inspeção'!P215='Resultado da inspeção'!$W$4,0%,Ranking!L$5)</f>
        <v>0.08</v>
      </c>
      <c r="M215" s="48">
        <f>IF('Resultado da inspeção'!Q215='Resultado da inspeção'!$W$4,0%,Ranking!M$5)</f>
        <v>0.05</v>
      </c>
      <c r="N215" s="48">
        <f>IF('Resultado da inspeção'!R215='Resultado da inspeção'!$W$4,0%,Ranking!N$5)</f>
        <v>0.02</v>
      </c>
      <c r="O215" s="48">
        <f>IF('Resultado da inspeção'!S215='Resultado da inspeção'!$W$4,0%,Ranking!O$5)</f>
        <v>0.02</v>
      </c>
      <c r="P215" s="47">
        <f t="shared" si="55"/>
        <v>1</v>
      </c>
      <c r="Q215" s="49">
        <f t="shared" si="70"/>
        <v>0</v>
      </c>
      <c r="R215" s="50">
        <f t="shared" si="56"/>
        <v>0.02</v>
      </c>
      <c r="S215" s="50">
        <f t="shared" si="57"/>
        <v>0.03</v>
      </c>
      <c r="T215" s="50">
        <f t="shared" si="58"/>
        <v>0.03</v>
      </c>
      <c r="U215" s="50">
        <f t="shared" si="59"/>
        <v>0.1</v>
      </c>
      <c r="V215" s="50">
        <f t="shared" si="60"/>
        <v>0.21</v>
      </c>
      <c r="W215" s="50">
        <f t="shared" si="61"/>
        <v>0.05</v>
      </c>
      <c r="X215" s="50">
        <f t="shared" si="62"/>
        <v>0.24</v>
      </c>
      <c r="Y215" s="50">
        <f t="shared" si="63"/>
        <v>0.05</v>
      </c>
      <c r="Z215" s="50">
        <f t="shared" si="64"/>
        <v>0.04</v>
      </c>
      <c r="AA215" s="50">
        <f t="shared" si="65"/>
        <v>0.06</v>
      </c>
      <c r="AB215" s="50">
        <f t="shared" si="66"/>
        <v>0.08</v>
      </c>
      <c r="AC215" s="50">
        <f t="shared" si="67"/>
        <v>0.05</v>
      </c>
      <c r="AD215" s="50">
        <f t="shared" si="68"/>
        <v>0.02</v>
      </c>
      <c r="AE215" s="50">
        <f t="shared" si="69"/>
        <v>0.02</v>
      </c>
      <c r="AF215" s="47">
        <f t="shared" si="71"/>
        <v>1</v>
      </c>
      <c r="AG215" s="50">
        <f>IF('Resultado da inspeção'!F215='Resultado da inspeção'!$W$3,0%,Ranking!R215)</f>
        <v>0.02</v>
      </c>
      <c r="AH215" s="50">
        <f>IF('Resultado da inspeção'!G215='Resultado da inspeção'!$W$3,0%,Ranking!S215)</f>
        <v>0.03</v>
      </c>
      <c r="AI215" s="50">
        <f>IF('Resultado da inspeção'!H215='Resultado da inspeção'!$W$3,0%,Ranking!T215)</f>
        <v>0.03</v>
      </c>
      <c r="AJ215" s="50">
        <f>IF('Resultado da inspeção'!I215='Resultado da inspeção'!$W$3,0%,Ranking!U215)</f>
        <v>0.1</v>
      </c>
      <c r="AK215" s="50">
        <f>IF('Resultado da inspeção'!J215='Resultado da inspeção'!$W$3,0%,Ranking!V215)</f>
        <v>0.21</v>
      </c>
      <c r="AL215" s="50">
        <f>IF('Resultado da inspeção'!K215='Resultado da inspeção'!$W$3,0%,Ranking!W215)</f>
        <v>0.05</v>
      </c>
      <c r="AM215" s="50">
        <f>IF('Resultado da inspeção'!L215='Resultado da inspeção'!$W$3,0%,Ranking!X215)</f>
        <v>0.24</v>
      </c>
      <c r="AN215" s="50">
        <f>IF('Resultado da inspeção'!M215='Resultado da inspeção'!$W$3,0%,Ranking!Y215)</f>
        <v>0.05</v>
      </c>
      <c r="AO215" s="50">
        <f>IF('Resultado da inspeção'!N215='Resultado da inspeção'!$W$3,0%,Ranking!Z215)</f>
        <v>0.04</v>
      </c>
      <c r="AP215" s="50">
        <f>IF('Resultado da inspeção'!O215='Resultado da inspeção'!$W$3,0%,Ranking!AA215)</f>
        <v>0.06</v>
      </c>
      <c r="AQ215" s="50">
        <f>IF('Resultado da inspeção'!P215='Resultado da inspeção'!$W$3,0%,Ranking!AB215)</f>
        <v>0.08</v>
      </c>
      <c r="AR215" s="50">
        <f>IF('Resultado da inspeção'!Q215='Resultado da inspeção'!$W$3,0%,Ranking!AC215)</f>
        <v>0.05</v>
      </c>
      <c r="AS215" s="50">
        <f>IF('Resultado da inspeção'!R215='Resultado da inspeção'!$W$3,0%,Ranking!AD215)</f>
        <v>0.02</v>
      </c>
      <c r="AT215" s="50">
        <f>IF('Resultado da inspeção'!S215='Resultado da inspeção'!$W$3,0%,Ranking!AE215)</f>
        <v>0.02</v>
      </c>
      <c r="AU215" s="49">
        <f t="shared" si="72"/>
        <v>1</v>
      </c>
    </row>
    <row r="216" spans="2:47" x14ac:dyDescent="0.25">
      <c r="B216" s="48">
        <f>IF('Resultado da inspeção'!F216='Resultado da inspeção'!$W$4,0%,Ranking!B$5)</f>
        <v>0.02</v>
      </c>
      <c r="C216" s="48">
        <f>IF('Resultado da inspeção'!G216='Resultado da inspeção'!$W$4,0%,Ranking!C$5)</f>
        <v>0.03</v>
      </c>
      <c r="D216" s="48">
        <f>IF('Resultado da inspeção'!H216='Resultado da inspeção'!$W$4,0%,Ranking!D$5)</f>
        <v>0.03</v>
      </c>
      <c r="E216" s="48">
        <f>IF('Resultado da inspeção'!I216='Resultado da inspeção'!$W$4,0%,Ranking!E$5)</f>
        <v>0.1</v>
      </c>
      <c r="F216" s="48">
        <f>IF('Resultado da inspeção'!J216='Resultado da inspeção'!$W$4,0%,Ranking!F$5)</f>
        <v>0.21</v>
      </c>
      <c r="G216" s="48">
        <f>IF('Resultado da inspeção'!K216='Resultado da inspeção'!$W$4,0%,Ranking!G$5)</f>
        <v>0.05</v>
      </c>
      <c r="H216" s="48">
        <f>IF('Resultado da inspeção'!L216='Resultado da inspeção'!$W$4,0%,Ranking!H$5)</f>
        <v>0.24</v>
      </c>
      <c r="I216" s="48">
        <f>IF('Resultado da inspeção'!M216='Resultado da inspeção'!$W$4,0%,Ranking!I$5)</f>
        <v>0.05</v>
      </c>
      <c r="J216" s="48">
        <f>IF('Resultado da inspeção'!N216='Resultado da inspeção'!$W$4,0%,Ranking!J$5)</f>
        <v>0.04</v>
      </c>
      <c r="K216" s="48">
        <f>IF('Resultado da inspeção'!O216='Resultado da inspeção'!$W$4,0%,Ranking!K$5)</f>
        <v>0.06</v>
      </c>
      <c r="L216" s="48">
        <f>IF('Resultado da inspeção'!P216='Resultado da inspeção'!$W$4,0%,Ranking!L$5)</f>
        <v>0.08</v>
      </c>
      <c r="M216" s="48">
        <f>IF('Resultado da inspeção'!Q216='Resultado da inspeção'!$W$4,0%,Ranking!M$5)</f>
        <v>0.05</v>
      </c>
      <c r="N216" s="48">
        <f>IF('Resultado da inspeção'!R216='Resultado da inspeção'!$W$4,0%,Ranking!N$5)</f>
        <v>0.02</v>
      </c>
      <c r="O216" s="48">
        <f>IF('Resultado da inspeção'!S216='Resultado da inspeção'!$W$4,0%,Ranking!O$5)</f>
        <v>0.02</v>
      </c>
      <c r="P216" s="47">
        <f t="shared" si="55"/>
        <v>1</v>
      </c>
      <c r="Q216" s="49">
        <f t="shared" si="70"/>
        <v>0</v>
      </c>
      <c r="R216" s="50">
        <f t="shared" si="56"/>
        <v>0.02</v>
      </c>
      <c r="S216" s="50">
        <f t="shared" si="57"/>
        <v>0.03</v>
      </c>
      <c r="T216" s="50">
        <f t="shared" si="58"/>
        <v>0.03</v>
      </c>
      <c r="U216" s="50">
        <f t="shared" si="59"/>
        <v>0.1</v>
      </c>
      <c r="V216" s="50">
        <f t="shared" si="60"/>
        <v>0.21</v>
      </c>
      <c r="W216" s="50">
        <f t="shared" si="61"/>
        <v>0.05</v>
      </c>
      <c r="X216" s="50">
        <f t="shared" si="62"/>
        <v>0.24</v>
      </c>
      <c r="Y216" s="50">
        <f t="shared" si="63"/>
        <v>0.05</v>
      </c>
      <c r="Z216" s="50">
        <f t="shared" si="64"/>
        <v>0.04</v>
      </c>
      <c r="AA216" s="50">
        <f t="shared" si="65"/>
        <v>0.06</v>
      </c>
      <c r="AB216" s="50">
        <f t="shared" si="66"/>
        <v>0.08</v>
      </c>
      <c r="AC216" s="50">
        <f t="shared" si="67"/>
        <v>0.05</v>
      </c>
      <c r="AD216" s="50">
        <f t="shared" si="68"/>
        <v>0.02</v>
      </c>
      <c r="AE216" s="50">
        <f t="shared" si="69"/>
        <v>0.02</v>
      </c>
      <c r="AF216" s="47">
        <f t="shared" si="71"/>
        <v>1</v>
      </c>
      <c r="AG216" s="50">
        <f>IF('Resultado da inspeção'!F216='Resultado da inspeção'!$W$3,0%,Ranking!R216)</f>
        <v>0.02</v>
      </c>
      <c r="AH216" s="50">
        <f>IF('Resultado da inspeção'!G216='Resultado da inspeção'!$W$3,0%,Ranking!S216)</f>
        <v>0.03</v>
      </c>
      <c r="AI216" s="50">
        <f>IF('Resultado da inspeção'!H216='Resultado da inspeção'!$W$3,0%,Ranking!T216)</f>
        <v>0.03</v>
      </c>
      <c r="AJ216" s="50">
        <f>IF('Resultado da inspeção'!I216='Resultado da inspeção'!$W$3,0%,Ranking!U216)</f>
        <v>0.1</v>
      </c>
      <c r="AK216" s="50">
        <f>IF('Resultado da inspeção'!J216='Resultado da inspeção'!$W$3,0%,Ranking!V216)</f>
        <v>0.21</v>
      </c>
      <c r="AL216" s="50">
        <f>IF('Resultado da inspeção'!K216='Resultado da inspeção'!$W$3,0%,Ranking!W216)</f>
        <v>0.05</v>
      </c>
      <c r="AM216" s="50">
        <f>IF('Resultado da inspeção'!L216='Resultado da inspeção'!$W$3,0%,Ranking!X216)</f>
        <v>0.24</v>
      </c>
      <c r="AN216" s="50">
        <f>IF('Resultado da inspeção'!M216='Resultado da inspeção'!$W$3,0%,Ranking!Y216)</f>
        <v>0.05</v>
      </c>
      <c r="AO216" s="50">
        <f>IF('Resultado da inspeção'!N216='Resultado da inspeção'!$W$3,0%,Ranking!Z216)</f>
        <v>0.04</v>
      </c>
      <c r="AP216" s="50">
        <f>IF('Resultado da inspeção'!O216='Resultado da inspeção'!$W$3,0%,Ranking!AA216)</f>
        <v>0.06</v>
      </c>
      <c r="AQ216" s="50">
        <f>IF('Resultado da inspeção'!P216='Resultado da inspeção'!$W$3,0%,Ranking!AB216)</f>
        <v>0.08</v>
      </c>
      <c r="AR216" s="50">
        <f>IF('Resultado da inspeção'!Q216='Resultado da inspeção'!$W$3,0%,Ranking!AC216)</f>
        <v>0.05</v>
      </c>
      <c r="AS216" s="50">
        <f>IF('Resultado da inspeção'!R216='Resultado da inspeção'!$W$3,0%,Ranking!AD216)</f>
        <v>0.02</v>
      </c>
      <c r="AT216" s="50">
        <f>IF('Resultado da inspeção'!S216='Resultado da inspeção'!$W$3,0%,Ranking!AE216)</f>
        <v>0.02</v>
      </c>
      <c r="AU216" s="49">
        <f t="shared" si="72"/>
        <v>1</v>
      </c>
    </row>
    <row r="217" spans="2:47" x14ac:dyDescent="0.25">
      <c r="B217" s="48">
        <f>IF('Resultado da inspeção'!F217='Resultado da inspeção'!$W$4,0%,Ranking!B$5)</f>
        <v>0.02</v>
      </c>
      <c r="C217" s="48">
        <f>IF('Resultado da inspeção'!G217='Resultado da inspeção'!$W$4,0%,Ranking!C$5)</f>
        <v>0.03</v>
      </c>
      <c r="D217" s="48">
        <f>IF('Resultado da inspeção'!H217='Resultado da inspeção'!$W$4,0%,Ranking!D$5)</f>
        <v>0.03</v>
      </c>
      <c r="E217" s="48">
        <f>IF('Resultado da inspeção'!I217='Resultado da inspeção'!$W$4,0%,Ranking!E$5)</f>
        <v>0.1</v>
      </c>
      <c r="F217" s="48">
        <f>IF('Resultado da inspeção'!J217='Resultado da inspeção'!$W$4,0%,Ranking!F$5)</f>
        <v>0.21</v>
      </c>
      <c r="G217" s="48">
        <f>IF('Resultado da inspeção'!K217='Resultado da inspeção'!$W$4,0%,Ranking!G$5)</f>
        <v>0.05</v>
      </c>
      <c r="H217" s="48">
        <f>IF('Resultado da inspeção'!L217='Resultado da inspeção'!$W$4,0%,Ranking!H$5)</f>
        <v>0.24</v>
      </c>
      <c r="I217" s="48">
        <f>IF('Resultado da inspeção'!M217='Resultado da inspeção'!$W$4,0%,Ranking!I$5)</f>
        <v>0.05</v>
      </c>
      <c r="J217" s="48">
        <f>IF('Resultado da inspeção'!N217='Resultado da inspeção'!$W$4,0%,Ranking!J$5)</f>
        <v>0.04</v>
      </c>
      <c r="K217" s="48">
        <f>IF('Resultado da inspeção'!O217='Resultado da inspeção'!$W$4,0%,Ranking!K$5)</f>
        <v>0.06</v>
      </c>
      <c r="L217" s="48">
        <f>IF('Resultado da inspeção'!P217='Resultado da inspeção'!$W$4,0%,Ranking!L$5)</f>
        <v>0.08</v>
      </c>
      <c r="M217" s="48">
        <f>IF('Resultado da inspeção'!Q217='Resultado da inspeção'!$W$4,0%,Ranking!M$5)</f>
        <v>0.05</v>
      </c>
      <c r="N217" s="48">
        <f>IF('Resultado da inspeção'!R217='Resultado da inspeção'!$W$4,0%,Ranking!N$5)</f>
        <v>0.02</v>
      </c>
      <c r="O217" s="48">
        <f>IF('Resultado da inspeção'!S217='Resultado da inspeção'!$W$4,0%,Ranking!O$5)</f>
        <v>0.02</v>
      </c>
      <c r="P217" s="47">
        <f t="shared" si="55"/>
        <v>1</v>
      </c>
      <c r="Q217" s="49">
        <f t="shared" si="70"/>
        <v>0</v>
      </c>
      <c r="R217" s="50">
        <f t="shared" si="56"/>
        <v>0.02</v>
      </c>
      <c r="S217" s="50">
        <f t="shared" si="57"/>
        <v>0.03</v>
      </c>
      <c r="T217" s="50">
        <f t="shared" si="58"/>
        <v>0.03</v>
      </c>
      <c r="U217" s="50">
        <f t="shared" si="59"/>
        <v>0.1</v>
      </c>
      <c r="V217" s="50">
        <f t="shared" si="60"/>
        <v>0.21</v>
      </c>
      <c r="W217" s="50">
        <f t="shared" si="61"/>
        <v>0.05</v>
      </c>
      <c r="X217" s="50">
        <f t="shared" si="62"/>
        <v>0.24</v>
      </c>
      <c r="Y217" s="50">
        <f t="shared" si="63"/>
        <v>0.05</v>
      </c>
      <c r="Z217" s="50">
        <f t="shared" si="64"/>
        <v>0.04</v>
      </c>
      <c r="AA217" s="50">
        <f t="shared" si="65"/>
        <v>0.06</v>
      </c>
      <c r="AB217" s="50">
        <f t="shared" si="66"/>
        <v>0.08</v>
      </c>
      <c r="AC217" s="50">
        <f t="shared" si="67"/>
        <v>0.05</v>
      </c>
      <c r="AD217" s="50">
        <f t="shared" si="68"/>
        <v>0.02</v>
      </c>
      <c r="AE217" s="50">
        <f t="shared" si="69"/>
        <v>0.02</v>
      </c>
      <c r="AF217" s="47">
        <f t="shared" si="71"/>
        <v>1</v>
      </c>
      <c r="AG217" s="50">
        <f>IF('Resultado da inspeção'!F217='Resultado da inspeção'!$W$3,0%,Ranking!R217)</f>
        <v>0.02</v>
      </c>
      <c r="AH217" s="50">
        <f>IF('Resultado da inspeção'!G217='Resultado da inspeção'!$W$3,0%,Ranking!S217)</f>
        <v>0.03</v>
      </c>
      <c r="AI217" s="50">
        <f>IF('Resultado da inspeção'!H217='Resultado da inspeção'!$W$3,0%,Ranking!T217)</f>
        <v>0.03</v>
      </c>
      <c r="AJ217" s="50">
        <f>IF('Resultado da inspeção'!I217='Resultado da inspeção'!$W$3,0%,Ranking!U217)</f>
        <v>0.1</v>
      </c>
      <c r="AK217" s="50">
        <f>IF('Resultado da inspeção'!J217='Resultado da inspeção'!$W$3,0%,Ranking!V217)</f>
        <v>0.21</v>
      </c>
      <c r="AL217" s="50">
        <f>IF('Resultado da inspeção'!K217='Resultado da inspeção'!$W$3,0%,Ranking!W217)</f>
        <v>0.05</v>
      </c>
      <c r="AM217" s="50">
        <f>IF('Resultado da inspeção'!L217='Resultado da inspeção'!$W$3,0%,Ranking!X217)</f>
        <v>0.24</v>
      </c>
      <c r="AN217" s="50">
        <f>IF('Resultado da inspeção'!M217='Resultado da inspeção'!$W$3,0%,Ranking!Y217)</f>
        <v>0.05</v>
      </c>
      <c r="AO217" s="50">
        <f>IF('Resultado da inspeção'!N217='Resultado da inspeção'!$W$3,0%,Ranking!Z217)</f>
        <v>0.04</v>
      </c>
      <c r="AP217" s="50">
        <f>IF('Resultado da inspeção'!O217='Resultado da inspeção'!$W$3,0%,Ranking!AA217)</f>
        <v>0.06</v>
      </c>
      <c r="AQ217" s="50">
        <f>IF('Resultado da inspeção'!P217='Resultado da inspeção'!$W$3,0%,Ranking!AB217)</f>
        <v>0.08</v>
      </c>
      <c r="AR217" s="50">
        <f>IF('Resultado da inspeção'!Q217='Resultado da inspeção'!$W$3,0%,Ranking!AC217)</f>
        <v>0.05</v>
      </c>
      <c r="AS217" s="50">
        <f>IF('Resultado da inspeção'!R217='Resultado da inspeção'!$W$3,0%,Ranking!AD217)</f>
        <v>0.02</v>
      </c>
      <c r="AT217" s="50">
        <f>IF('Resultado da inspeção'!S217='Resultado da inspeção'!$W$3,0%,Ranking!AE217)</f>
        <v>0.02</v>
      </c>
      <c r="AU217" s="49">
        <f t="shared" si="72"/>
        <v>1</v>
      </c>
    </row>
    <row r="218" spans="2:47" x14ac:dyDescent="0.25">
      <c r="B218" s="48">
        <f>IF('Resultado da inspeção'!F218='Resultado da inspeção'!$W$4,0%,Ranking!B$5)</f>
        <v>0.02</v>
      </c>
      <c r="C218" s="48">
        <f>IF('Resultado da inspeção'!G218='Resultado da inspeção'!$W$4,0%,Ranking!C$5)</f>
        <v>0.03</v>
      </c>
      <c r="D218" s="48">
        <f>IF('Resultado da inspeção'!H218='Resultado da inspeção'!$W$4,0%,Ranking!D$5)</f>
        <v>0.03</v>
      </c>
      <c r="E218" s="48">
        <f>IF('Resultado da inspeção'!I218='Resultado da inspeção'!$W$4,0%,Ranking!E$5)</f>
        <v>0.1</v>
      </c>
      <c r="F218" s="48">
        <f>IF('Resultado da inspeção'!J218='Resultado da inspeção'!$W$4,0%,Ranking!F$5)</f>
        <v>0.21</v>
      </c>
      <c r="G218" s="48">
        <f>IF('Resultado da inspeção'!K218='Resultado da inspeção'!$W$4,0%,Ranking!G$5)</f>
        <v>0.05</v>
      </c>
      <c r="H218" s="48">
        <f>IF('Resultado da inspeção'!L218='Resultado da inspeção'!$W$4,0%,Ranking!H$5)</f>
        <v>0.24</v>
      </c>
      <c r="I218" s="48">
        <f>IF('Resultado da inspeção'!M218='Resultado da inspeção'!$W$4,0%,Ranking!I$5)</f>
        <v>0.05</v>
      </c>
      <c r="J218" s="48">
        <f>IF('Resultado da inspeção'!N218='Resultado da inspeção'!$W$4,0%,Ranking!J$5)</f>
        <v>0.04</v>
      </c>
      <c r="K218" s="48">
        <f>IF('Resultado da inspeção'!O218='Resultado da inspeção'!$W$4,0%,Ranking!K$5)</f>
        <v>0.06</v>
      </c>
      <c r="L218" s="48">
        <f>IF('Resultado da inspeção'!P218='Resultado da inspeção'!$W$4,0%,Ranking!L$5)</f>
        <v>0.08</v>
      </c>
      <c r="M218" s="48">
        <f>IF('Resultado da inspeção'!Q218='Resultado da inspeção'!$W$4,0%,Ranking!M$5)</f>
        <v>0.05</v>
      </c>
      <c r="N218" s="48">
        <f>IF('Resultado da inspeção'!R218='Resultado da inspeção'!$W$4,0%,Ranking!N$5)</f>
        <v>0.02</v>
      </c>
      <c r="O218" s="48">
        <f>IF('Resultado da inspeção'!S218='Resultado da inspeção'!$W$4,0%,Ranking!O$5)</f>
        <v>0.02</v>
      </c>
      <c r="P218" s="47">
        <f t="shared" si="55"/>
        <v>1</v>
      </c>
      <c r="Q218" s="49">
        <f t="shared" si="70"/>
        <v>0</v>
      </c>
      <c r="R218" s="50">
        <f t="shared" si="56"/>
        <v>0.02</v>
      </c>
      <c r="S218" s="50">
        <f t="shared" si="57"/>
        <v>0.03</v>
      </c>
      <c r="T218" s="50">
        <f t="shared" si="58"/>
        <v>0.03</v>
      </c>
      <c r="U218" s="50">
        <f t="shared" si="59"/>
        <v>0.1</v>
      </c>
      <c r="V218" s="50">
        <f t="shared" si="60"/>
        <v>0.21</v>
      </c>
      <c r="W218" s="50">
        <f t="shared" si="61"/>
        <v>0.05</v>
      </c>
      <c r="X218" s="50">
        <f t="shared" si="62"/>
        <v>0.24</v>
      </c>
      <c r="Y218" s="50">
        <f t="shared" si="63"/>
        <v>0.05</v>
      </c>
      <c r="Z218" s="50">
        <f t="shared" si="64"/>
        <v>0.04</v>
      </c>
      <c r="AA218" s="50">
        <f t="shared" si="65"/>
        <v>0.06</v>
      </c>
      <c r="AB218" s="50">
        <f t="shared" si="66"/>
        <v>0.08</v>
      </c>
      <c r="AC218" s="50">
        <f t="shared" si="67"/>
        <v>0.05</v>
      </c>
      <c r="AD218" s="50">
        <f t="shared" si="68"/>
        <v>0.02</v>
      </c>
      <c r="AE218" s="50">
        <f t="shared" si="69"/>
        <v>0.02</v>
      </c>
      <c r="AF218" s="47">
        <f t="shared" si="71"/>
        <v>1</v>
      </c>
      <c r="AG218" s="50">
        <f>IF('Resultado da inspeção'!F218='Resultado da inspeção'!$W$3,0%,Ranking!R218)</f>
        <v>0.02</v>
      </c>
      <c r="AH218" s="50">
        <f>IF('Resultado da inspeção'!G218='Resultado da inspeção'!$W$3,0%,Ranking!S218)</f>
        <v>0.03</v>
      </c>
      <c r="AI218" s="50">
        <f>IF('Resultado da inspeção'!H218='Resultado da inspeção'!$W$3,0%,Ranking!T218)</f>
        <v>0.03</v>
      </c>
      <c r="AJ218" s="50">
        <f>IF('Resultado da inspeção'!I218='Resultado da inspeção'!$W$3,0%,Ranking!U218)</f>
        <v>0.1</v>
      </c>
      <c r="AK218" s="50">
        <f>IF('Resultado da inspeção'!J218='Resultado da inspeção'!$W$3,0%,Ranking!V218)</f>
        <v>0.21</v>
      </c>
      <c r="AL218" s="50">
        <f>IF('Resultado da inspeção'!K218='Resultado da inspeção'!$W$3,0%,Ranking!W218)</f>
        <v>0.05</v>
      </c>
      <c r="AM218" s="50">
        <f>IF('Resultado da inspeção'!L218='Resultado da inspeção'!$W$3,0%,Ranking!X218)</f>
        <v>0.24</v>
      </c>
      <c r="AN218" s="50">
        <f>IF('Resultado da inspeção'!M218='Resultado da inspeção'!$W$3,0%,Ranking!Y218)</f>
        <v>0.05</v>
      </c>
      <c r="AO218" s="50">
        <f>IF('Resultado da inspeção'!N218='Resultado da inspeção'!$W$3,0%,Ranking!Z218)</f>
        <v>0.04</v>
      </c>
      <c r="AP218" s="50">
        <f>IF('Resultado da inspeção'!O218='Resultado da inspeção'!$W$3,0%,Ranking!AA218)</f>
        <v>0.06</v>
      </c>
      <c r="AQ218" s="50">
        <f>IF('Resultado da inspeção'!P218='Resultado da inspeção'!$W$3,0%,Ranking!AB218)</f>
        <v>0.08</v>
      </c>
      <c r="AR218" s="50">
        <f>IF('Resultado da inspeção'!Q218='Resultado da inspeção'!$W$3,0%,Ranking!AC218)</f>
        <v>0.05</v>
      </c>
      <c r="AS218" s="50">
        <f>IF('Resultado da inspeção'!R218='Resultado da inspeção'!$W$3,0%,Ranking!AD218)</f>
        <v>0.02</v>
      </c>
      <c r="AT218" s="50">
        <f>IF('Resultado da inspeção'!S218='Resultado da inspeção'!$W$3,0%,Ranking!AE218)</f>
        <v>0.02</v>
      </c>
      <c r="AU218" s="49">
        <f t="shared" si="72"/>
        <v>1</v>
      </c>
    </row>
    <row r="219" spans="2:47" x14ac:dyDescent="0.25">
      <c r="B219" s="48">
        <f>IF('Resultado da inspeção'!F219='Resultado da inspeção'!$W$4,0%,Ranking!B$5)</f>
        <v>0.02</v>
      </c>
      <c r="C219" s="48">
        <f>IF('Resultado da inspeção'!G219='Resultado da inspeção'!$W$4,0%,Ranking!C$5)</f>
        <v>0.03</v>
      </c>
      <c r="D219" s="48">
        <f>IF('Resultado da inspeção'!H219='Resultado da inspeção'!$W$4,0%,Ranking!D$5)</f>
        <v>0.03</v>
      </c>
      <c r="E219" s="48">
        <f>IF('Resultado da inspeção'!I219='Resultado da inspeção'!$W$4,0%,Ranking!E$5)</f>
        <v>0.1</v>
      </c>
      <c r="F219" s="48">
        <f>IF('Resultado da inspeção'!J219='Resultado da inspeção'!$W$4,0%,Ranking!F$5)</f>
        <v>0.21</v>
      </c>
      <c r="G219" s="48">
        <f>IF('Resultado da inspeção'!K219='Resultado da inspeção'!$W$4,0%,Ranking!G$5)</f>
        <v>0.05</v>
      </c>
      <c r="H219" s="48">
        <f>IF('Resultado da inspeção'!L219='Resultado da inspeção'!$W$4,0%,Ranking!H$5)</f>
        <v>0.24</v>
      </c>
      <c r="I219" s="48">
        <f>IF('Resultado da inspeção'!M219='Resultado da inspeção'!$W$4,0%,Ranking!I$5)</f>
        <v>0.05</v>
      </c>
      <c r="J219" s="48">
        <f>IF('Resultado da inspeção'!N219='Resultado da inspeção'!$W$4,0%,Ranking!J$5)</f>
        <v>0.04</v>
      </c>
      <c r="K219" s="48">
        <f>IF('Resultado da inspeção'!O219='Resultado da inspeção'!$W$4,0%,Ranking!K$5)</f>
        <v>0.06</v>
      </c>
      <c r="L219" s="48">
        <f>IF('Resultado da inspeção'!P219='Resultado da inspeção'!$W$4,0%,Ranking!L$5)</f>
        <v>0.08</v>
      </c>
      <c r="M219" s="48">
        <f>IF('Resultado da inspeção'!Q219='Resultado da inspeção'!$W$4,0%,Ranking!M$5)</f>
        <v>0.05</v>
      </c>
      <c r="N219" s="48">
        <f>IF('Resultado da inspeção'!R219='Resultado da inspeção'!$W$4,0%,Ranking!N$5)</f>
        <v>0.02</v>
      </c>
      <c r="O219" s="48">
        <f>IF('Resultado da inspeção'!S219='Resultado da inspeção'!$W$4,0%,Ranking!O$5)</f>
        <v>0.02</v>
      </c>
      <c r="P219" s="47">
        <f t="shared" si="55"/>
        <v>1</v>
      </c>
      <c r="Q219" s="49">
        <f t="shared" si="70"/>
        <v>0</v>
      </c>
      <c r="R219" s="50">
        <f t="shared" si="56"/>
        <v>0.02</v>
      </c>
      <c r="S219" s="50">
        <f t="shared" si="57"/>
        <v>0.03</v>
      </c>
      <c r="T219" s="50">
        <f t="shared" si="58"/>
        <v>0.03</v>
      </c>
      <c r="U219" s="50">
        <f t="shared" si="59"/>
        <v>0.1</v>
      </c>
      <c r="V219" s="50">
        <f t="shared" si="60"/>
        <v>0.21</v>
      </c>
      <c r="W219" s="50">
        <f t="shared" si="61"/>
        <v>0.05</v>
      </c>
      <c r="X219" s="50">
        <f t="shared" si="62"/>
        <v>0.24</v>
      </c>
      <c r="Y219" s="50">
        <f t="shared" si="63"/>
        <v>0.05</v>
      </c>
      <c r="Z219" s="50">
        <f t="shared" si="64"/>
        <v>0.04</v>
      </c>
      <c r="AA219" s="50">
        <f t="shared" si="65"/>
        <v>0.06</v>
      </c>
      <c r="AB219" s="50">
        <f t="shared" si="66"/>
        <v>0.08</v>
      </c>
      <c r="AC219" s="50">
        <f t="shared" si="67"/>
        <v>0.05</v>
      </c>
      <c r="AD219" s="50">
        <f t="shared" si="68"/>
        <v>0.02</v>
      </c>
      <c r="AE219" s="50">
        <f t="shared" si="69"/>
        <v>0.02</v>
      </c>
      <c r="AF219" s="47">
        <f t="shared" si="71"/>
        <v>1</v>
      </c>
      <c r="AG219" s="50">
        <f>IF('Resultado da inspeção'!F219='Resultado da inspeção'!$W$3,0%,Ranking!R219)</f>
        <v>0.02</v>
      </c>
      <c r="AH219" s="50">
        <f>IF('Resultado da inspeção'!G219='Resultado da inspeção'!$W$3,0%,Ranking!S219)</f>
        <v>0.03</v>
      </c>
      <c r="AI219" s="50">
        <f>IF('Resultado da inspeção'!H219='Resultado da inspeção'!$W$3,0%,Ranking!T219)</f>
        <v>0.03</v>
      </c>
      <c r="AJ219" s="50">
        <f>IF('Resultado da inspeção'!I219='Resultado da inspeção'!$W$3,0%,Ranking!U219)</f>
        <v>0.1</v>
      </c>
      <c r="AK219" s="50">
        <f>IF('Resultado da inspeção'!J219='Resultado da inspeção'!$W$3,0%,Ranking!V219)</f>
        <v>0.21</v>
      </c>
      <c r="AL219" s="50">
        <f>IF('Resultado da inspeção'!K219='Resultado da inspeção'!$W$3,0%,Ranking!W219)</f>
        <v>0.05</v>
      </c>
      <c r="AM219" s="50">
        <f>IF('Resultado da inspeção'!L219='Resultado da inspeção'!$W$3,0%,Ranking!X219)</f>
        <v>0.24</v>
      </c>
      <c r="AN219" s="50">
        <f>IF('Resultado da inspeção'!M219='Resultado da inspeção'!$W$3,0%,Ranking!Y219)</f>
        <v>0.05</v>
      </c>
      <c r="AO219" s="50">
        <f>IF('Resultado da inspeção'!N219='Resultado da inspeção'!$W$3,0%,Ranking!Z219)</f>
        <v>0.04</v>
      </c>
      <c r="AP219" s="50">
        <f>IF('Resultado da inspeção'!O219='Resultado da inspeção'!$W$3,0%,Ranking!AA219)</f>
        <v>0.06</v>
      </c>
      <c r="AQ219" s="50">
        <f>IF('Resultado da inspeção'!P219='Resultado da inspeção'!$W$3,0%,Ranking!AB219)</f>
        <v>0.08</v>
      </c>
      <c r="AR219" s="50">
        <f>IF('Resultado da inspeção'!Q219='Resultado da inspeção'!$W$3,0%,Ranking!AC219)</f>
        <v>0.05</v>
      </c>
      <c r="AS219" s="50">
        <f>IF('Resultado da inspeção'!R219='Resultado da inspeção'!$W$3,0%,Ranking!AD219)</f>
        <v>0.02</v>
      </c>
      <c r="AT219" s="50">
        <f>IF('Resultado da inspeção'!S219='Resultado da inspeção'!$W$3,0%,Ranking!AE219)</f>
        <v>0.02</v>
      </c>
      <c r="AU219" s="49">
        <f t="shared" si="72"/>
        <v>1</v>
      </c>
    </row>
    <row r="220" spans="2:47" x14ac:dyDescent="0.25">
      <c r="B220" s="48">
        <f>IF('Resultado da inspeção'!F220='Resultado da inspeção'!$W$4,0%,Ranking!B$5)</f>
        <v>0.02</v>
      </c>
      <c r="C220" s="48">
        <f>IF('Resultado da inspeção'!G220='Resultado da inspeção'!$W$4,0%,Ranking!C$5)</f>
        <v>0.03</v>
      </c>
      <c r="D220" s="48">
        <f>IF('Resultado da inspeção'!H220='Resultado da inspeção'!$W$4,0%,Ranking!D$5)</f>
        <v>0.03</v>
      </c>
      <c r="E220" s="48">
        <f>IF('Resultado da inspeção'!I220='Resultado da inspeção'!$W$4,0%,Ranking!E$5)</f>
        <v>0.1</v>
      </c>
      <c r="F220" s="48">
        <f>IF('Resultado da inspeção'!J220='Resultado da inspeção'!$W$4,0%,Ranking!F$5)</f>
        <v>0.21</v>
      </c>
      <c r="G220" s="48">
        <f>IF('Resultado da inspeção'!K220='Resultado da inspeção'!$W$4,0%,Ranking!G$5)</f>
        <v>0.05</v>
      </c>
      <c r="H220" s="48">
        <f>IF('Resultado da inspeção'!L220='Resultado da inspeção'!$W$4,0%,Ranking!H$5)</f>
        <v>0.24</v>
      </c>
      <c r="I220" s="48">
        <f>IF('Resultado da inspeção'!M220='Resultado da inspeção'!$W$4,0%,Ranking!I$5)</f>
        <v>0.05</v>
      </c>
      <c r="J220" s="48">
        <f>IF('Resultado da inspeção'!N220='Resultado da inspeção'!$W$4,0%,Ranking!J$5)</f>
        <v>0.04</v>
      </c>
      <c r="K220" s="48">
        <f>IF('Resultado da inspeção'!O220='Resultado da inspeção'!$W$4,0%,Ranking!K$5)</f>
        <v>0.06</v>
      </c>
      <c r="L220" s="48">
        <f>IF('Resultado da inspeção'!P220='Resultado da inspeção'!$W$4,0%,Ranking!L$5)</f>
        <v>0.08</v>
      </c>
      <c r="M220" s="48">
        <f>IF('Resultado da inspeção'!Q220='Resultado da inspeção'!$W$4,0%,Ranking!M$5)</f>
        <v>0.05</v>
      </c>
      <c r="N220" s="48">
        <f>IF('Resultado da inspeção'!R220='Resultado da inspeção'!$W$4,0%,Ranking!N$5)</f>
        <v>0.02</v>
      </c>
      <c r="O220" s="48">
        <f>IF('Resultado da inspeção'!S220='Resultado da inspeção'!$W$4,0%,Ranking!O$5)</f>
        <v>0.02</v>
      </c>
      <c r="P220" s="47">
        <f t="shared" si="55"/>
        <v>1</v>
      </c>
      <c r="Q220" s="49">
        <f t="shared" si="70"/>
        <v>0</v>
      </c>
      <c r="R220" s="50">
        <f t="shared" si="56"/>
        <v>0.02</v>
      </c>
      <c r="S220" s="50">
        <f t="shared" si="57"/>
        <v>0.03</v>
      </c>
      <c r="T220" s="50">
        <f t="shared" si="58"/>
        <v>0.03</v>
      </c>
      <c r="U220" s="50">
        <f t="shared" si="59"/>
        <v>0.1</v>
      </c>
      <c r="V220" s="50">
        <f t="shared" si="60"/>
        <v>0.21</v>
      </c>
      <c r="W220" s="50">
        <f t="shared" si="61"/>
        <v>0.05</v>
      </c>
      <c r="X220" s="50">
        <f t="shared" si="62"/>
        <v>0.24</v>
      </c>
      <c r="Y220" s="50">
        <f t="shared" si="63"/>
        <v>0.05</v>
      </c>
      <c r="Z220" s="50">
        <f t="shared" si="64"/>
        <v>0.04</v>
      </c>
      <c r="AA220" s="50">
        <f t="shared" si="65"/>
        <v>0.06</v>
      </c>
      <c r="AB220" s="50">
        <f t="shared" si="66"/>
        <v>0.08</v>
      </c>
      <c r="AC220" s="50">
        <f t="shared" si="67"/>
        <v>0.05</v>
      </c>
      <c r="AD220" s="50">
        <f t="shared" si="68"/>
        <v>0.02</v>
      </c>
      <c r="AE220" s="50">
        <f t="shared" si="69"/>
        <v>0.02</v>
      </c>
      <c r="AF220" s="47">
        <f t="shared" si="71"/>
        <v>1</v>
      </c>
      <c r="AG220" s="50">
        <f>IF('Resultado da inspeção'!F220='Resultado da inspeção'!$W$3,0%,Ranking!R220)</f>
        <v>0.02</v>
      </c>
      <c r="AH220" s="50">
        <f>IF('Resultado da inspeção'!G220='Resultado da inspeção'!$W$3,0%,Ranking!S220)</f>
        <v>0.03</v>
      </c>
      <c r="AI220" s="50">
        <f>IF('Resultado da inspeção'!H220='Resultado da inspeção'!$W$3,0%,Ranking!T220)</f>
        <v>0.03</v>
      </c>
      <c r="AJ220" s="50">
        <f>IF('Resultado da inspeção'!I220='Resultado da inspeção'!$W$3,0%,Ranking!U220)</f>
        <v>0.1</v>
      </c>
      <c r="AK220" s="50">
        <f>IF('Resultado da inspeção'!J220='Resultado da inspeção'!$W$3,0%,Ranking!V220)</f>
        <v>0.21</v>
      </c>
      <c r="AL220" s="50">
        <f>IF('Resultado da inspeção'!K220='Resultado da inspeção'!$W$3,0%,Ranking!W220)</f>
        <v>0.05</v>
      </c>
      <c r="AM220" s="50">
        <f>IF('Resultado da inspeção'!L220='Resultado da inspeção'!$W$3,0%,Ranking!X220)</f>
        <v>0.24</v>
      </c>
      <c r="AN220" s="50">
        <f>IF('Resultado da inspeção'!M220='Resultado da inspeção'!$W$3,0%,Ranking!Y220)</f>
        <v>0.05</v>
      </c>
      <c r="AO220" s="50">
        <f>IF('Resultado da inspeção'!N220='Resultado da inspeção'!$W$3,0%,Ranking!Z220)</f>
        <v>0.04</v>
      </c>
      <c r="AP220" s="50">
        <f>IF('Resultado da inspeção'!O220='Resultado da inspeção'!$W$3,0%,Ranking!AA220)</f>
        <v>0.06</v>
      </c>
      <c r="AQ220" s="50">
        <f>IF('Resultado da inspeção'!P220='Resultado da inspeção'!$W$3,0%,Ranking!AB220)</f>
        <v>0.08</v>
      </c>
      <c r="AR220" s="50">
        <f>IF('Resultado da inspeção'!Q220='Resultado da inspeção'!$W$3,0%,Ranking!AC220)</f>
        <v>0.05</v>
      </c>
      <c r="AS220" s="50">
        <f>IF('Resultado da inspeção'!R220='Resultado da inspeção'!$W$3,0%,Ranking!AD220)</f>
        <v>0.02</v>
      </c>
      <c r="AT220" s="50">
        <f>IF('Resultado da inspeção'!S220='Resultado da inspeção'!$W$3,0%,Ranking!AE220)</f>
        <v>0.02</v>
      </c>
      <c r="AU220" s="49">
        <f t="shared" si="72"/>
        <v>1</v>
      </c>
    </row>
    <row r="221" spans="2:47" x14ac:dyDescent="0.25">
      <c r="B221" s="48">
        <f>IF('Resultado da inspeção'!F221='Resultado da inspeção'!$W$4,0%,Ranking!B$5)</f>
        <v>0.02</v>
      </c>
      <c r="C221" s="48">
        <f>IF('Resultado da inspeção'!G221='Resultado da inspeção'!$W$4,0%,Ranking!C$5)</f>
        <v>0.03</v>
      </c>
      <c r="D221" s="48">
        <f>IF('Resultado da inspeção'!H221='Resultado da inspeção'!$W$4,0%,Ranking!D$5)</f>
        <v>0.03</v>
      </c>
      <c r="E221" s="48">
        <f>IF('Resultado da inspeção'!I221='Resultado da inspeção'!$W$4,0%,Ranking!E$5)</f>
        <v>0.1</v>
      </c>
      <c r="F221" s="48">
        <f>IF('Resultado da inspeção'!J221='Resultado da inspeção'!$W$4,0%,Ranking!F$5)</f>
        <v>0.21</v>
      </c>
      <c r="G221" s="48">
        <f>IF('Resultado da inspeção'!K221='Resultado da inspeção'!$W$4,0%,Ranking!G$5)</f>
        <v>0.05</v>
      </c>
      <c r="H221" s="48">
        <f>IF('Resultado da inspeção'!L221='Resultado da inspeção'!$W$4,0%,Ranking!H$5)</f>
        <v>0.24</v>
      </c>
      <c r="I221" s="48">
        <f>IF('Resultado da inspeção'!M221='Resultado da inspeção'!$W$4,0%,Ranking!I$5)</f>
        <v>0.05</v>
      </c>
      <c r="J221" s="48">
        <f>IF('Resultado da inspeção'!N221='Resultado da inspeção'!$W$4,0%,Ranking!J$5)</f>
        <v>0.04</v>
      </c>
      <c r="K221" s="48">
        <f>IF('Resultado da inspeção'!O221='Resultado da inspeção'!$W$4,0%,Ranking!K$5)</f>
        <v>0.06</v>
      </c>
      <c r="L221" s="48">
        <f>IF('Resultado da inspeção'!P221='Resultado da inspeção'!$W$4,0%,Ranking!L$5)</f>
        <v>0.08</v>
      </c>
      <c r="M221" s="48">
        <f>IF('Resultado da inspeção'!Q221='Resultado da inspeção'!$W$4,0%,Ranking!M$5)</f>
        <v>0.05</v>
      </c>
      <c r="N221" s="48">
        <f>IF('Resultado da inspeção'!R221='Resultado da inspeção'!$W$4,0%,Ranking!N$5)</f>
        <v>0.02</v>
      </c>
      <c r="O221" s="48">
        <f>IF('Resultado da inspeção'!S221='Resultado da inspeção'!$W$4,0%,Ranking!O$5)</f>
        <v>0.02</v>
      </c>
      <c r="P221" s="47">
        <f t="shared" si="55"/>
        <v>1</v>
      </c>
      <c r="Q221" s="49">
        <f t="shared" si="70"/>
        <v>0</v>
      </c>
      <c r="R221" s="50">
        <f t="shared" si="56"/>
        <v>0.02</v>
      </c>
      <c r="S221" s="50">
        <f t="shared" si="57"/>
        <v>0.03</v>
      </c>
      <c r="T221" s="50">
        <f t="shared" si="58"/>
        <v>0.03</v>
      </c>
      <c r="U221" s="50">
        <f t="shared" si="59"/>
        <v>0.1</v>
      </c>
      <c r="V221" s="50">
        <f t="shared" si="60"/>
        <v>0.21</v>
      </c>
      <c r="W221" s="50">
        <f t="shared" si="61"/>
        <v>0.05</v>
      </c>
      <c r="X221" s="50">
        <f t="shared" si="62"/>
        <v>0.24</v>
      </c>
      <c r="Y221" s="50">
        <f t="shared" si="63"/>
        <v>0.05</v>
      </c>
      <c r="Z221" s="50">
        <f t="shared" si="64"/>
        <v>0.04</v>
      </c>
      <c r="AA221" s="50">
        <f t="shared" si="65"/>
        <v>0.06</v>
      </c>
      <c r="AB221" s="50">
        <f t="shared" si="66"/>
        <v>0.08</v>
      </c>
      <c r="AC221" s="50">
        <f t="shared" si="67"/>
        <v>0.05</v>
      </c>
      <c r="AD221" s="50">
        <f t="shared" si="68"/>
        <v>0.02</v>
      </c>
      <c r="AE221" s="50">
        <f t="shared" si="69"/>
        <v>0.02</v>
      </c>
      <c r="AF221" s="47">
        <f t="shared" si="71"/>
        <v>1</v>
      </c>
      <c r="AG221" s="50">
        <f>IF('Resultado da inspeção'!F221='Resultado da inspeção'!$W$3,0%,Ranking!R221)</f>
        <v>0.02</v>
      </c>
      <c r="AH221" s="50">
        <f>IF('Resultado da inspeção'!G221='Resultado da inspeção'!$W$3,0%,Ranking!S221)</f>
        <v>0.03</v>
      </c>
      <c r="AI221" s="50">
        <f>IF('Resultado da inspeção'!H221='Resultado da inspeção'!$W$3,0%,Ranking!T221)</f>
        <v>0.03</v>
      </c>
      <c r="AJ221" s="50">
        <f>IF('Resultado da inspeção'!I221='Resultado da inspeção'!$W$3,0%,Ranking!U221)</f>
        <v>0.1</v>
      </c>
      <c r="AK221" s="50">
        <f>IF('Resultado da inspeção'!J221='Resultado da inspeção'!$W$3,0%,Ranking!V221)</f>
        <v>0.21</v>
      </c>
      <c r="AL221" s="50">
        <f>IF('Resultado da inspeção'!K221='Resultado da inspeção'!$W$3,0%,Ranking!W221)</f>
        <v>0.05</v>
      </c>
      <c r="AM221" s="50">
        <f>IF('Resultado da inspeção'!L221='Resultado da inspeção'!$W$3,0%,Ranking!X221)</f>
        <v>0.24</v>
      </c>
      <c r="AN221" s="50">
        <f>IF('Resultado da inspeção'!M221='Resultado da inspeção'!$W$3,0%,Ranking!Y221)</f>
        <v>0.05</v>
      </c>
      <c r="AO221" s="50">
        <f>IF('Resultado da inspeção'!N221='Resultado da inspeção'!$W$3,0%,Ranking!Z221)</f>
        <v>0.04</v>
      </c>
      <c r="AP221" s="50">
        <f>IF('Resultado da inspeção'!O221='Resultado da inspeção'!$W$3,0%,Ranking!AA221)</f>
        <v>0.06</v>
      </c>
      <c r="AQ221" s="50">
        <f>IF('Resultado da inspeção'!P221='Resultado da inspeção'!$W$3,0%,Ranking!AB221)</f>
        <v>0.08</v>
      </c>
      <c r="AR221" s="50">
        <f>IF('Resultado da inspeção'!Q221='Resultado da inspeção'!$W$3,0%,Ranking!AC221)</f>
        <v>0.05</v>
      </c>
      <c r="AS221" s="50">
        <f>IF('Resultado da inspeção'!R221='Resultado da inspeção'!$W$3,0%,Ranking!AD221)</f>
        <v>0.02</v>
      </c>
      <c r="AT221" s="50">
        <f>IF('Resultado da inspeção'!S221='Resultado da inspeção'!$W$3,0%,Ranking!AE221)</f>
        <v>0.02</v>
      </c>
      <c r="AU221" s="49">
        <f t="shared" si="72"/>
        <v>1</v>
      </c>
    </row>
    <row r="222" spans="2:47" x14ac:dyDescent="0.25">
      <c r="B222" s="48">
        <f>IF('Resultado da inspeção'!F222='Resultado da inspeção'!$W$4,0%,Ranking!B$5)</f>
        <v>0.02</v>
      </c>
      <c r="C222" s="48">
        <f>IF('Resultado da inspeção'!G222='Resultado da inspeção'!$W$4,0%,Ranking!C$5)</f>
        <v>0.03</v>
      </c>
      <c r="D222" s="48">
        <f>IF('Resultado da inspeção'!H222='Resultado da inspeção'!$W$4,0%,Ranking!D$5)</f>
        <v>0.03</v>
      </c>
      <c r="E222" s="48">
        <f>IF('Resultado da inspeção'!I222='Resultado da inspeção'!$W$4,0%,Ranking!E$5)</f>
        <v>0.1</v>
      </c>
      <c r="F222" s="48">
        <f>IF('Resultado da inspeção'!J222='Resultado da inspeção'!$W$4,0%,Ranking!F$5)</f>
        <v>0.21</v>
      </c>
      <c r="G222" s="48">
        <f>IF('Resultado da inspeção'!K222='Resultado da inspeção'!$W$4,0%,Ranking!G$5)</f>
        <v>0.05</v>
      </c>
      <c r="H222" s="48">
        <f>IF('Resultado da inspeção'!L222='Resultado da inspeção'!$W$4,0%,Ranking!H$5)</f>
        <v>0.24</v>
      </c>
      <c r="I222" s="48">
        <f>IF('Resultado da inspeção'!M222='Resultado da inspeção'!$W$4,0%,Ranking!I$5)</f>
        <v>0.05</v>
      </c>
      <c r="J222" s="48">
        <f>IF('Resultado da inspeção'!N222='Resultado da inspeção'!$W$4,0%,Ranking!J$5)</f>
        <v>0.04</v>
      </c>
      <c r="K222" s="48">
        <f>IF('Resultado da inspeção'!O222='Resultado da inspeção'!$W$4,0%,Ranking!K$5)</f>
        <v>0.06</v>
      </c>
      <c r="L222" s="48">
        <f>IF('Resultado da inspeção'!P222='Resultado da inspeção'!$W$4,0%,Ranking!L$5)</f>
        <v>0.08</v>
      </c>
      <c r="M222" s="48">
        <f>IF('Resultado da inspeção'!Q222='Resultado da inspeção'!$W$4,0%,Ranking!M$5)</f>
        <v>0.05</v>
      </c>
      <c r="N222" s="48">
        <f>IF('Resultado da inspeção'!R222='Resultado da inspeção'!$W$4,0%,Ranking!N$5)</f>
        <v>0.02</v>
      </c>
      <c r="O222" s="48">
        <f>IF('Resultado da inspeção'!S222='Resultado da inspeção'!$W$4,0%,Ranking!O$5)</f>
        <v>0.02</v>
      </c>
      <c r="P222" s="47">
        <f t="shared" si="55"/>
        <v>1</v>
      </c>
      <c r="Q222" s="49">
        <f t="shared" si="70"/>
        <v>0</v>
      </c>
      <c r="R222" s="50">
        <f t="shared" si="56"/>
        <v>0.02</v>
      </c>
      <c r="S222" s="50">
        <f t="shared" si="57"/>
        <v>0.03</v>
      </c>
      <c r="T222" s="50">
        <f t="shared" si="58"/>
        <v>0.03</v>
      </c>
      <c r="U222" s="50">
        <f t="shared" si="59"/>
        <v>0.1</v>
      </c>
      <c r="V222" s="50">
        <f t="shared" si="60"/>
        <v>0.21</v>
      </c>
      <c r="W222" s="50">
        <f t="shared" si="61"/>
        <v>0.05</v>
      </c>
      <c r="X222" s="50">
        <f t="shared" si="62"/>
        <v>0.24</v>
      </c>
      <c r="Y222" s="50">
        <f t="shared" si="63"/>
        <v>0.05</v>
      </c>
      <c r="Z222" s="50">
        <f t="shared" si="64"/>
        <v>0.04</v>
      </c>
      <c r="AA222" s="50">
        <f t="shared" si="65"/>
        <v>0.06</v>
      </c>
      <c r="AB222" s="50">
        <f t="shared" si="66"/>
        <v>0.08</v>
      </c>
      <c r="AC222" s="50">
        <f t="shared" si="67"/>
        <v>0.05</v>
      </c>
      <c r="AD222" s="50">
        <f t="shared" si="68"/>
        <v>0.02</v>
      </c>
      <c r="AE222" s="50">
        <f t="shared" si="69"/>
        <v>0.02</v>
      </c>
      <c r="AF222" s="47">
        <f t="shared" si="71"/>
        <v>1</v>
      </c>
      <c r="AG222" s="50">
        <f>IF('Resultado da inspeção'!F222='Resultado da inspeção'!$W$3,0%,Ranking!R222)</f>
        <v>0.02</v>
      </c>
      <c r="AH222" s="50">
        <f>IF('Resultado da inspeção'!G222='Resultado da inspeção'!$W$3,0%,Ranking!S222)</f>
        <v>0.03</v>
      </c>
      <c r="AI222" s="50">
        <f>IF('Resultado da inspeção'!H222='Resultado da inspeção'!$W$3,0%,Ranking!T222)</f>
        <v>0.03</v>
      </c>
      <c r="AJ222" s="50">
        <f>IF('Resultado da inspeção'!I222='Resultado da inspeção'!$W$3,0%,Ranking!U222)</f>
        <v>0.1</v>
      </c>
      <c r="AK222" s="50">
        <f>IF('Resultado da inspeção'!J222='Resultado da inspeção'!$W$3,0%,Ranking!V222)</f>
        <v>0.21</v>
      </c>
      <c r="AL222" s="50">
        <f>IF('Resultado da inspeção'!K222='Resultado da inspeção'!$W$3,0%,Ranking!W222)</f>
        <v>0.05</v>
      </c>
      <c r="AM222" s="50">
        <f>IF('Resultado da inspeção'!L222='Resultado da inspeção'!$W$3,0%,Ranking!X222)</f>
        <v>0.24</v>
      </c>
      <c r="AN222" s="50">
        <f>IF('Resultado da inspeção'!M222='Resultado da inspeção'!$W$3,0%,Ranking!Y222)</f>
        <v>0.05</v>
      </c>
      <c r="AO222" s="50">
        <f>IF('Resultado da inspeção'!N222='Resultado da inspeção'!$W$3,0%,Ranking!Z222)</f>
        <v>0.04</v>
      </c>
      <c r="AP222" s="50">
        <f>IF('Resultado da inspeção'!O222='Resultado da inspeção'!$W$3,0%,Ranking!AA222)</f>
        <v>0.06</v>
      </c>
      <c r="AQ222" s="50">
        <f>IF('Resultado da inspeção'!P222='Resultado da inspeção'!$W$3,0%,Ranking!AB222)</f>
        <v>0.08</v>
      </c>
      <c r="AR222" s="50">
        <f>IF('Resultado da inspeção'!Q222='Resultado da inspeção'!$W$3,0%,Ranking!AC222)</f>
        <v>0.05</v>
      </c>
      <c r="AS222" s="50">
        <f>IF('Resultado da inspeção'!R222='Resultado da inspeção'!$W$3,0%,Ranking!AD222)</f>
        <v>0.02</v>
      </c>
      <c r="AT222" s="50">
        <f>IF('Resultado da inspeção'!S222='Resultado da inspeção'!$W$3,0%,Ranking!AE222)</f>
        <v>0.02</v>
      </c>
      <c r="AU222" s="49">
        <f t="shared" si="72"/>
        <v>1</v>
      </c>
    </row>
    <row r="223" spans="2:47" x14ac:dyDescent="0.25">
      <c r="B223" s="48">
        <f>IF('Resultado da inspeção'!F223='Resultado da inspeção'!$W$4,0%,Ranking!B$5)</f>
        <v>0.02</v>
      </c>
      <c r="C223" s="48">
        <f>IF('Resultado da inspeção'!G223='Resultado da inspeção'!$W$4,0%,Ranking!C$5)</f>
        <v>0.03</v>
      </c>
      <c r="D223" s="48">
        <f>IF('Resultado da inspeção'!H223='Resultado da inspeção'!$W$4,0%,Ranking!D$5)</f>
        <v>0.03</v>
      </c>
      <c r="E223" s="48">
        <f>IF('Resultado da inspeção'!I223='Resultado da inspeção'!$W$4,0%,Ranking!E$5)</f>
        <v>0.1</v>
      </c>
      <c r="F223" s="48">
        <f>IF('Resultado da inspeção'!J223='Resultado da inspeção'!$W$4,0%,Ranking!F$5)</f>
        <v>0.21</v>
      </c>
      <c r="G223" s="48">
        <f>IF('Resultado da inspeção'!K223='Resultado da inspeção'!$W$4,0%,Ranking!G$5)</f>
        <v>0.05</v>
      </c>
      <c r="H223" s="48">
        <f>IF('Resultado da inspeção'!L223='Resultado da inspeção'!$W$4,0%,Ranking!H$5)</f>
        <v>0.24</v>
      </c>
      <c r="I223" s="48">
        <f>IF('Resultado da inspeção'!M223='Resultado da inspeção'!$W$4,0%,Ranking!I$5)</f>
        <v>0.05</v>
      </c>
      <c r="J223" s="48">
        <f>IF('Resultado da inspeção'!N223='Resultado da inspeção'!$W$4,0%,Ranking!J$5)</f>
        <v>0.04</v>
      </c>
      <c r="K223" s="48">
        <f>IF('Resultado da inspeção'!O223='Resultado da inspeção'!$W$4,0%,Ranking!K$5)</f>
        <v>0.06</v>
      </c>
      <c r="L223" s="48">
        <f>IF('Resultado da inspeção'!P223='Resultado da inspeção'!$W$4,0%,Ranking!L$5)</f>
        <v>0.08</v>
      </c>
      <c r="M223" s="48">
        <f>IF('Resultado da inspeção'!Q223='Resultado da inspeção'!$W$4,0%,Ranking!M$5)</f>
        <v>0.05</v>
      </c>
      <c r="N223" s="48">
        <f>IF('Resultado da inspeção'!R223='Resultado da inspeção'!$W$4,0%,Ranking!N$5)</f>
        <v>0.02</v>
      </c>
      <c r="O223" s="48">
        <f>IF('Resultado da inspeção'!S223='Resultado da inspeção'!$W$4,0%,Ranking!O$5)</f>
        <v>0.02</v>
      </c>
      <c r="P223" s="47">
        <f t="shared" si="55"/>
        <v>1</v>
      </c>
      <c r="Q223" s="49">
        <f t="shared" si="70"/>
        <v>0</v>
      </c>
      <c r="R223" s="50">
        <f t="shared" si="56"/>
        <v>0.02</v>
      </c>
      <c r="S223" s="50">
        <f t="shared" si="57"/>
        <v>0.03</v>
      </c>
      <c r="T223" s="50">
        <f t="shared" si="58"/>
        <v>0.03</v>
      </c>
      <c r="U223" s="50">
        <f t="shared" si="59"/>
        <v>0.1</v>
      </c>
      <c r="V223" s="50">
        <f t="shared" si="60"/>
        <v>0.21</v>
      </c>
      <c r="W223" s="50">
        <f t="shared" si="61"/>
        <v>0.05</v>
      </c>
      <c r="X223" s="50">
        <f t="shared" si="62"/>
        <v>0.24</v>
      </c>
      <c r="Y223" s="50">
        <f t="shared" si="63"/>
        <v>0.05</v>
      </c>
      <c r="Z223" s="50">
        <f t="shared" si="64"/>
        <v>0.04</v>
      </c>
      <c r="AA223" s="50">
        <f t="shared" si="65"/>
        <v>0.06</v>
      </c>
      <c r="AB223" s="50">
        <f t="shared" si="66"/>
        <v>0.08</v>
      </c>
      <c r="AC223" s="50">
        <f t="shared" si="67"/>
        <v>0.05</v>
      </c>
      <c r="AD223" s="50">
        <f t="shared" si="68"/>
        <v>0.02</v>
      </c>
      <c r="AE223" s="50">
        <f t="shared" si="69"/>
        <v>0.02</v>
      </c>
      <c r="AF223" s="47">
        <f t="shared" si="71"/>
        <v>1</v>
      </c>
      <c r="AG223" s="50">
        <f>IF('Resultado da inspeção'!F223='Resultado da inspeção'!$W$3,0%,Ranking!R223)</f>
        <v>0.02</v>
      </c>
      <c r="AH223" s="50">
        <f>IF('Resultado da inspeção'!G223='Resultado da inspeção'!$W$3,0%,Ranking!S223)</f>
        <v>0.03</v>
      </c>
      <c r="AI223" s="50">
        <f>IF('Resultado da inspeção'!H223='Resultado da inspeção'!$W$3,0%,Ranking!T223)</f>
        <v>0.03</v>
      </c>
      <c r="AJ223" s="50">
        <f>IF('Resultado da inspeção'!I223='Resultado da inspeção'!$W$3,0%,Ranking!U223)</f>
        <v>0.1</v>
      </c>
      <c r="AK223" s="50">
        <f>IF('Resultado da inspeção'!J223='Resultado da inspeção'!$W$3,0%,Ranking!V223)</f>
        <v>0.21</v>
      </c>
      <c r="AL223" s="50">
        <f>IF('Resultado da inspeção'!K223='Resultado da inspeção'!$W$3,0%,Ranking!W223)</f>
        <v>0.05</v>
      </c>
      <c r="AM223" s="50">
        <f>IF('Resultado da inspeção'!L223='Resultado da inspeção'!$W$3,0%,Ranking!X223)</f>
        <v>0.24</v>
      </c>
      <c r="AN223" s="50">
        <f>IF('Resultado da inspeção'!M223='Resultado da inspeção'!$W$3,0%,Ranking!Y223)</f>
        <v>0.05</v>
      </c>
      <c r="AO223" s="50">
        <f>IF('Resultado da inspeção'!N223='Resultado da inspeção'!$W$3,0%,Ranking!Z223)</f>
        <v>0.04</v>
      </c>
      <c r="AP223" s="50">
        <f>IF('Resultado da inspeção'!O223='Resultado da inspeção'!$W$3,0%,Ranking!AA223)</f>
        <v>0.06</v>
      </c>
      <c r="AQ223" s="50">
        <f>IF('Resultado da inspeção'!P223='Resultado da inspeção'!$W$3,0%,Ranking!AB223)</f>
        <v>0.08</v>
      </c>
      <c r="AR223" s="50">
        <f>IF('Resultado da inspeção'!Q223='Resultado da inspeção'!$W$3,0%,Ranking!AC223)</f>
        <v>0.05</v>
      </c>
      <c r="AS223" s="50">
        <f>IF('Resultado da inspeção'!R223='Resultado da inspeção'!$W$3,0%,Ranking!AD223)</f>
        <v>0.02</v>
      </c>
      <c r="AT223" s="50">
        <f>IF('Resultado da inspeção'!S223='Resultado da inspeção'!$W$3,0%,Ranking!AE223)</f>
        <v>0.02</v>
      </c>
      <c r="AU223" s="49">
        <f t="shared" si="72"/>
        <v>1</v>
      </c>
    </row>
    <row r="224" spans="2:47" x14ac:dyDescent="0.25">
      <c r="B224" s="48">
        <f>IF('Resultado da inspeção'!F224='Resultado da inspeção'!$W$4,0%,Ranking!B$5)</f>
        <v>0.02</v>
      </c>
      <c r="C224" s="48">
        <f>IF('Resultado da inspeção'!G224='Resultado da inspeção'!$W$4,0%,Ranking!C$5)</f>
        <v>0.03</v>
      </c>
      <c r="D224" s="48">
        <f>IF('Resultado da inspeção'!H224='Resultado da inspeção'!$W$4,0%,Ranking!D$5)</f>
        <v>0.03</v>
      </c>
      <c r="E224" s="48">
        <f>IF('Resultado da inspeção'!I224='Resultado da inspeção'!$W$4,0%,Ranking!E$5)</f>
        <v>0.1</v>
      </c>
      <c r="F224" s="48">
        <f>IF('Resultado da inspeção'!J224='Resultado da inspeção'!$W$4,0%,Ranking!F$5)</f>
        <v>0.21</v>
      </c>
      <c r="G224" s="48">
        <f>IF('Resultado da inspeção'!K224='Resultado da inspeção'!$W$4,0%,Ranking!G$5)</f>
        <v>0.05</v>
      </c>
      <c r="H224" s="48">
        <f>IF('Resultado da inspeção'!L224='Resultado da inspeção'!$W$4,0%,Ranking!H$5)</f>
        <v>0.24</v>
      </c>
      <c r="I224" s="48">
        <f>IF('Resultado da inspeção'!M224='Resultado da inspeção'!$W$4,0%,Ranking!I$5)</f>
        <v>0.05</v>
      </c>
      <c r="J224" s="48">
        <f>IF('Resultado da inspeção'!N224='Resultado da inspeção'!$W$4,0%,Ranking!J$5)</f>
        <v>0.04</v>
      </c>
      <c r="K224" s="48">
        <f>IF('Resultado da inspeção'!O224='Resultado da inspeção'!$W$4,0%,Ranking!K$5)</f>
        <v>0.06</v>
      </c>
      <c r="L224" s="48">
        <f>IF('Resultado da inspeção'!P224='Resultado da inspeção'!$W$4,0%,Ranking!L$5)</f>
        <v>0.08</v>
      </c>
      <c r="M224" s="48">
        <f>IF('Resultado da inspeção'!Q224='Resultado da inspeção'!$W$4,0%,Ranking!M$5)</f>
        <v>0.05</v>
      </c>
      <c r="N224" s="48">
        <f>IF('Resultado da inspeção'!R224='Resultado da inspeção'!$W$4,0%,Ranking!N$5)</f>
        <v>0.02</v>
      </c>
      <c r="O224" s="48">
        <f>IF('Resultado da inspeção'!S224='Resultado da inspeção'!$W$4,0%,Ranking!O$5)</f>
        <v>0.02</v>
      </c>
      <c r="P224" s="47">
        <f t="shared" si="55"/>
        <v>1</v>
      </c>
      <c r="Q224" s="49">
        <f t="shared" si="70"/>
        <v>0</v>
      </c>
      <c r="R224" s="50">
        <f t="shared" si="56"/>
        <v>0.02</v>
      </c>
      <c r="S224" s="50">
        <f t="shared" si="57"/>
        <v>0.03</v>
      </c>
      <c r="T224" s="50">
        <f t="shared" si="58"/>
        <v>0.03</v>
      </c>
      <c r="U224" s="50">
        <f t="shared" si="59"/>
        <v>0.1</v>
      </c>
      <c r="V224" s="50">
        <f t="shared" si="60"/>
        <v>0.21</v>
      </c>
      <c r="W224" s="50">
        <f t="shared" si="61"/>
        <v>0.05</v>
      </c>
      <c r="X224" s="50">
        <f t="shared" si="62"/>
        <v>0.24</v>
      </c>
      <c r="Y224" s="50">
        <f t="shared" si="63"/>
        <v>0.05</v>
      </c>
      <c r="Z224" s="50">
        <f t="shared" si="64"/>
        <v>0.04</v>
      </c>
      <c r="AA224" s="50">
        <f t="shared" si="65"/>
        <v>0.06</v>
      </c>
      <c r="AB224" s="50">
        <f t="shared" si="66"/>
        <v>0.08</v>
      </c>
      <c r="AC224" s="50">
        <f t="shared" si="67"/>
        <v>0.05</v>
      </c>
      <c r="AD224" s="50">
        <f t="shared" si="68"/>
        <v>0.02</v>
      </c>
      <c r="AE224" s="50">
        <f t="shared" si="69"/>
        <v>0.02</v>
      </c>
      <c r="AF224" s="47">
        <f t="shared" si="71"/>
        <v>1</v>
      </c>
      <c r="AG224" s="50">
        <f>IF('Resultado da inspeção'!F224='Resultado da inspeção'!$W$3,0%,Ranking!R224)</f>
        <v>0.02</v>
      </c>
      <c r="AH224" s="50">
        <f>IF('Resultado da inspeção'!G224='Resultado da inspeção'!$W$3,0%,Ranking!S224)</f>
        <v>0.03</v>
      </c>
      <c r="AI224" s="50">
        <f>IF('Resultado da inspeção'!H224='Resultado da inspeção'!$W$3,0%,Ranking!T224)</f>
        <v>0.03</v>
      </c>
      <c r="AJ224" s="50">
        <f>IF('Resultado da inspeção'!I224='Resultado da inspeção'!$W$3,0%,Ranking!U224)</f>
        <v>0.1</v>
      </c>
      <c r="AK224" s="50">
        <f>IF('Resultado da inspeção'!J224='Resultado da inspeção'!$W$3,0%,Ranking!V224)</f>
        <v>0.21</v>
      </c>
      <c r="AL224" s="50">
        <f>IF('Resultado da inspeção'!K224='Resultado da inspeção'!$W$3,0%,Ranking!W224)</f>
        <v>0.05</v>
      </c>
      <c r="AM224" s="50">
        <f>IF('Resultado da inspeção'!L224='Resultado da inspeção'!$W$3,0%,Ranking!X224)</f>
        <v>0.24</v>
      </c>
      <c r="AN224" s="50">
        <f>IF('Resultado da inspeção'!M224='Resultado da inspeção'!$W$3,0%,Ranking!Y224)</f>
        <v>0.05</v>
      </c>
      <c r="AO224" s="50">
        <f>IF('Resultado da inspeção'!N224='Resultado da inspeção'!$W$3,0%,Ranking!Z224)</f>
        <v>0.04</v>
      </c>
      <c r="AP224" s="50">
        <f>IF('Resultado da inspeção'!O224='Resultado da inspeção'!$W$3,0%,Ranking!AA224)</f>
        <v>0.06</v>
      </c>
      <c r="AQ224" s="50">
        <f>IF('Resultado da inspeção'!P224='Resultado da inspeção'!$W$3,0%,Ranking!AB224)</f>
        <v>0.08</v>
      </c>
      <c r="AR224" s="50">
        <f>IF('Resultado da inspeção'!Q224='Resultado da inspeção'!$W$3,0%,Ranking!AC224)</f>
        <v>0.05</v>
      </c>
      <c r="AS224" s="50">
        <f>IF('Resultado da inspeção'!R224='Resultado da inspeção'!$W$3,0%,Ranking!AD224)</f>
        <v>0.02</v>
      </c>
      <c r="AT224" s="50">
        <f>IF('Resultado da inspeção'!S224='Resultado da inspeção'!$W$3,0%,Ranking!AE224)</f>
        <v>0.02</v>
      </c>
      <c r="AU224" s="49">
        <f t="shared" si="72"/>
        <v>1</v>
      </c>
    </row>
    <row r="225" spans="2:47" x14ac:dyDescent="0.25">
      <c r="B225" s="48">
        <f>IF('Resultado da inspeção'!F225='Resultado da inspeção'!$W$4,0%,Ranking!B$5)</f>
        <v>0.02</v>
      </c>
      <c r="C225" s="48">
        <f>IF('Resultado da inspeção'!G225='Resultado da inspeção'!$W$4,0%,Ranking!C$5)</f>
        <v>0.03</v>
      </c>
      <c r="D225" s="48">
        <f>IF('Resultado da inspeção'!H225='Resultado da inspeção'!$W$4,0%,Ranking!D$5)</f>
        <v>0.03</v>
      </c>
      <c r="E225" s="48">
        <f>IF('Resultado da inspeção'!I225='Resultado da inspeção'!$W$4,0%,Ranking!E$5)</f>
        <v>0.1</v>
      </c>
      <c r="F225" s="48">
        <f>IF('Resultado da inspeção'!J225='Resultado da inspeção'!$W$4,0%,Ranking!F$5)</f>
        <v>0.21</v>
      </c>
      <c r="G225" s="48">
        <f>IF('Resultado da inspeção'!K225='Resultado da inspeção'!$W$4,0%,Ranking!G$5)</f>
        <v>0.05</v>
      </c>
      <c r="H225" s="48">
        <f>IF('Resultado da inspeção'!L225='Resultado da inspeção'!$W$4,0%,Ranking!H$5)</f>
        <v>0.24</v>
      </c>
      <c r="I225" s="48">
        <f>IF('Resultado da inspeção'!M225='Resultado da inspeção'!$W$4,0%,Ranking!I$5)</f>
        <v>0.05</v>
      </c>
      <c r="J225" s="48">
        <f>IF('Resultado da inspeção'!N225='Resultado da inspeção'!$W$4,0%,Ranking!J$5)</f>
        <v>0.04</v>
      </c>
      <c r="K225" s="48">
        <f>IF('Resultado da inspeção'!O225='Resultado da inspeção'!$W$4,0%,Ranking!K$5)</f>
        <v>0.06</v>
      </c>
      <c r="L225" s="48">
        <f>IF('Resultado da inspeção'!P225='Resultado da inspeção'!$W$4,0%,Ranking!L$5)</f>
        <v>0.08</v>
      </c>
      <c r="M225" s="48">
        <f>IF('Resultado da inspeção'!Q225='Resultado da inspeção'!$W$4,0%,Ranking!M$5)</f>
        <v>0.05</v>
      </c>
      <c r="N225" s="48">
        <f>IF('Resultado da inspeção'!R225='Resultado da inspeção'!$W$4,0%,Ranking!N$5)</f>
        <v>0.02</v>
      </c>
      <c r="O225" s="48">
        <f>IF('Resultado da inspeção'!S225='Resultado da inspeção'!$W$4,0%,Ranking!O$5)</f>
        <v>0.02</v>
      </c>
      <c r="P225" s="47">
        <f t="shared" si="55"/>
        <v>1</v>
      </c>
      <c r="Q225" s="49">
        <f t="shared" si="70"/>
        <v>0</v>
      </c>
      <c r="R225" s="50">
        <f t="shared" si="56"/>
        <v>0.02</v>
      </c>
      <c r="S225" s="50">
        <f t="shared" si="57"/>
        <v>0.03</v>
      </c>
      <c r="T225" s="50">
        <f t="shared" si="58"/>
        <v>0.03</v>
      </c>
      <c r="U225" s="50">
        <f t="shared" si="59"/>
        <v>0.1</v>
      </c>
      <c r="V225" s="50">
        <f t="shared" si="60"/>
        <v>0.21</v>
      </c>
      <c r="W225" s="50">
        <f t="shared" si="61"/>
        <v>0.05</v>
      </c>
      <c r="X225" s="50">
        <f t="shared" si="62"/>
        <v>0.24</v>
      </c>
      <c r="Y225" s="50">
        <f t="shared" si="63"/>
        <v>0.05</v>
      </c>
      <c r="Z225" s="50">
        <f t="shared" si="64"/>
        <v>0.04</v>
      </c>
      <c r="AA225" s="50">
        <f t="shared" si="65"/>
        <v>0.06</v>
      </c>
      <c r="AB225" s="50">
        <f t="shared" si="66"/>
        <v>0.08</v>
      </c>
      <c r="AC225" s="50">
        <f t="shared" si="67"/>
        <v>0.05</v>
      </c>
      <c r="AD225" s="50">
        <f t="shared" si="68"/>
        <v>0.02</v>
      </c>
      <c r="AE225" s="50">
        <f t="shared" si="69"/>
        <v>0.02</v>
      </c>
      <c r="AF225" s="47">
        <f t="shared" si="71"/>
        <v>1</v>
      </c>
      <c r="AG225" s="50">
        <f>IF('Resultado da inspeção'!F225='Resultado da inspeção'!$W$3,0%,Ranking!R225)</f>
        <v>0.02</v>
      </c>
      <c r="AH225" s="50">
        <f>IF('Resultado da inspeção'!G225='Resultado da inspeção'!$W$3,0%,Ranking!S225)</f>
        <v>0.03</v>
      </c>
      <c r="AI225" s="50">
        <f>IF('Resultado da inspeção'!H225='Resultado da inspeção'!$W$3,0%,Ranking!T225)</f>
        <v>0.03</v>
      </c>
      <c r="AJ225" s="50">
        <f>IF('Resultado da inspeção'!I225='Resultado da inspeção'!$W$3,0%,Ranking!U225)</f>
        <v>0.1</v>
      </c>
      <c r="AK225" s="50">
        <f>IF('Resultado da inspeção'!J225='Resultado da inspeção'!$W$3,0%,Ranking!V225)</f>
        <v>0.21</v>
      </c>
      <c r="AL225" s="50">
        <f>IF('Resultado da inspeção'!K225='Resultado da inspeção'!$W$3,0%,Ranking!W225)</f>
        <v>0.05</v>
      </c>
      <c r="AM225" s="50">
        <f>IF('Resultado da inspeção'!L225='Resultado da inspeção'!$W$3,0%,Ranking!X225)</f>
        <v>0.24</v>
      </c>
      <c r="AN225" s="50">
        <f>IF('Resultado da inspeção'!M225='Resultado da inspeção'!$W$3,0%,Ranking!Y225)</f>
        <v>0.05</v>
      </c>
      <c r="AO225" s="50">
        <f>IF('Resultado da inspeção'!N225='Resultado da inspeção'!$W$3,0%,Ranking!Z225)</f>
        <v>0.04</v>
      </c>
      <c r="AP225" s="50">
        <f>IF('Resultado da inspeção'!O225='Resultado da inspeção'!$W$3,0%,Ranking!AA225)</f>
        <v>0.06</v>
      </c>
      <c r="AQ225" s="50">
        <f>IF('Resultado da inspeção'!P225='Resultado da inspeção'!$W$3,0%,Ranking!AB225)</f>
        <v>0.08</v>
      </c>
      <c r="AR225" s="50">
        <f>IF('Resultado da inspeção'!Q225='Resultado da inspeção'!$W$3,0%,Ranking!AC225)</f>
        <v>0.05</v>
      </c>
      <c r="AS225" s="50">
        <f>IF('Resultado da inspeção'!R225='Resultado da inspeção'!$W$3,0%,Ranking!AD225)</f>
        <v>0.02</v>
      </c>
      <c r="AT225" s="50">
        <f>IF('Resultado da inspeção'!S225='Resultado da inspeção'!$W$3,0%,Ranking!AE225)</f>
        <v>0.02</v>
      </c>
      <c r="AU225" s="49">
        <f t="shared" si="72"/>
        <v>1</v>
      </c>
    </row>
    <row r="226" spans="2:47" x14ac:dyDescent="0.25">
      <c r="B226" s="48">
        <f>IF('Resultado da inspeção'!F226='Resultado da inspeção'!$W$4,0%,Ranking!B$5)</f>
        <v>0.02</v>
      </c>
      <c r="C226" s="48">
        <f>IF('Resultado da inspeção'!G226='Resultado da inspeção'!$W$4,0%,Ranking!C$5)</f>
        <v>0.03</v>
      </c>
      <c r="D226" s="48">
        <f>IF('Resultado da inspeção'!H226='Resultado da inspeção'!$W$4,0%,Ranking!D$5)</f>
        <v>0.03</v>
      </c>
      <c r="E226" s="48">
        <f>IF('Resultado da inspeção'!I226='Resultado da inspeção'!$W$4,0%,Ranking!E$5)</f>
        <v>0.1</v>
      </c>
      <c r="F226" s="48">
        <f>IF('Resultado da inspeção'!J226='Resultado da inspeção'!$W$4,0%,Ranking!F$5)</f>
        <v>0.21</v>
      </c>
      <c r="G226" s="48">
        <f>IF('Resultado da inspeção'!K226='Resultado da inspeção'!$W$4,0%,Ranking!G$5)</f>
        <v>0.05</v>
      </c>
      <c r="H226" s="48">
        <f>IF('Resultado da inspeção'!L226='Resultado da inspeção'!$W$4,0%,Ranking!H$5)</f>
        <v>0.24</v>
      </c>
      <c r="I226" s="48">
        <f>IF('Resultado da inspeção'!M226='Resultado da inspeção'!$W$4,0%,Ranking!I$5)</f>
        <v>0.05</v>
      </c>
      <c r="J226" s="48">
        <f>IF('Resultado da inspeção'!N226='Resultado da inspeção'!$W$4,0%,Ranking!J$5)</f>
        <v>0.04</v>
      </c>
      <c r="K226" s="48">
        <f>IF('Resultado da inspeção'!O226='Resultado da inspeção'!$W$4,0%,Ranking!K$5)</f>
        <v>0.06</v>
      </c>
      <c r="L226" s="48">
        <f>IF('Resultado da inspeção'!P226='Resultado da inspeção'!$W$4,0%,Ranking!L$5)</f>
        <v>0.08</v>
      </c>
      <c r="M226" s="48">
        <f>IF('Resultado da inspeção'!Q226='Resultado da inspeção'!$W$4,0%,Ranking!M$5)</f>
        <v>0.05</v>
      </c>
      <c r="N226" s="48">
        <f>IF('Resultado da inspeção'!R226='Resultado da inspeção'!$W$4,0%,Ranking!N$5)</f>
        <v>0.02</v>
      </c>
      <c r="O226" s="48">
        <f>IF('Resultado da inspeção'!S226='Resultado da inspeção'!$W$4,0%,Ranking!O$5)</f>
        <v>0.02</v>
      </c>
      <c r="P226" s="47">
        <f t="shared" si="55"/>
        <v>1</v>
      </c>
      <c r="Q226" s="49">
        <f t="shared" si="70"/>
        <v>0</v>
      </c>
      <c r="R226" s="50">
        <f t="shared" si="56"/>
        <v>0.02</v>
      </c>
      <c r="S226" s="50">
        <f t="shared" si="57"/>
        <v>0.03</v>
      </c>
      <c r="T226" s="50">
        <f t="shared" si="58"/>
        <v>0.03</v>
      </c>
      <c r="U226" s="50">
        <f t="shared" si="59"/>
        <v>0.1</v>
      </c>
      <c r="V226" s="50">
        <f t="shared" si="60"/>
        <v>0.21</v>
      </c>
      <c r="W226" s="50">
        <f t="shared" si="61"/>
        <v>0.05</v>
      </c>
      <c r="X226" s="50">
        <f t="shared" si="62"/>
        <v>0.24</v>
      </c>
      <c r="Y226" s="50">
        <f t="shared" si="63"/>
        <v>0.05</v>
      </c>
      <c r="Z226" s="50">
        <f t="shared" si="64"/>
        <v>0.04</v>
      </c>
      <c r="AA226" s="50">
        <f t="shared" si="65"/>
        <v>0.06</v>
      </c>
      <c r="AB226" s="50">
        <f t="shared" si="66"/>
        <v>0.08</v>
      </c>
      <c r="AC226" s="50">
        <f t="shared" si="67"/>
        <v>0.05</v>
      </c>
      <c r="AD226" s="50">
        <f t="shared" si="68"/>
        <v>0.02</v>
      </c>
      <c r="AE226" s="50">
        <f t="shared" si="69"/>
        <v>0.02</v>
      </c>
      <c r="AF226" s="47">
        <f t="shared" si="71"/>
        <v>1</v>
      </c>
      <c r="AG226" s="50">
        <f>IF('Resultado da inspeção'!F226='Resultado da inspeção'!$W$3,0%,Ranking!R226)</f>
        <v>0.02</v>
      </c>
      <c r="AH226" s="50">
        <f>IF('Resultado da inspeção'!G226='Resultado da inspeção'!$W$3,0%,Ranking!S226)</f>
        <v>0.03</v>
      </c>
      <c r="AI226" s="50">
        <f>IF('Resultado da inspeção'!H226='Resultado da inspeção'!$W$3,0%,Ranking!T226)</f>
        <v>0.03</v>
      </c>
      <c r="AJ226" s="50">
        <f>IF('Resultado da inspeção'!I226='Resultado da inspeção'!$W$3,0%,Ranking!U226)</f>
        <v>0.1</v>
      </c>
      <c r="AK226" s="50">
        <f>IF('Resultado da inspeção'!J226='Resultado da inspeção'!$W$3,0%,Ranking!V226)</f>
        <v>0.21</v>
      </c>
      <c r="AL226" s="50">
        <f>IF('Resultado da inspeção'!K226='Resultado da inspeção'!$W$3,0%,Ranking!W226)</f>
        <v>0.05</v>
      </c>
      <c r="AM226" s="50">
        <f>IF('Resultado da inspeção'!L226='Resultado da inspeção'!$W$3,0%,Ranking!X226)</f>
        <v>0.24</v>
      </c>
      <c r="AN226" s="50">
        <f>IF('Resultado da inspeção'!M226='Resultado da inspeção'!$W$3,0%,Ranking!Y226)</f>
        <v>0.05</v>
      </c>
      <c r="AO226" s="50">
        <f>IF('Resultado da inspeção'!N226='Resultado da inspeção'!$W$3,0%,Ranking!Z226)</f>
        <v>0.04</v>
      </c>
      <c r="AP226" s="50">
        <f>IF('Resultado da inspeção'!O226='Resultado da inspeção'!$W$3,0%,Ranking!AA226)</f>
        <v>0.06</v>
      </c>
      <c r="AQ226" s="50">
        <f>IF('Resultado da inspeção'!P226='Resultado da inspeção'!$W$3,0%,Ranking!AB226)</f>
        <v>0.08</v>
      </c>
      <c r="AR226" s="50">
        <f>IF('Resultado da inspeção'!Q226='Resultado da inspeção'!$W$3,0%,Ranking!AC226)</f>
        <v>0.05</v>
      </c>
      <c r="AS226" s="50">
        <f>IF('Resultado da inspeção'!R226='Resultado da inspeção'!$W$3,0%,Ranking!AD226)</f>
        <v>0.02</v>
      </c>
      <c r="AT226" s="50">
        <f>IF('Resultado da inspeção'!S226='Resultado da inspeção'!$W$3,0%,Ranking!AE226)</f>
        <v>0.02</v>
      </c>
      <c r="AU226" s="49">
        <f t="shared" si="72"/>
        <v>1</v>
      </c>
    </row>
    <row r="227" spans="2:47" x14ac:dyDescent="0.25">
      <c r="B227" s="48">
        <f>IF('Resultado da inspeção'!F227='Resultado da inspeção'!$W$4,0%,Ranking!B$5)</f>
        <v>0.02</v>
      </c>
      <c r="C227" s="48">
        <f>IF('Resultado da inspeção'!G227='Resultado da inspeção'!$W$4,0%,Ranking!C$5)</f>
        <v>0.03</v>
      </c>
      <c r="D227" s="48">
        <f>IF('Resultado da inspeção'!H227='Resultado da inspeção'!$W$4,0%,Ranking!D$5)</f>
        <v>0.03</v>
      </c>
      <c r="E227" s="48">
        <f>IF('Resultado da inspeção'!I227='Resultado da inspeção'!$W$4,0%,Ranking!E$5)</f>
        <v>0.1</v>
      </c>
      <c r="F227" s="48">
        <f>IF('Resultado da inspeção'!J227='Resultado da inspeção'!$W$4,0%,Ranking!F$5)</f>
        <v>0.21</v>
      </c>
      <c r="G227" s="48">
        <f>IF('Resultado da inspeção'!K227='Resultado da inspeção'!$W$4,0%,Ranking!G$5)</f>
        <v>0.05</v>
      </c>
      <c r="H227" s="48">
        <f>IF('Resultado da inspeção'!L227='Resultado da inspeção'!$W$4,0%,Ranking!H$5)</f>
        <v>0.24</v>
      </c>
      <c r="I227" s="48">
        <f>IF('Resultado da inspeção'!M227='Resultado da inspeção'!$W$4,0%,Ranking!I$5)</f>
        <v>0.05</v>
      </c>
      <c r="J227" s="48">
        <f>IF('Resultado da inspeção'!N227='Resultado da inspeção'!$W$4,0%,Ranking!J$5)</f>
        <v>0.04</v>
      </c>
      <c r="K227" s="48">
        <f>IF('Resultado da inspeção'!O227='Resultado da inspeção'!$W$4,0%,Ranking!K$5)</f>
        <v>0.06</v>
      </c>
      <c r="L227" s="48">
        <f>IF('Resultado da inspeção'!P227='Resultado da inspeção'!$W$4,0%,Ranking!L$5)</f>
        <v>0.08</v>
      </c>
      <c r="M227" s="48">
        <f>IF('Resultado da inspeção'!Q227='Resultado da inspeção'!$W$4,0%,Ranking!M$5)</f>
        <v>0.05</v>
      </c>
      <c r="N227" s="48">
        <f>IF('Resultado da inspeção'!R227='Resultado da inspeção'!$W$4,0%,Ranking!N$5)</f>
        <v>0.02</v>
      </c>
      <c r="O227" s="48">
        <f>IF('Resultado da inspeção'!S227='Resultado da inspeção'!$W$4,0%,Ranking!O$5)</f>
        <v>0.02</v>
      </c>
      <c r="P227" s="47">
        <f t="shared" si="55"/>
        <v>1</v>
      </c>
      <c r="Q227" s="49">
        <f t="shared" si="70"/>
        <v>0</v>
      </c>
      <c r="R227" s="50">
        <f t="shared" si="56"/>
        <v>0.02</v>
      </c>
      <c r="S227" s="50">
        <f t="shared" si="57"/>
        <v>0.03</v>
      </c>
      <c r="T227" s="50">
        <f t="shared" si="58"/>
        <v>0.03</v>
      </c>
      <c r="U227" s="50">
        <f t="shared" si="59"/>
        <v>0.1</v>
      </c>
      <c r="V227" s="50">
        <f t="shared" si="60"/>
        <v>0.21</v>
      </c>
      <c r="W227" s="50">
        <f t="shared" si="61"/>
        <v>0.05</v>
      </c>
      <c r="X227" s="50">
        <f t="shared" si="62"/>
        <v>0.24</v>
      </c>
      <c r="Y227" s="50">
        <f t="shared" si="63"/>
        <v>0.05</v>
      </c>
      <c r="Z227" s="50">
        <f t="shared" si="64"/>
        <v>0.04</v>
      </c>
      <c r="AA227" s="50">
        <f t="shared" si="65"/>
        <v>0.06</v>
      </c>
      <c r="AB227" s="50">
        <f t="shared" si="66"/>
        <v>0.08</v>
      </c>
      <c r="AC227" s="50">
        <f t="shared" si="67"/>
        <v>0.05</v>
      </c>
      <c r="AD227" s="50">
        <f t="shared" si="68"/>
        <v>0.02</v>
      </c>
      <c r="AE227" s="50">
        <f t="shared" si="69"/>
        <v>0.02</v>
      </c>
      <c r="AF227" s="47">
        <f t="shared" si="71"/>
        <v>1</v>
      </c>
      <c r="AG227" s="50">
        <f>IF('Resultado da inspeção'!F227='Resultado da inspeção'!$W$3,0%,Ranking!R227)</f>
        <v>0.02</v>
      </c>
      <c r="AH227" s="50">
        <f>IF('Resultado da inspeção'!G227='Resultado da inspeção'!$W$3,0%,Ranking!S227)</f>
        <v>0.03</v>
      </c>
      <c r="AI227" s="50">
        <f>IF('Resultado da inspeção'!H227='Resultado da inspeção'!$W$3,0%,Ranking!T227)</f>
        <v>0.03</v>
      </c>
      <c r="AJ227" s="50">
        <f>IF('Resultado da inspeção'!I227='Resultado da inspeção'!$W$3,0%,Ranking!U227)</f>
        <v>0.1</v>
      </c>
      <c r="AK227" s="50">
        <f>IF('Resultado da inspeção'!J227='Resultado da inspeção'!$W$3,0%,Ranking!V227)</f>
        <v>0.21</v>
      </c>
      <c r="AL227" s="50">
        <f>IF('Resultado da inspeção'!K227='Resultado da inspeção'!$W$3,0%,Ranking!W227)</f>
        <v>0.05</v>
      </c>
      <c r="AM227" s="50">
        <f>IF('Resultado da inspeção'!L227='Resultado da inspeção'!$W$3,0%,Ranking!X227)</f>
        <v>0.24</v>
      </c>
      <c r="AN227" s="50">
        <f>IF('Resultado da inspeção'!M227='Resultado da inspeção'!$W$3,0%,Ranking!Y227)</f>
        <v>0.05</v>
      </c>
      <c r="AO227" s="50">
        <f>IF('Resultado da inspeção'!N227='Resultado da inspeção'!$W$3,0%,Ranking!Z227)</f>
        <v>0.04</v>
      </c>
      <c r="AP227" s="50">
        <f>IF('Resultado da inspeção'!O227='Resultado da inspeção'!$W$3,0%,Ranking!AA227)</f>
        <v>0.06</v>
      </c>
      <c r="AQ227" s="50">
        <f>IF('Resultado da inspeção'!P227='Resultado da inspeção'!$W$3,0%,Ranking!AB227)</f>
        <v>0.08</v>
      </c>
      <c r="AR227" s="50">
        <f>IF('Resultado da inspeção'!Q227='Resultado da inspeção'!$W$3,0%,Ranking!AC227)</f>
        <v>0.05</v>
      </c>
      <c r="AS227" s="50">
        <f>IF('Resultado da inspeção'!R227='Resultado da inspeção'!$W$3,0%,Ranking!AD227)</f>
        <v>0.02</v>
      </c>
      <c r="AT227" s="50">
        <f>IF('Resultado da inspeção'!S227='Resultado da inspeção'!$W$3,0%,Ranking!AE227)</f>
        <v>0.02</v>
      </c>
      <c r="AU227" s="49">
        <f t="shared" si="72"/>
        <v>1</v>
      </c>
    </row>
    <row r="228" spans="2:47" x14ac:dyDescent="0.25">
      <c r="B228" s="48">
        <f>IF('Resultado da inspeção'!F228='Resultado da inspeção'!$W$4,0%,Ranking!B$5)</f>
        <v>0.02</v>
      </c>
      <c r="C228" s="48">
        <f>IF('Resultado da inspeção'!G228='Resultado da inspeção'!$W$4,0%,Ranking!C$5)</f>
        <v>0.03</v>
      </c>
      <c r="D228" s="48">
        <f>IF('Resultado da inspeção'!H228='Resultado da inspeção'!$W$4,0%,Ranking!D$5)</f>
        <v>0.03</v>
      </c>
      <c r="E228" s="48">
        <f>IF('Resultado da inspeção'!I228='Resultado da inspeção'!$W$4,0%,Ranking!E$5)</f>
        <v>0.1</v>
      </c>
      <c r="F228" s="48">
        <f>IF('Resultado da inspeção'!J228='Resultado da inspeção'!$W$4,0%,Ranking!F$5)</f>
        <v>0.21</v>
      </c>
      <c r="G228" s="48">
        <f>IF('Resultado da inspeção'!K228='Resultado da inspeção'!$W$4,0%,Ranking!G$5)</f>
        <v>0.05</v>
      </c>
      <c r="H228" s="48">
        <f>IF('Resultado da inspeção'!L228='Resultado da inspeção'!$W$4,0%,Ranking!H$5)</f>
        <v>0.24</v>
      </c>
      <c r="I228" s="48">
        <f>IF('Resultado da inspeção'!M228='Resultado da inspeção'!$W$4,0%,Ranking!I$5)</f>
        <v>0.05</v>
      </c>
      <c r="J228" s="48">
        <f>IF('Resultado da inspeção'!N228='Resultado da inspeção'!$W$4,0%,Ranking!J$5)</f>
        <v>0.04</v>
      </c>
      <c r="K228" s="48">
        <f>IF('Resultado da inspeção'!O228='Resultado da inspeção'!$W$4,0%,Ranking!K$5)</f>
        <v>0.06</v>
      </c>
      <c r="L228" s="48">
        <f>IF('Resultado da inspeção'!P228='Resultado da inspeção'!$W$4,0%,Ranking!L$5)</f>
        <v>0.08</v>
      </c>
      <c r="M228" s="48">
        <f>IF('Resultado da inspeção'!Q228='Resultado da inspeção'!$W$4,0%,Ranking!M$5)</f>
        <v>0.05</v>
      </c>
      <c r="N228" s="48">
        <f>IF('Resultado da inspeção'!R228='Resultado da inspeção'!$W$4,0%,Ranking!N$5)</f>
        <v>0.02</v>
      </c>
      <c r="O228" s="48">
        <f>IF('Resultado da inspeção'!S228='Resultado da inspeção'!$W$4,0%,Ranking!O$5)</f>
        <v>0.02</v>
      </c>
      <c r="P228" s="47">
        <f t="shared" si="55"/>
        <v>1</v>
      </c>
      <c r="Q228" s="49">
        <f t="shared" si="70"/>
        <v>0</v>
      </c>
      <c r="R228" s="50">
        <f t="shared" si="56"/>
        <v>0.02</v>
      </c>
      <c r="S228" s="50">
        <f t="shared" si="57"/>
        <v>0.03</v>
      </c>
      <c r="T228" s="50">
        <f t="shared" si="58"/>
        <v>0.03</v>
      </c>
      <c r="U228" s="50">
        <f t="shared" si="59"/>
        <v>0.1</v>
      </c>
      <c r="V228" s="50">
        <f t="shared" si="60"/>
        <v>0.21</v>
      </c>
      <c r="W228" s="50">
        <f t="shared" si="61"/>
        <v>0.05</v>
      </c>
      <c r="X228" s="50">
        <f t="shared" si="62"/>
        <v>0.24</v>
      </c>
      <c r="Y228" s="50">
        <f t="shared" si="63"/>
        <v>0.05</v>
      </c>
      <c r="Z228" s="50">
        <f t="shared" si="64"/>
        <v>0.04</v>
      </c>
      <c r="AA228" s="50">
        <f t="shared" si="65"/>
        <v>0.06</v>
      </c>
      <c r="AB228" s="50">
        <f t="shared" si="66"/>
        <v>0.08</v>
      </c>
      <c r="AC228" s="50">
        <f t="shared" si="67"/>
        <v>0.05</v>
      </c>
      <c r="AD228" s="50">
        <f t="shared" si="68"/>
        <v>0.02</v>
      </c>
      <c r="AE228" s="50">
        <f t="shared" si="69"/>
        <v>0.02</v>
      </c>
      <c r="AF228" s="47">
        <f t="shared" si="71"/>
        <v>1</v>
      </c>
      <c r="AG228" s="50">
        <f>IF('Resultado da inspeção'!F228='Resultado da inspeção'!$W$3,0%,Ranking!R228)</f>
        <v>0.02</v>
      </c>
      <c r="AH228" s="50">
        <f>IF('Resultado da inspeção'!G228='Resultado da inspeção'!$W$3,0%,Ranking!S228)</f>
        <v>0.03</v>
      </c>
      <c r="AI228" s="50">
        <f>IF('Resultado da inspeção'!H228='Resultado da inspeção'!$W$3,0%,Ranking!T228)</f>
        <v>0.03</v>
      </c>
      <c r="AJ228" s="50">
        <f>IF('Resultado da inspeção'!I228='Resultado da inspeção'!$W$3,0%,Ranking!U228)</f>
        <v>0.1</v>
      </c>
      <c r="AK228" s="50">
        <f>IF('Resultado da inspeção'!J228='Resultado da inspeção'!$W$3,0%,Ranking!V228)</f>
        <v>0.21</v>
      </c>
      <c r="AL228" s="50">
        <f>IF('Resultado da inspeção'!K228='Resultado da inspeção'!$W$3,0%,Ranking!W228)</f>
        <v>0.05</v>
      </c>
      <c r="AM228" s="50">
        <f>IF('Resultado da inspeção'!L228='Resultado da inspeção'!$W$3,0%,Ranking!X228)</f>
        <v>0.24</v>
      </c>
      <c r="AN228" s="50">
        <f>IF('Resultado da inspeção'!M228='Resultado da inspeção'!$W$3,0%,Ranking!Y228)</f>
        <v>0.05</v>
      </c>
      <c r="AO228" s="50">
        <f>IF('Resultado da inspeção'!N228='Resultado da inspeção'!$W$3,0%,Ranking!Z228)</f>
        <v>0.04</v>
      </c>
      <c r="AP228" s="50">
        <f>IF('Resultado da inspeção'!O228='Resultado da inspeção'!$W$3,0%,Ranking!AA228)</f>
        <v>0.06</v>
      </c>
      <c r="AQ228" s="50">
        <f>IF('Resultado da inspeção'!P228='Resultado da inspeção'!$W$3,0%,Ranking!AB228)</f>
        <v>0.08</v>
      </c>
      <c r="AR228" s="50">
        <f>IF('Resultado da inspeção'!Q228='Resultado da inspeção'!$W$3,0%,Ranking!AC228)</f>
        <v>0.05</v>
      </c>
      <c r="AS228" s="50">
        <f>IF('Resultado da inspeção'!R228='Resultado da inspeção'!$W$3,0%,Ranking!AD228)</f>
        <v>0.02</v>
      </c>
      <c r="AT228" s="50">
        <f>IF('Resultado da inspeção'!S228='Resultado da inspeção'!$W$3,0%,Ranking!AE228)</f>
        <v>0.02</v>
      </c>
      <c r="AU228" s="49">
        <f t="shared" si="72"/>
        <v>1</v>
      </c>
    </row>
    <row r="229" spans="2:47" x14ac:dyDescent="0.25">
      <c r="B229" s="48">
        <f>IF('Resultado da inspeção'!F229='Resultado da inspeção'!$W$4,0%,Ranking!B$5)</f>
        <v>0.02</v>
      </c>
      <c r="C229" s="48">
        <f>IF('Resultado da inspeção'!G229='Resultado da inspeção'!$W$4,0%,Ranking!C$5)</f>
        <v>0.03</v>
      </c>
      <c r="D229" s="48">
        <f>IF('Resultado da inspeção'!H229='Resultado da inspeção'!$W$4,0%,Ranking!D$5)</f>
        <v>0.03</v>
      </c>
      <c r="E229" s="48">
        <f>IF('Resultado da inspeção'!I229='Resultado da inspeção'!$W$4,0%,Ranking!E$5)</f>
        <v>0.1</v>
      </c>
      <c r="F229" s="48">
        <f>IF('Resultado da inspeção'!J229='Resultado da inspeção'!$W$4,0%,Ranking!F$5)</f>
        <v>0.21</v>
      </c>
      <c r="G229" s="48">
        <f>IF('Resultado da inspeção'!K229='Resultado da inspeção'!$W$4,0%,Ranking!G$5)</f>
        <v>0.05</v>
      </c>
      <c r="H229" s="48">
        <f>IF('Resultado da inspeção'!L229='Resultado da inspeção'!$W$4,0%,Ranking!H$5)</f>
        <v>0.24</v>
      </c>
      <c r="I229" s="48">
        <f>IF('Resultado da inspeção'!M229='Resultado da inspeção'!$W$4,0%,Ranking!I$5)</f>
        <v>0.05</v>
      </c>
      <c r="J229" s="48">
        <f>IF('Resultado da inspeção'!N229='Resultado da inspeção'!$W$4,0%,Ranking!J$5)</f>
        <v>0.04</v>
      </c>
      <c r="K229" s="48">
        <f>IF('Resultado da inspeção'!O229='Resultado da inspeção'!$W$4,0%,Ranking!K$5)</f>
        <v>0.06</v>
      </c>
      <c r="L229" s="48">
        <f>IF('Resultado da inspeção'!P229='Resultado da inspeção'!$W$4,0%,Ranking!L$5)</f>
        <v>0.08</v>
      </c>
      <c r="M229" s="48">
        <f>IF('Resultado da inspeção'!Q229='Resultado da inspeção'!$W$4,0%,Ranking!M$5)</f>
        <v>0.05</v>
      </c>
      <c r="N229" s="48">
        <f>IF('Resultado da inspeção'!R229='Resultado da inspeção'!$W$4,0%,Ranking!N$5)</f>
        <v>0.02</v>
      </c>
      <c r="O229" s="48">
        <f>IF('Resultado da inspeção'!S229='Resultado da inspeção'!$W$4,0%,Ranking!O$5)</f>
        <v>0.02</v>
      </c>
      <c r="P229" s="47">
        <f t="shared" si="55"/>
        <v>1</v>
      </c>
      <c r="Q229" s="49">
        <f t="shared" si="70"/>
        <v>0</v>
      </c>
      <c r="R229" s="50">
        <f t="shared" si="56"/>
        <v>0.02</v>
      </c>
      <c r="S229" s="50">
        <f t="shared" si="57"/>
        <v>0.03</v>
      </c>
      <c r="T229" s="50">
        <f t="shared" si="58"/>
        <v>0.03</v>
      </c>
      <c r="U229" s="50">
        <f t="shared" si="59"/>
        <v>0.1</v>
      </c>
      <c r="V229" s="50">
        <f t="shared" si="60"/>
        <v>0.21</v>
      </c>
      <c r="W229" s="50">
        <f t="shared" si="61"/>
        <v>0.05</v>
      </c>
      <c r="X229" s="50">
        <f t="shared" si="62"/>
        <v>0.24</v>
      </c>
      <c r="Y229" s="50">
        <f t="shared" si="63"/>
        <v>0.05</v>
      </c>
      <c r="Z229" s="50">
        <f t="shared" si="64"/>
        <v>0.04</v>
      </c>
      <c r="AA229" s="50">
        <f t="shared" si="65"/>
        <v>0.06</v>
      </c>
      <c r="AB229" s="50">
        <f t="shared" si="66"/>
        <v>0.08</v>
      </c>
      <c r="AC229" s="50">
        <f t="shared" si="67"/>
        <v>0.05</v>
      </c>
      <c r="AD229" s="50">
        <f t="shared" si="68"/>
        <v>0.02</v>
      </c>
      <c r="AE229" s="50">
        <f t="shared" si="69"/>
        <v>0.02</v>
      </c>
      <c r="AF229" s="47">
        <f t="shared" si="71"/>
        <v>1</v>
      </c>
      <c r="AG229" s="50">
        <f>IF('Resultado da inspeção'!F229='Resultado da inspeção'!$W$3,0%,Ranking!R229)</f>
        <v>0.02</v>
      </c>
      <c r="AH229" s="50">
        <f>IF('Resultado da inspeção'!G229='Resultado da inspeção'!$W$3,0%,Ranking!S229)</f>
        <v>0.03</v>
      </c>
      <c r="AI229" s="50">
        <f>IF('Resultado da inspeção'!H229='Resultado da inspeção'!$W$3,0%,Ranking!T229)</f>
        <v>0.03</v>
      </c>
      <c r="AJ229" s="50">
        <f>IF('Resultado da inspeção'!I229='Resultado da inspeção'!$W$3,0%,Ranking!U229)</f>
        <v>0.1</v>
      </c>
      <c r="AK229" s="50">
        <f>IF('Resultado da inspeção'!J229='Resultado da inspeção'!$W$3,0%,Ranking!V229)</f>
        <v>0.21</v>
      </c>
      <c r="AL229" s="50">
        <f>IF('Resultado da inspeção'!K229='Resultado da inspeção'!$W$3,0%,Ranking!W229)</f>
        <v>0.05</v>
      </c>
      <c r="AM229" s="50">
        <f>IF('Resultado da inspeção'!L229='Resultado da inspeção'!$W$3,0%,Ranking!X229)</f>
        <v>0.24</v>
      </c>
      <c r="AN229" s="50">
        <f>IF('Resultado da inspeção'!M229='Resultado da inspeção'!$W$3,0%,Ranking!Y229)</f>
        <v>0.05</v>
      </c>
      <c r="AO229" s="50">
        <f>IF('Resultado da inspeção'!N229='Resultado da inspeção'!$W$3,0%,Ranking!Z229)</f>
        <v>0.04</v>
      </c>
      <c r="AP229" s="50">
        <f>IF('Resultado da inspeção'!O229='Resultado da inspeção'!$W$3,0%,Ranking!AA229)</f>
        <v>0.06</v>
      </c>
      <c r="AQ229" s="50">
        <f>IF('Resultado da inspeção'!P229='Resultado da inspeção'!$W$3,0%,Ranking!AB229)</f>
        <v>0.08</v>
      </c>
      <c r="AR229" s="50">
        <f>IF('Resultado da inspeção'!Q229='Resultado da inspeção'!$W$3,0%,Ranking!AC229)</f>
        <v>0.05</v>
      </c>
      <c r="AS229" s="50">
        <f>IF('Resultado da inspeção'!R229='Resultado da inspeção'!$W$3,0%,Ranking!AD229)</f>
        <v>0.02</v>
      </c>
      <c r="AT229" s="50">
        <f>IF('Resultado da inspeção'!S229='Resultado da inspeção'!$W$3,0%,Ranking!AE229)</f>
        <v>0.02</v>
      </c>
      <c r="AU229" s="49">
        <f t="shared" si="72"/>
        <v>1</v>
      </c>
    </row>
    <row r="230" spans="2:47" x14ac:dyDescent="0.25">
      <c r="B230" s="48">
        <f>IF('Resultado da inspeção'!F230='Resultado da inspeção'!$W$4,0%,Ranking!B$5)</f>
        <v>0.02</v>
      </c>
      <c r="C230" s="48">
        <f>IF('Resultado da inspeção'!G230='Resultado da inspeção'!$W$4,0%,Ranking!C$5)</f>
        <v>0.03</v>
      </c>
      <c r="D230" s="48">
        <f>IF('Resultado da inspeção'!H230='Resultado da inspeção'!$W$4,0%,Ranking!D$5)</f>
        <v>0.03</v>
      </c>
      <c r="E230" s="48">
        <f>IF('Resultado da inspeção'!I230='Resultado da inspeção'!$W$4,0%,Ranking!E$5)</f>
        <v>0.1</v>
      </c>
      <c r="F230" s="48">
        <f>IF('Resultado da inspeção'!J230='Resultado da inspeção'!$W$4,0%,Ranking!F$5)</f>
        <v>0.21</v>
      </c>
      <c r="G230" s="48">
        <f>IF('Resultado da inspeção'!K230='Resultado da inspeção'!$W$4,0%,Ranking!G$5)</f>
        <v>0.05</v>
      </c>
      <c r="H230" s="48">
        <f>IF('Resultado da inspeção'!L230='Resultado da inspeção'!$W$4,0%,Ranking!H$5)</f>
        <v>0.24</v>
      </c>
      <c r="I230" s="48">
        <f>IF('Resultado da inspeção'!M230='Resultado da inspeção'!$W$4,0%,Ranking!I$5)</f>
        <v>0.05</v>
      </c>
      <c r="J230" s="48">
        <f>IF('Resultado da inspeção'!N230='Resultado da inspeção'!$W$4,0%,Ranking!J$5)</f>
        <v>0.04</v>
      </c>
      <c r="K230" s="48">
        <f>IF('Resultado da inspeção'!O230='Resultado da inspeção'!$W$4,0%,Ranking!K$5)</f>
        <v>0.06</v>
      </c>
      <c r="L230" s="48">
        <f>IF('Resultado da inspeção'!P230='Resultado da inspeção'!$W$4,0%,Ranking!L$5)</f>
        <v>0.08</v>
      </c>
      <c r="M230" s="48">
        <f>IF('Resultado da inspeção'!Q230='Resultado da inspeção'!$W$4,0%,Ranking!M$5)</f>
        <v>0.05</v>
      </c>
      <c r="N230" s="48">
        <f>IF('Resultado da inspeção'!R230='Resultado da inspeção'!$W$4,0%,Ranking!N$5)</f>
        <v>0.02</v>
      </c>
      <c r="O230" s="48">
        <f>IF('Resultado da inspeção'!S230='Resultado da inspeção'!$W$4,0%,Ranking!O$5)</f>
        <v>0.02</v>
      </c>
      <c r="P230" s="47">
        <f t="shared" si="55"/>
        <v>1</v>
      </c>
      <c r="Q230" s="49">
        <f t="shared" si="70"/>
        <v>0</v>
      </c>
      <c r="R230" s="50">
        <f t="shared" si="56"/>
        <v>0.02</v>
      </c>
      <c r="S230" s="50">
        <f t="shared" si="57"/>
        <v>0.03</v>
      </c>
      <c r="T230" s="50">
        <f t="shared" si="58"/>
        <v>0.03</v>
      </c>
      <c r="U230" s="50">
        <f t="shared" si="59"/>
        <v>0.1</v>
      </c>
      <c r="V230" s="50">
        <f t="shared" si="60"/>
        <v>0.21</v>
      </c>
      <c r="W230" s="50">
        <f t="shared" si="61"/>
        <v>0.05</v>
      </c>
      <c r="X230" s="50">
        <f t="shared" si="62"/>
        <v>0.24</v>
      </c>
      <c r="Y230" s="50">
        <f t="shared" si="63"/>
        <v>0.05</v>
      </c>
      <c r="Z230" s="50">
        <f t="shared" si="64"/>
        <v>0.04</v>
      </c>
      <c r="AA230" s="50">
        <f t="shared" si="65"/>
        <v>0.06</v>
      </c>
      <c r="AB230" s="50">
        <f t="shared" si="66"/>
        <v>0.08</v>
      </c>
      <c r="AC230" s="50">
        <f t="shared" si="67"/>
        <v>0.05</v>
      </c>
      <c r="AD230" s="50">
        <f t="shared" si="68"/>
        <v>0.02</v>
      </c>
      <c r="AE230" s="50">
        <f t="shared" si="69"/>
        <v>0.02</v>
      </c>
      <c r="AF230" s="47">
        <f t="shared" si="71"/>
        <v>1</v>
      </c>
      <c r="AG230" s="50">
        <f>IF('Resultado da inspeção'!F230='Resultado da inspeção'!$W$3,0%,Ranking!R230)</f>
        <v>0.02</v>
      </c>
      <c r="AH230" s="50">
        <f>IF('Resultado da inspeção'!G230='Resultado da inspeção'!$W$3,0%,Ranking!S230)</f>
        <v>0.03</v>
      </c>
      <c r="AI230" s="50">
        <f>IF('Resultado da inspeção'!H230='Resultado da inspeção'!$W$3,0%,Ranking!T230)</f>
        <v>0.03</v>
      </c>
      <c r="AJ230" s="50">
        <f>IF('Resultado da inspeção'!I230='Resultado da inspeção'!$W$3,0%,Ranking!U230)</f>
        <v>0.1</v>
      </c>
      <c r="AK230" s="50">
        <f>IF('Resultado da inspeção'!J230='Resultado da inspeção'!$W$3,0%,Ranking!V230)</f>
        <v>0.21</v>
      </c>
      <c r="AL230" s="50">
        <f>IF('Resultado da inspeção'!K230='Resultado da inspeção'!$W$3,0%,Ranking!W230)</f>
        <v>0.05</v>
      </c>
      <c r="AM230" s="50">
        <f>IF('Resultado da inspeção'!L230='Resultado da inspeção'!$W$3,0%,Ranking!X230)</f>
        <v>0.24</v>
      </c>
      <c r="AN230" s="50">
        <f>IF('Resultado da inspeção'!M230='Resultado da inspeção'!$W$3,0%,Ranking!Y230)</f>
        <v>0.05</v>
      </c>
      <c r="AO230" s="50">
        <f>IF('Resultado da inspeção'!N230='Resultado da inspeção'!$W$3,0%,Ranking!Z230)</f>
        <v>0.04</v>
      </c>
      <c r="AP230" s="50">
        <f>IF('Resultado da inspeção'!O230='Resultado da inspeção'!$W$3,0%,Ranking!AA230)</f>
        <v>0.06</v>
      </c>
      <c r="AQ230" s="50">
        <f>IF('Resultado da inspeção'!P230='Resultado da inspeção'!$W$3,0%,Ranking!AB230)</f>
        <v>0.08</v>
      </c>
      <c r="AR230" s="50">
        <f>IF('Resultado da inspeção'!Q230='Resultado da inspeção'!$W$3,0%,Ranking!AC230)</f>
        <v>0.05</v>
      </c>
      <c r="AS230" s="50">
        <f>IF('Resultado da inspeção'!R230='Resultado da inspeção'!$W$3,0%,Ranking!AD230)</f>
        <v>0.02</v>
      </c>
      <c r="AT230" s="50">
        <f>IF('Resultado da inspeção'!S230='Resultado da inspeção'!$W$3,0%,Ranking!AE230)</f>
        <v>0.02</v>
      </c>
      <c r="AU230" s="49">
        <f t="shared" si="72"/>
        <v>1</v>
      </c>
    </row>
    <row r="231" spans="2:47" x14ac:dyDescent="0.25">
      <c r="B231" s="48">
        <f>IF('Resultado da inspeção'!F231='Resultado da inspeção'!$W$4,0%,Ranking!B$5)</f>
        <v>0.02</v>
      </c>
      <c r="C231" s="48">
        <f>IF('Resultado da inspeção'!G231='Resultado da inspeção'!$W$4,0%,Ranking!C$5)</f>
        <v>0.03</v>
      </c>
      <c r="D231" s="48">
        <f>IF('Resultado da inspeção'!H231='Resultado da inspeção'!$W$4,0%,Ranking!D$5)</f>
        <v>0.03</v>
      </c>
      <c r="E231" s="48">
        <f>IF('Resultado da inspeção'!I231='Resultado da inspeção'!$W$4,0%,Ranking!E$5)</f>
        <v>0.1</v>
      </c>
      <c r="F231" s="48">
        <f>IF('Resultado da inspeção'!J231='Resultado da inspeção'!$W$4,0%,Ranking!F$5)</f>
        <v>0.21</v>
      </c>
      <c r="G231" s="48">
        <f>IF('Resultado da inspeção'!K231='Resultado da inspeção'!$W$4,0%,Ranking!G$5)</f>
        <v>0.05</v>
      </c>
      <c r="H231" s="48">
        <f>IF('Resultado da inspeção'!L231='Resultado da inspeção'!$W$4,0%,Ranking!H$5)</f>
        <v>0.24</v>
      </c>
      <c r="I231" s="48">
        <f>IF('Resultado da inspeção'!M231='Resultado da inspeção'!$W$4,0%,Ranking!I$5)</f>
        <v>0.05</v>
      </c>
      <c r="J231" s="48">
        <f>IF('Resultado da inspeção'!N231='Resultado da inspeção'!$W$4,0%,Ranking!J$5)</f>
        <v>0.04</v>
      </c>
      <c r="K231" s="48">
        <f>IF('Resultado da inspeção'!O231='Resultado da inspeção'!$W$4,0%,Ranking!K$5)</f>
        <v>0.06</v>
      </c>
      <c r="L231" s="48">
        <f>IF('Resultado da inspeção'!P231='Resultado da inspeção'!$W$4,0%,Ranking!L$5)</f>
        <v>0.08</v>
      </c>
      <c r="M231" s="48">
        <f>IF('Resultado da inspeção'!Q231='Resultado da inspeção'!$W$4,0%,Ranking!M$5)</f>
        <v>0.05</v>
      </c>
      <c r="N231" s="48">
        <f>IF('Resultado da inspeção'!R231='Resultado da inspeção'!$W$4,0%,Ranking!N$5)</f>
        <v>0.02</v>
      </c>
      <c r="O231" s="48">
        <f>IF('Resultado da inspeção'!S231='Resultado da inspeção'!$W$4,0%,Ranking!O$5)</f>
        <v>0.02</v>
      </c>
      <c r="P231" s="47">
        <f t="shared" si="55"/>
        <v>1</v>
      </c>
      <c r="Q231" s="49">
        <f t="shared" si="70"/>
        <v>0</v>
      </c>
      <c r="R231" s="50">
        <f t="shared" si="56"/>
        <v>0.02</v>
      </c>
      <c r="S231" s="50">
        <f t="shared" si="57"/>
        <v>0.03</v>
      </c>
      <c r="T231" s="50">
        <f t="shared" si="58"/>
        <v>0.03</v>
      </c>
      <c r="U231" s="50">
        <f t="shared" si="59"/>
        <v>0.1</v>
      </c>
      <c r="V231" s="50">
        <f t="shared" si="60"/>
        <v>0.21</v>
      </c>
      <c r="W231" s="50">
        <f t="shared" si="61"/>
        <v>0.05</v>
      </c>
      <c r="X231" s="50">
        <f t="shared" si="62"/>
        <v>0.24</v>
      </c>
      <c r="Y231" s="50">
        <f t="shared" si="63"/>
        <v>0.05</v>
      </c>
      <c r="Z231" s="50">
        <f t="shared" si="64"/>
        <v>0.04</v>
      </c>
      <c r="AA231" s="50">
        <f t="shared" si="65"/>
        <v>0.06</v>
      </c>
      <c r="AB231" s="50">
        <f t="shared" si="66"/>
        <v>0.08</v>
      </c>
      <c r="AC231" s="50">
        <f t="shared" si="67"/>
        <v>0.05</v>
      </c>
      <c r="AD231" s="50">
        <f t="shared" si="68"/>
        <v>0.02</v>
      </c>
      <c r="AE231" s="50">
        <f t="shared" si="69"/>
        <v>0.02</v>
      </c>
      <c r="AF231" s="47">
        <f t="shared" si="71"/>
        <v>1</v>
      </c>
      <c r="AG231" s="50">
        <f>IF('Resultado da inspeção'!F231='Resultado da inspeção'!$W$3,0%,Ranking!R231)</f>
        <v>0.02</v>
      </c>
      <c r="AH231" s="50">
        <f>IF('Resultado da inspeção'!G231='Resultado da inspeção'!$W$3,0%,Ranking!S231)</f>
        <v>0.03</v>
      </c>
      <c r="AI231" s="50">
        <f>IF('Resultado da inspeção'!H231='Resultado da inspeção'!$W$3,0%,Ranking!T231)</f>
        <v>0.03</v>
      </c>
      <c r="AJ231" s="50">
        <f>IF('Resultado da inspeção'!I231='Resultado da inspeção'!$W$3,0%,Ranking!U231)</f>
        <v>0.1</v>
      </c>
      <c r="AK231" s="50">
        <f>IF('Resultado da inspeção'!J231='Resultado da inspeção'!$W$3,0%,Ranking!V231)</f>
        <v>0.21</v>
      </c>
      <c r="AL231" s="50">
        <f>IF('Resultado da inspeção'!K231='Resultado da inspeção'!$W$3,0%,Ranking!W231)</f>
        <v>0.05</v>
      </c>
      <c r="AM231" s="50">
        <f>IF('Resultado da inspeção'!L231='Resultado da inspeção'!$W$3,0%,Ranking!X231)</f>
        <v>0.24</v>
      </c>
      <c r="AN231" s="50">
        <f>IF('Resultado da inspeção'!M231='Resultado da inspeção'!$W$3,0%,Ranking!Y231)</f>
        <v>0.05</v>
      </c>
      <c r="AO231" s="50">
        <f>IF('Resultado da inspeção'!N231='Resultado da inspeção'!$W$3,0%,Ranking!Z231)</f>
        <v>0.04</v>
      </c>
      <c r="AP231" s="50">
        <f>IF('Resultado da inspeção'!O231='Resultado da inspeção'!$W$3,0%,Ranking!AA231)</f>
        <v>0.06</v>
      </c>
      <c r="AQ231" s="50">
        <f>IF('Resultado da inspeção'!P231='Resultado da inspeção'!$W$3,0%,Ranking!AB231)</f>
        <v>0.08</v>
      </c>
      <c r="AR231" s="50">
        <f>IF('Resultado da inspeção'!Q231='Resultado da inspeção'!$W$3,0%,Ranking!AC231)</f>
        <v>0.05</v>
      </c>
      <c r="AS231" s="50">
        <f>IF('Resultado da inspeção'!R231='Resultado da inspeção'!$W$3,0%,Ranking!AD231)</f>
        <v>0.02</v>
      </c>
      <c r="AT231" s="50">
        <f>IF('Resultado da inspeção'!S231='Resultado da inspeção'!$W$3,0%,Ranking!AE231)</f>
        <v>0.02</v>
      </c>
      <c r="AU231" s="49">
        <f t="shared" si="72"/>
        <v>1</v>
      </c>
    </row>
    <row r="232" spans="2:47" x14ac:dyDescent="0.25">
      <c r="B232" s="48">
        <f>IF('Resultado da inspeção'!F232='Resultado da inspeção'!$W$4,0%,Ranking!B$5)</f>
        <v>0.02</v>
      </c>
      <c r="C232" s="48">
        <f>IF('Resultado da inspeção'!G232='Resultado da inspeção'!$W$4,0%,Ranking!C$5)</f>
        <v>0.03</v>
      </c>
      <c r="D232" s="48">
        <f>IF('Resultado da inspeção'!H232='Resultado da inspeção'!$W$4,0%,Ranking!D$5)</f>
        <v>0.03</v>
      </c>
      <c r="E232" s="48">
        <f>IF('Resultado da inspeção'!I232='Resultado da inspeção'!$W$4,0%,Ranking!E$5)</f>
        <v>0.1</v>
      </c>
      <c r="F232" s="48">
        <f>IF('Resultado da inspeção'!J232='Resultado da inspeção'!$W$4,0%,Ranking!F$5)</f>
        <v>0.21</v>
      </c>
      <c r="G232" s="48">
        <f>IF('Resultado da inspeção'!K232='Resultado da inspeção'!$W$4,0%,Ranking!G$5)</f>
        <v>0.05</v>
      </c>
      <c r="H232" s="48">
        <f>IF('Resultado da inspeção'!L232='Resultado da inspeção'!$W$4,0%,Ranking!H$5)</f>
        <v>0.24</v>
      </c>
      <c r="I232" s="48">
        <f>IF('Resultado da inspeção'!M232='Resultado da inspeção'!$W$4,0%,Ranking!I$5)</f>
        <v>0.05</v>
      </c>
      <c r="J232" s="48">
        <f>IF('Resultado da inspeção'!N232='Resultado da inspeção'!$W$4,0%,Ranking!J$5)</f>
        <v>0.04</v>
      </c>
      <c r="K232" s="48">
        <f>IF('Resultado da inspeção'!O232='Resultado da inspeção'!$W$4,0%,Ranking!K$5)</f>
        <v>0.06</v>
      </c>
      <c r="L232" s="48">
        <f>IF('Resultado da inspeção'!P232='Resultado da inspeção'!$W$4,0%,Ranking!L$5)</f>
        <v>0.08</v>
      </c>
      <c r="M232" s="48">
        <f>IF('Resultado da inspeção'!Q232='Resultado da inspeção'!$W$4,0%,Ranking!M$5)</f>
        <v>0.05</v>
      </c>
      <c r="N232" s="48">
        <f>IF('Resultado da inspeção'!R232='Resultado da inspeção'!$W$4,0%,Ranking!N$5)</f>
        <v>0.02</v>
      </c>
      <c r="O232" s="48">
        <f>IF('Resultado da inspeção'!S232='Resultado da inspeção'!$W$4,0%,Ranking!O$5)</f>
        <v>0.02</v>
      </c>
      <c r="P232" s="47">
        <f t="shared" si="55"/>
        <v>1</v>
      </c>
      <c r="Q232" s="49">
        <f t="shared" si="70"/>
        <v>0</v>
      </c>
      <c r="R232" s="50">
        <f t="shared" si="56"/>
        <v>0.02</v>
      </c>
      <c r="S232" s="50">
        <f t="shared" si="57"/>
        <v>0.03</v>
      </c>
      <c r="T232" s="50">
        <f t="shared" si="58"/>
        <v>0.03</v>
      </c>
      <c r="U232" s="50">
        <f t="shared" si="59"/>
        <v>0.1</v>
      </c>
      <c r="V232" s="50">
        <f t="shared" si="60"/>
        <v>0.21</v>
      </c>
      <c r="W232" s="50">
        <f t="shared" si="61"/>
        <v>0.05</v>
      </c>
      <c r="X232" s="50">
        <f t="shared" si="62"/>
        <v>0.24</v>
      </c>
      <c r="Y232" s="50">
        <f t="shared" si="63"/>
        <v>0.05</v>
      </c>
      <c r="Z232" s="50">
        <f t="shared" si="64"/>
        <v>0.04</v>
      </c>
      <c r="AA232" s="50">
        <f t="shared" si="65"/>
        <v>0.06</v>
      </c>
      <c r="AB232" s="50">
        <f t="shared" si="66"/>
        <v>0.08</v>
      </c>
      <c r="AC232" s="50">
        <f t="shared" si="67"/>
        <v>0.05</v>
      </c>
      <c r="AD232" s="50">
        <f t="shared" si="68"/>
        <v>0.02</v>
      </c>
      <c r="AE232" s="50">
        <f t="shared" si="69"/>
        <v>0.02</v>
      </c>
      <c r="AF232" s="47">
        <f t="shared" si="71"/>
        <v>1</v>
      </c>
      <c r="AG232" s="50">
        <f>IF('Resultado da inspeção'!F232='Resultado da inspeção'!$W$3,0%,Ranking!R232)</f>
        <v>0.02</v>
      </c>
      <c r="AH232" s="50">
        <f>IF('Resultado da inspeção'!G232='Resultado da inspeção'!$W$3,0%,Ranking!S232)</f>
        <v>0.03</v>
      </c>
      <c r="AI232" s="50">
        <f>IF('Resultado da inspeção'!H232='Resultado da inspeção'!$W$3,0%,Ranking!T232)</f>
        <v>0.03</v>
      </c>
      <c r="AJ232" s="50">
        <f>IF('Resultado da inspeção'!I232='Resultado da inspeção'!$W$3,0%,Ranking!U232)</f>
        <v>0.1</v>
      </c>
      <c r="AK232" s="50">
        <f>IF('Resultado da inspeção'!J232='Resultado da inspeção'!$W$3,0%,Ranking!V232)</f>
        <v>0.21</v>
      </c>
      <c r="AL232" s="50">
        <f>IF('Resultado da inspeção'!K232='Resultado da inspeção'!$W$3,0%,Ranking!W232)</f>
        <v>0.05</v>
      </c>
      <c r="AM232" s="50">
        <f>IF('Resultado da inspeção'!L232='Resultado da inspeção'!$W$3,0%,Ranking!X232)</f>
        <v>0.24</v>
      </c>
      <c r="AN232" s="50">
        <f>IF('Resultado da inspeção'!M232='Resultado da inspeção'!$W$3,0%,Ranking!Y232)</f>
        <v>0.05</v>
      </c>
      <c r="AO232" s="50">
        <f>IF('Resultado da inspeção'!N232='Resultado da inspeção'!$W$3,0%,Ranking!Z232)</f>
        <v>0.04</v>
      </c>
      <c r="AP232" s="50">
        <f>IF('Resultado da inspeção'!O232='Resultado da inspeção'!$W$3,0%,Ranking!AA232)</f>
        <v>0.06</v>
      </c>
      <c r="AQ232" s="50">
        <f>IF('Resultado da inspeção'!P232='Resultado da inspeção'!$W$3,0%,Ranking!AB232)</f>
        <v>0.08</v>
      </c>
      <c r="AR232" s="50">
        <f>IF('Resultado da inspeção'!Q232='Resultado da inspeção'!$W$3,0%,Ranking!AC232)</f>
        <v>0.05</v>
      </c>
      <c r="AS232" s="50">
        <f>IF('Resultado da inspeção'!R232='Resultado da inspeção'!$W$3,0%,Ranking!AD232)</f>
        <v>0.02</v>
      </c>
      <c r="AT232" s="50">
        <f>IF('Resultado da inspeção'!S232='Resultado da inspeção'!$W$3,0%,Ranking!AE232)</f>
        <v>0.02</v>
      </c>
      <c r="AU232" s="49">
        <f t="shared" si="72"/>
        <v>1</v>
      </c>
    </row>
    <row r="233" spans="2:47" x14ac:dyDescent="0.25">
      <c r="B233" s="48">
        <f>IF('Resultado da inspeção'!F233='Resultado da inspeção'!$W$4,0%,Ranking!B$5)</f>
        <v>0.02</v>
      </c>
      <c r="C233" s="48">
        <f>IF('Resultado da inspeção'!G233='Resultado da inspeção'!$W$4,0%,Ranking!C$5)</f>
        <v>0.03</v>
      </c>
      <c r="D233" s="48">
        <f>IF('Resultado da inspeção'!H233='Resultado da inspeção'!$W$4,0%,Ranking!D$5)</f>
        <v>0.03</v>
      </c>
      <c r="E233" s="48">
        <f>IF('Resultado da inspeção'!I233='Resultado da inspeção'!$W$4,0%,Ranking!E$5)</f>
        <v>0.1</v>
      </c>
      <c r="F233" s="48">
        <f>IF('Resultado da inspeção'!J233='Resultado da inspeção'!$W$4,0%,Ranking!F$5)</f>
        <v>0.21</v>
      </c>
      <c r="G233" s="48">
        <f>IF('Resultado da inspeção'!K233='Resultado da inspeção'!$W$4,0%,Ranking!G$5)</f>
        <v>0.05</v>
      </c>
      <c r="H233" s="48">
        <f>IF('Resultado da inspeção'!L233='Resultado da inspeção'!$W$4,0%,Ranking!H$5)</f>
        <v>0.24</v>
      </c>
      <c r="I233" s="48">
        <f>IF('Resultado da inspeção'!M233='Resultado da inspeção'!$W$4,0%,Ranking!I$5)</f>
        <v>0.05</v>
      </c>
      <c r="J233" s="48">
        <f>IF('Resultado da inspeção'!N233='Resultado da inspeção'!$W$4,0%,Ranking!J$5)</f>
        <v>0.04</v>
      </c>
      <c r="K233" s="48">
        <f>IF('Resultado da inspeção'!O233='Resultado da inspeção'!$W$4,0%,Ranking!K$5)</f>
        <v>0.06</v>
      </c>
      <c r="L233" s="48">
        <f>IF('Resultado da inspeção'!P233='Resultado da inspeção'!$W$4,0%,Ranking!L$5)</f>
        <v>0.08</v>
      </c>
      <c r="M233" s="48">
        <f>IF('Resultado da inspeção'!Q233='Resultado da inspeção'!$W$4,0%,Ranking!M$5)</f>
        <v>0.05</v>
      </c>
      <c r="N233" s="48">
        <f>IF('Resultado da inspeção'!R233='Resultado da inspeção'!$W$4,0%,Ranking!N$5)</f>
        <v>0.02</v>
      </c>
      <c r="O233" s="48">
        <f>IF('Resultado da inspeção'!S233='Resultado da inspeção'!$W$4,0%,Ranking!O$5)</f>
        <v>0.02</v>
      </c>
      <c r="P233" s="47">
        <f t="shared" si="55"/>
        <v>1</v>
      </c>
      <c r="Q233" s="49">
        <f t="shared" si="70"/>
        <v>0</v>
      </c>
      <c r="R233" s="50">
        <f t="shared" si="56"/>
        <v>0.02</v>
      </c>
      <c r="S233" s="50">
        <f t="shared" si="57"/>
        <v>0.03</v>
      </c>
      <c r="T233" s="50">
        <f t="shared" si="58"/>
        <v>0.03</v>
      </c>
      <c r="U233" s="50">
        <f t="shared" si="59"/>
        <v>0.1</v>
      </c>
      <c r="V233" s="50">
        <f t="shared" si="60"/>
        <v>0.21</v>
      </c>
      <c r="W233" s="50">
        <f t="shared" si="61"/>
        <v>0.05</v>
      </c>
      <c r="X233" s="50">
        <f t="shared" si="62"/>
        <v>0.24</v>
      </c>
      <c r="Y233" s="50">
        <f t="shared" si="63"/>
        <v>0.05</v>
      </c>
      <c r="Z233" s="50">
        <f t="shared" si="64"/>
        <v>0.04</v>
      </c>
      <c r="AA233" s="50">
        <f t="shared" si="65"/>
        <v>0.06</v>
      </c>
      <c r="AB233" s="50">
        <f t="shared" si="66"/>
        <v>0.08</v>
      </c>
      <c r="AC233" s="50">
        <f t="shared" si="67"/>
        <v>0.05</v>
      </c>
      <c r="AD233" s="50">
        <f t="shared" si="68"/>
        <v>0.02</v>
      </c>
      <c r="AE233" s="50">
        <f t="shared" si="69"/>
        <v>0.02</v>
      </c>
      <c r="AF233" s="47">
        <f t="shared" si="71"/>
        <v>1</v>
      </c>
      <c r="AG233" s="50">
        <f>IF('Resultado da inspeção'!F233='Resultado da inspeção'!$W$3,0%,Ranking!R233)</f>
        <v>0.02</v>
      </c>
      <c r="AH233" s="50">
        <f>IF('Resultado da inspeção'!G233='Resultado da inspeção'!$W$3,0%,Ranking!S233)</f>
        <v>0.03</v>
      </c>
      <c r="AI233" s="50">
        <f>IF('Resultado da inspeção'!H233='Resultado da inspeção'!$W$3,0%,Ranking!T233)</f>
        <v>0.03</v>
      </c>
      <c r="AJ233" s="50">
        <f>IF('Resultado da inspeção'!I233='Resultado da inspeção'!$W$3,0%,Ranking!U233)</f>
        <v>0.1</v>
      </c>
      <c r="AK233" s="50">
        <f>IF('Resultado da inspeção'!J233='Resultado da inspeção'!$W$3,0%,Ranking!V233)</f>
        <v>0.21</v>
      </c>
      <c r="AL233" s="50">
        <f>IF('Resultado da inspeção'!K233='Resultado da inspeção'!$W$3,0%,Ranking!W233)</f>
        <v>0.05</v>
      </c>
      <c r="AM233" s="50">
        <f>IF('Resultado da inspeção'!L233='Resultado da inspeção'!$W$3,0%,Ranking!X233)</f>
        <v>0.24</v>
      </c>
      <c r="AN233" s="50">
        <f>IF('Resultado da inspeção'!M233='Resultado da inspeção'!$W$3,0%,Ranking!Y233)</f>
        <v>0.05</v>
      </c>
      <c r="AO233" s="50">
        <f>IF('Resultado da inspeção'!N233='Resultado da inspeção'!$W$3,0%,Ranking!Z233)</f>
        <v>0.04</v>
      </c>
      <c r="AP233" s="50">
        <f>IF('Resultado da inspeção'!O233='Resultado da inspeção'!$W$3,0%,Ranking!AA233)</f>
        <v>0.06</v>
      </c>
      <c r="AQ233" s="50">
        <f>IF('Resultado da inspeção'!P233='Resultado da inspeção'!$W$3,0%,Ranking!AB233)</f>
        <v>0.08</v>
      </c>
      <c r="AR233" s="50">
        <f>IF('Resultado da inspeção'!Q233='Resultado da inspeção'!$W$3,0%,Ranking!AC233)</f>
        <v>0.05</v>
      </c>
      <c r="AS233" s="50">
        <f>IF('Resultado da inspeção'!R233='Resultado da inspeção'!$W$3,0%,Ranking!AD233)</f>
        <v>0.02</v>
      </c>
      <c r="AT233" s="50">
        <f>IF('Resultado da inspeção'!S233='Resultado da inspeção'!$W$3,0%,Ranking!AE233)</f>
        <v>0.02</v>
      </c>
      <c r="AU233" s="49">
        <f t="shared" si="72"/>
        <v>1</v>
      </c>
    </row>
    <row r="234" spans="2:47" x14ac:dyDescent="0.25">
      <c r="B234" s="48">
        <f>IF('Resultado da inspeção'!F234='Resultado da inspeção'!$W$4,0%,Ranking!B$5)</f>
        <v>0.02</v>
      </c>
      <c r="C234" s="48">
        <f>IF('Resultado da inspeção'!G234='Resultado da inspeção'!$W$4,0%,Ranking!C$5)</f>
        <v>0.03</v>
      </c>
      <c r="D234" s="48">
        <f>IF('Resultado da inspeção'!H234='Resultado da inspeção'!$W$4,0%,Ranking!D$5)</f>
        <v>0.03</v>
      </c>
      <c r="E234" s="48">
        <f>IF('Resultado da inspeção'!I234='Resultado da inspeção'!$W$4,0%,Ranking!E$5)</f>
        <v>0.1</v>
      </c>
      <c r="F234" s="48">
        <f>IF('Resultado da inspeção'!J234='Resultado da inspeção'!$W$4,0%,Ranking!F$5)</f>
        <v>0.21</v>
      </c>
      <c r="G234" s="48">
        <f>IF('Resultado da inspeção'!K234='Resultado da inspeção'!$W$4,0%,Ranking!G$5)</f>
        <v>0.05</v>
      </c>
      <c r="H234" s="48">
        <f>IF('Resultado da inspeção'!L234='Resultado da inspeção'!$W$4,0%,Ranking!H$5)</f>
        <v>0.24</v>
      </c>
      <c r="I234" s="48">
        <f>IF('Resultado da inspeção'!M234='Resultado da inspeção'!$W$4,0%,Ranking!I$5)</f>
        <v>0.05</v>
      </c>
      <c r="J234" s="48">
        <f>IF('Resultado da inspeção'!N234='Resultado da inspeção'!$W$4,0%,Ranking!J$5)</f>
        <v>0.04</v>
      </c>
      <c r="K234" s="48">
        <f>IF('Resultado da inspeção'!O234='Resultado da inspeção'!$W$4,0%,Ranking!K$5)</f>
        <v>0.06</v>
      </c>
      <c r="L234" s="48">
        <f>IF('Resultado da inspeção'!P234='Resultado da inspeção'!$W$4,0%,Ranking!L$5)</f>
        <v>0.08</v>
      </c>
      <c r="M234" s="48">
        <f>IF('Resultado da inspeção'!Q234='Resultado da inspeção'!$W$4,0%,Ranking!M$5)</f>
        <v>0.05</v>
      </c>
      <c r="N234" s="48">
        <f>IF('Resultado da inspeção'!R234='Resultado da inspeção'!$W$4,0%,Ranking!N$5)</f>
        <v>0.02</v>
      </c>
      <c r="O234" s="48">
        <f>IF('Resultado da inspeção'!S234='Resultado da inspeção'!$W$4,0%,Ranking!O$5)</f>
        <v>0.02</v>
      </c>
      <c r="P234" s="47">
        <f t="shared" si="55"/>
        <v>1</v>
      </c>
      <c r="Q234" s="49">
        <f t="shared" si="70"/>
        <v>0</v>
      </c>
      <c r="R234" s="50">
        <f t="shared" si="56"/>
        <v>0.02</v>
      </c>
      <c r="S234" s="50">
        <f t="shared" si="57"/>
        <v>0.03</v>
      </c>
      <c r="T234" s="50">
        <f t="shared" si="58"/>
        <v>0.03</v>
      </c>
      <c r="U234" s="50">
        <f t="shared" si="59"/>
        <v>0.1</v>
      </c>
      <c r="V234" s="50">
        <f t="shared" si="60"/>
        <v>0.21</v>
      </c>
      <c r="W234" s="50">
        <f t="shared" si="61"/>
        <v>0.05</v>
      </c>
      <c r="X234" s="50">
        <f t="shared" si="62"/>
        <v>0.24</v>
      </c>
      <c r="Y234" s="50">
        <f t="shared" si="63"/>
        <v>0.05</v>
      </c>
      <c r="Z234" s="50">
        <f t="shared" si="64"/>
        <v>0.04</v>
      </c>
      <c r="AA234" s="50">
        <f t="shared" si="65"/>
        <v>0.06</v>
      </c>
      <c r="AB234" s="50">
        <f t="shared" si="66"/>
        <v>0.08</v>
      </c>
      <c r="AC234" s="50">
        <f t="shared" si="67"/>
        <v>0.05</v>
      </c>
      <c r="AD234" s="50">
        <f t="shared" si="68"/>
        <v>0.02</v>
      </c>
      <c r="AE234" s="50">
        <f t="shared" si="69"/>
        <v>0.02</v>
      </c>
      <c r="AF234" s="47">
        <f t="shared" si="71"/>
        <v>1</v>
      </c>
      <c r="AG234" s="50">
        <f>IF('Resultado da inspeção'!F234='Resultado da inspeção'!$W$3,0%,Ranking!R234)</f>
        <v>0.02</v>
      </c>
      <c r="AH234" s="50">
        <f>IF('Resultado da inspeção'!G234='Resultado da inspeção'!$W$3,0%,Ranking!S234)</f>
        <v>0.03</v>
      </c>
      <c r="AI234" s="50">
        <f>IF('Resultado da inspeção'!H234='Resultado da inspeção'!$W$3,0%,Ranking!T234)</f>
        <v>0.03</v>
      </c>
      <c r="AJ234" s="50">
        <f>IF('Resultado da inspeção'!I234='Resultado da inspeção'!$W$3,0%,Ranking!U234)</f>
        <v>0.1</v>
      </c>
      <c r="AK234" s="50">
        <f>IF('Resultado da inspeção'!J234='Resultado da inspeção'!$W$3,0%,Ranking!V234)</f>
        <v>0.21</v>
      </c>
      <c r="AL234" s="50">
        <f>IF('Resultado da inspeção'!K234='Resultado da inspeção'!$W$3,0%,Ranking!W234)</f>
        <v>0.05</v>
      </c>
      <c r="AM234" s="50">
        <f>IF('Resultado da inspeção'!L234='Resultado da inspeção'!$W$3,0%,Ranking!X234)</f>
        <v>0.24</v>
      </c>
      <c r="AN234" s="50">
        <f>IF('Resultado da inspeção'!M234='Resultado da inspeção'!$W$3,0%,Ranking!Y234)</f>
        <v>0.05</v>
      </c>
      <c r="AO234" s="50">
        <f>IF('Resultado da inspeção'!N234='Resultado da inspeção'!$W$3,0%,Ranking!Z234)</f>
        <v>0.04</v>
      </c>
      <c r="AP234" s="50">
        <f>IF('Resultado da inspeção'!O234='Resultado da inspeção'!$W$3,0%,Ranking!AA234)</f>
        <v>0.06</v>
      </c>
      <c r="AQ234" s="50">
        <f>IF('Resultado da inspeção'!P234='Resultado da inspeção'!$W$3,0%,Ranking!AB234)</f>
        <v>0.08</v>
      </c>
      <c r="AR234" s="50">
        <f>IF('Resultado da inspeção'!Q234='Resultado da inspeção'!$W$3,0%,Ranking!AC234)</f>
        <v>0.05</v>
      </c>
      <c r="AS234" s="50">
        <f>IF('Resultado da inspeção'!R234='Resultado da inspeção'!$W$3,0%,Ranking!AD234)</f>
        <v>0.02</v>
      </c>
      <c r="AT234" s="50">
        <f>IF('Resultado da inspeção'!S234='Resultado da inspeção'!$W$3,0%,Ranking!AE234)</f>
        <v>0.02</v>
      </c>
      <c r="AU234" s="49">
        <f t="shared" si="72"/>
        <v>1</v>
      </c>
    </row>
    <row r="235" spans="2:47" x14ac:dyDescent="0.25">
      <c r="B235" s="48">
        <f>IF('Resultado da inspeção'!F235='Resultado da inspeção'!$W$4,0%,Ranking!B$5)</f>
        <v>0.02</v>
      </c>
      <c r="C235" s="48">
        <f>IF('Resultado da inspeção'!G235='Resultado da inspeção'!$W$4,0%,Ranking!C$5)</f>
        <v>0.03</v>
      </c>
      <c r="D235" s="48">
        <f>IF('Resultado da inspeção'!H235='Resultado da inspeção'!$W$4,0%,Ranking!D$5)</f>
        <v>0.03</v>
      </c>
      <c r="E235" s="48">
        <f>IF('Resultado da inspeção'!I235='Resultado da inspeção'!$W$4,0%,Ranking!E$5)</f>
        <v>0.1</v>
      </c>
      <c r="F235" s="48">
        <f>IF('Resultado da inspeção'!J235='Resultado da inspeção'!$W$4,0%,Ranking!F$5)</f>
        <v>0.21</v>
      </c>
      <c r="G235" s="48">
        <f>IF('Resultado da inspeção'!K235='Resultado da inspeção'!$W$4,0%,Ranking!G$5)</f>
        <v>0.05</v>
      </c>
      <c r="H235" s="48">
        <f>IF('Resultado da inspeção'!L235='Resultado da inspeção'!$W$4,0%,Ranking!H$5)</f>
        <v>0.24</v>
      </c>
      <c r="I235" s="48">
        <f>IF('Resultado da inspeção'!M235='Resultado da inspeção'!$W$4,0%,Ranking!I$5)</f>
        <v>0.05</v>
      </c>
      <c r="J235" s="48">
        <f>IF('Resultado da inspeção'!N235='Resultado da inspeção'!$W$4,0%,Ranking!J$5)</f>
        <v>0.04</v>
      </c>
      <c r="K235" s="48">
        <f>IF('Resultado da inspeção'!O235='Resultado da inspeção'!$W$4,0%,Ranking!K$5)</f>
        <v>0.06</v>
      </c>
      <c r="L235" s="48">
        <f>IF('Resultado da inspeção'!P235='Resultado da inspeção'!$W$4,0%,Ranking!L$5)</f>
        <v>0.08</v>
      </c>
      <c r="M235" s="48">
        <f>IF('Resultado da inspeção'!Q235='Resultado da inspeção'!$W$4,0%,Ranking!M$5)</f>
        <v>0.05</v>
      </c>
      <c r="N235" s="48">
        <f>IF('Resultado da inspeção'!R235='Resultado da inspeção'!$W$4,0%,Ranking!N$5)</f>
        <v>0.02</v>
      </c>
      <c r="O235" s="48">
        <f>IF('Resultado da inspeção'!S235='Resultado da inspeção'!$W$4,0%,Ranking!O$5)</f>
        <v>0.02</v>
      </c>
      <c r="P235" s="47">
        <f t="shared" si="55"/>
        <v>1</v>
      </c>
      <c r="Q235" s="49">
        <f t="shared" si="70"/>
        <v>0</v>
      </c>
      <c r="R235" s="50">
        <f t="shared" si="56"/>
        <v>0.02</v>
      </c>
      <c r="S235" s="50">
        <f t="shared" si="57"/>
        <v>0.03</v>
      </c>
      <c r="T235" s="50">
        <f t="shared" si="58"/>
        <v>0.03</v>
      </c>
      <c r="U235" s="50">
        <f t="shared" si="59"/>
        <v>0.1</v>
      </c>
      <c r="V235" s="50">
        <f t="shared" si="60"/>
        <v>0.21</v>
      </c>
      <c r="W235" s="50">
        <f t="shared" si="61"/>
        <v>0.05</v>
      </c>
      <c r="X235" s="50">
        <f t="shared" si="62"/>
        <v>0.24</v>
      </c>
      <c r="Y235" s="50">
        <f t="shared" si="63"/>
        <v>0.05</v>
      </c>
      <c r="Z235" s="50">
        <f t="shared" si="64"/>
        <v>0.04</v>
      </c>
      <c r="AA235" s="50">
        <f t="shared" si="65"/>
        <v>0.06</v>
      </c>
      <c r="AB235" s="50">
        <f t="shared" si="66"/>
        <v>0.08</v>
      </c>
      <c r="AC235" s="50">
        <f t="shared" si="67"/>
        <v>0.05</v>
      </c>
      <c r="AD235" s="50">
        <f t="shared" si="68"/>
        <v>0.02</v>
      </c>
      <c r="AE235" s="50">
        <f t="shared" si="69"/>
        <v>0.02</v>
      </c>
      <c r="AF235" s="47">
        <f t="shared" si="71"/>
        <v>1</v>
      </c>
      <c r="AG235" s="50">
        <f>IF('Resultado da inspeção'!F235='Resultado da inspeção'!$W$3,0%,Ranking!R235)</f>
        <v>0.02</v>
      </c>
      <c r="AH235" s="50">
        <f>IF('Resultado da inspeção'!G235='Resultado da inspeção'!$W$3,0%,Ranking!S235)</f>
        <v>0.03</v>
      </c>
      <c r="AI235" s="50">
        <f>IF('Resultado da inspeção'!H235='Resultado da inspeção'!$W$3,0%,Ranking!T235)</f>
        <v>0.03</v>
      </c>
      <c r="AJ235" s="50">
        <f>IF('Resultado da inspeção'!I235='Resultado da inspeção'!$W$3,0%,Ranking!U235)</f>
        <v>0.1</v>
      </c>
      <c r="AK235" s="50">
        <f>IF('Resultado da inspeção'!J235='Resultado da inspeção'!$W$3,0%,Ranking!V235)</f>
        <v>0.21</v>
      </c>
      <c r="AL235" s="50">
        <f>IF('Resultado da inspeção'!K235='Resultado da inspeção'!$W$3,0%,Ranking!W235)</f>
        <v>0.05</v>
      </c>
      <c r="AM235" s="50">
        <f>IF('Resultado da inspeção'!L235='Resultado da inspeção'!$W$3,0%,Ranking!X235)</f>
        <v>0.24</v>
      </c>
      <c r="AN235" s="50">
        <f>IF('Resultado da inspeção'!M235='Resultado da inspeção'!$W$3,0%,Ranking!Y235)</f>
        <v>0.05</v>
      </c>
      <c r="AO235" s="50">
        <f>IF('Resultado da inspeção'!N235='Resultado da inspeção'!$W$3,0%,Ranking!Z235)</f>
        <v>0.04</v>
      </c>
      <c r="AP235" s="50">
        <f>IF('Resultado da inspeção'!O235='Resultado da inspeção'!$W$3,0%,Ranking!AA235)</f>
        <v>0.06</v>
      </c>
      <c r="AQ235" s="50">
        <f>IF('Resultado da inspeção'!P235='Resultado da inspeção'!$W$3,0%,Ranking!AB235)</f>
        <v>0.08</v>
      </c>
      <c r="AR235" s="50">
        <f>IF('Resultado da inspeção'!Q235='Resultado da inspeção'!$W$3,0%,Ranking!AC235)</f>
        <v>0.05</v>
      </c>
      <c r="AS235" s="50">
        <f>IF('Resultado da inspeção'!R235='Resultado da inspeção'!$W$3,0%,Ranking!AD235)</f>
        <v>0.02</v>
      </c>
      <c r="AT235" s="50">
        <f>IF('Resultado da inspeção'!S235='Resultado da inspeção'!$W$3,0%,Ranking!AE235)</f>
        <v>0.02</v>
      </c>
      <c r="AU235" s="49">
        <f t="shared" si="72"/>
        <v>1</v>
      </c>
    </row>
    <row r="236" spans="2:47" x14ac:dyDescent="0.25">
      <c r="B236" s="48">
        <f>IF('Resultado da inspeção'!F236='Resultado da inspeção'!$W$4,0%,Ranking!B$5)</f>
        <v>0.02</v>
      </c>
      <c r="C236" s="48">
        <f>IF('Resultado da inspeção'!G236='Resultado da inspeção'!$W$4,0%,Ranking!C$5)</f>
        <v>0.03</v>
      </c>
      <c r="D236" s="48">
        <f>IF('Resultado da inspeção'!H236='Resultado da inspeção'!$W$4,0%,Ranking!D$5)</f>
        <v>0.03</v>
      </c>
      <c r="E236" s="48">
        <f>IF('Resultado da inspeção'!I236='Resultado da inspeção'!$W$4,0%,Ranking!E$5)</f>
        <v>0.1</v>
      </c>
      <c r="F236" s="48">
        <f>IF('Resultado da inspeção'!J236='Resultado da inspeção'!$W$4,0%,Ranking!F$5)</f>
        <v>0.21</v>
      </c>
      <c r="G236" s="48">
        <f>IF('Resultado da inspeção'!K236='Resultado da inspeção'!$W$4,0%,Ranking!G$5)</f>
        <v>0.05</v>
      </c>
      <c r="H236" s="48">
        <f>IF('Resultado da inspeção'!L236='Resultado da inspeção'!$W$4,0%,Ranking!H$5)</f>
        <v>0.24</v>
      </c>
      <c r="I236" s="48">
        <f>IF('Resultado da inspeção'!M236='Resultado da inspeção'!$W$4,0%,Ranking!I$5)</f>
        <v>0.05</v>
      </c>
      <c r="J236" s="48">
        <f>IF('Resultado da inspeção'!N236='Resultado da inspeção'!$W$4,0%,Ranking!J$5)</f>
        <v>0.04</v>
      </c>
      <c r="K236" s="48">
        <f>IF('Resultado da inspeção'!O236='Resultado da inspeção'!$W$4,0%,Ranking!K$5)</f>
        <v>0.06</v>
      </c>
      <c r="L236" s="48">
        <f>IF('Resultado da inspeção'!P236='Resultado da inspeção'!$W$4,0%,Ranking!L$5)</f>
        <v>0.08</v>
      </c>
      <c r="M236" s="48">
        <f>IF('Resultado da inspeção'!Q236='Resultado da inspeção'!$W$4,0%,Ranking!M$5)</f>
        <v>0.05</v>
      </c>
      <c r="N236" s="48">
        <f>IF('Resultado da inspeção'!R236='Resultado da inspeção'!$W$4,0%,Ranking!N$5)</f>
        <v>0.02</v>
      </c>
      <c r="O236" s="48">
        <f>IF('Resultado da inspeção'!S236='Resultado da inspeção'!$W$4,0%,Ranking!O$5)</f>
        <v>0.02</v>
      </c>
      <c r="P236" s="47">
        <f t="shared" si="55"/>
        <v>1</v>
      </c>
      <c r="Q236" s="49">
        <f t="shared" si="70"/>
        <v>0</v>
      </c>
      <c r="R236" s="50">
        <f t="shared" si="56"/>
        <v>0.02</v>
      </c>
      <c r="S236" s="50">
        <f t="shared" si="57"/>
        <v>0.03</v>
      </c>
      <c r="T236" s="50">
        <f t="shared" si="58"/>
        <v>0.03</v>
      </c>
      <c r="U236" s="50">
        <f t="shared" si="59"/>
        <v>0.1</v>
      </c>
      <c r="V236" s="50">
        <f t="shared" si="60"/>
        <v>0.21</v>
      </c>
      <c r="W236" s="50">
        <f t="shared" si="61"/>
        <v>0.05</v>
      </c>
      <c r="X236" s="50">
        <f t="shared" si="62"/>
        <v>0.24</v>
      </c>
      <c r="Y236" s="50">
        <f t="shared" si="63"/>
        <v>0.05</v>
      </c>
      <c r="Z236" s="50">
        <f t="shared" si="64"/>
        <v>0.04</v>
      </c>
      <c r="AA236" s="50">
        <f t="shared" si="65"/>
        <v>0.06</v>
      </c>
      <c r="AB236" s="50">
        <f t="shared" si="66"/>
        <v>0.08</v>
      </c>
      <c r="AC236" s="50">
        <f t="shared" si="67"/>
        <v>0.05</v>
      </c>
      <c r="AD236" s="50">
        <f t="shared" si="68"/>
        <v>0.02</v>
      </c>
      <c r="AE236" s="50">
        <f t="shared" si="69"/>
        <v>0.02</v>
      </c>
      <c r="AF236" s="47">
        <f t="shared" si="71"/>
        <v>1</v>
      </c>
      <c r="AG236" s="50">
        <f>IF('Resultado da inspeção'!F236='Resultado da inspeção'!$W$3,0%,Ranking!R236)</f>
        <v>0.02</v>
      </c>
      <c r="AH236" s="50">
        <f>IF('Resultado da inspeção'!G236='Resultado da inspeção'!$W$3,0%,Ranking!S236)</f>
        <v>0.03</v>
      </c>
      <c r="AI236" s="50">
        <f>IF('Resultado da inspeção'!H236='Resultado da inspeção'!$W$3,0%,Ranking!T236)</f>
        <v>0.03</v>
      </c>
      <c r="AJ236" s="50">
        <f>IF('Resultado da inspeção'!I236='Resultado da inspeção'!$W$3,0%,Ranking!U236)</f>
        <v>0.1</v>
      </c>
      <c r="AK236" s="50">
        <f>IF('Resultado da inspeção'!J236='Resultado da inspeção'!$W$3,0%,Ranking!V236)</f>
        <v>0.21</v>
      </c>
      <c r="AL236" s="50">
        <f>IF('Resultado da inspeção'!K236='Resultado da inspeção'!$W$3,0%,Ranking!W236)</f>
        <v>0.05</v>
      </c>
      <c r="AM236" s="50">
        <f>IF('Resultado da inspeção'!L236='Resultado da inspeção'!$W$3,0%,Ranking!X236)</f>
        <v>0.24</v>
      </c>
      <c r="AN236" s="50">
        <f>IF('Resultado da inspeção'!M236='Resultado da inspeção'!$W$3,0%,Ranking!Y236)</f>
        <v>0.05</v>
      </c>
      <c r="AO236" s="50">
        <f>IF('Resultado da inspeção'!N236='Resultado da inspeção'!$W$3,0%,Ranking!Z236)</f>
        <v>0.04</v>
      </c>
      <c r="AP236" s="50">
        <f>IF('Resultado da inspeção'!O236='Resultado da inspeção'!$W$3,0%,Ranking!AA236)</f>
        <v>0.06</v>
      </c>
      <c r="AQ236" s="50">
        <f>IF('Resultado da inspeção'!P236='Resultado da inspeção'!$W$3,0%,Ranking!AB236)</f>
        <v>0.08</v>
      </c>
      <c r="AR236" s="50">
        <f>IF('Resultado da inspeção'!Q236='Resultado da inspeção'!$W$3,0%,Ranking!AC236)</f>
        <v>0.05</v>
      </c>
      <c r="AS236" s="50">
        <f>IF('Resultado da inspeção'!R236='Resultado da inspeção'!$W$3,0%,Ranking!AD236)</f>
        <v>0.02</v>
      </c>
      <c r="AT236" s="50">
        <f>IF('Resultado da inspeção'!S236='Resultado da inspeção'!$W$3,0%,Ranking!AE236)</f>
        <v>0.02</v>
      </c>
      <c r="AU236" s="49">
        <f t="shared" si="72"/>
        <v>1</v>
      </c>
    </row>
    <row r="237" spans="2:47" x14ac:dyDescent="0.25">
      <c r="B237" s="48">
        <f>IF('Resultado da inspeção'!F237='Resultado da inspeção'!$W$4,0%,Ranking!B$5)</f>
        <v>0.02</v>
      </c>
      <c r="C237" s="48">
        <f>IF('Resultado da inspeção'!G237='Resultado da inspeção'!$W$4,0%,Ranking!C$5)</f>
        <v>0.03</v>
      </c>
      <c r="D237" s="48">
        <f>IF('Resultado da inspeção'!H237='Resultado da inspeção'!$W$4,0%,Ranking!D$5)</f>
        <v>0.03</v>
      </c>
      <c r="E237" s="48">
        <f>IF('Resultado da inspeção'!I237='Resultado da inspeção'!$W$4,0%,Ranking!E$5)</f>
        <v>0.1</v>
      </c>
      <c r="F237" s="48">
        <f>IF('Resultado da inspeção'!J237='Resultado da inspeção'!$W$4,0%,Ranking!F$5)</f>
        <v>0.21</v>
      </c>
      <c r="G237" s="48">
        <f>IF('Resultado da inspeção'!K237='Resultado da inspeção'!$W$4,0%,Ranking!G$5)</f>
        <v>0.05</v>
      </c>
      <c r="H237" s="48">
        <f>IF('Resultado da inspeção'!L237='Resultado da inspeção'!$W$4,0%,Ranking!H$5)</f>
        <v>0.24</v>
      </c>
      <c r="I237" s="48">
        <f>IF('Resultado da inspeção'!M237='Resultado da inspeção'!$W$4,0%,Ranking!I$5)</f>
        <v>0.05</v>
      </c>
      <c r="J237" s="48">
        <f>IF('Resultado da inspeção'!N237='Resultado da inspeção'!$W$4,0%,Ranking!J$5)</f>
        <v>0.04</v>
      </c>
      <c r="K237" s="48">
        <f>IF('Resultado da inspeção'!O237='Resultado da inspeção'!$W$4,0%,Ranking!K$5)</f>
        <v>0.06</v>
      </c>
      <c r="L237" s="48">
        <f>IF('Resultado da inspeção'!P237='Resultado da inspeção'!$W$4,0%,Ranking!L$5)</f>
        <v>0.08</v>
      </c>
      <c r="M237" s="48">
        <f>IF('Resultado da inspeção'!Q237='Resultado da inspeção'!$W$4,0%,Ranking!M$5)</f>
        <v>0.05</v>
      </c>
      <c r="N237" s="48">
        <f>IF('Resultado da inspeção'!R237='Resultado da inspeção'!$W$4,0%,Ranking!N$5)</f>
        <v>0.02</v>
      </c>
      <c r="O237" s="48">
        <f>IF('Resultado da inspeção'!S237='Resultado da inspeção'!$W$4,0%,Ranking!O$5)</f>
        <v>0.02</v>
      </c>
      <c r="P237" s="47">
        <f t="shared" si="55"/>
        <v>1</v>
      </c>
      <c r="Q237" s="49">
        <f t="shared" si="70"/>
        <v>0</v>
      </c>
      <c r="R237" s="50">
        <f t="shared" si="56"/>
        <v>0.02</v>
      </c>
      <c r="S237" s="50">
        <f t="shared" si="57"/>
        <v>0.03</v>
      </c>
      <c r="T237" s="50">
        <f t="shared" si="58"/>
        <v>0.03</v>
      </c>
      <c r="U237" s="50">
        <f t="shared" si="59"/>
        <v>0.1</v>
      </c>
      <c r="V237" s="50">
        <f t="shared" si="60"/>
        <v>0.21</v>
      </c>
      <c r="W237" s="50">
        <f t="shared" si="61"/>
        <v>0.05</v>
      </c>
      <c r="X237" s="50">
        <f t="shared" si="62"/>
        <v>0.24</v>
      </c>
      <c r="Y237" s="50">
        <f t="shared" si="63"/>
        <v>0.05</v>
      </c>
      <c r="Z237" s="50">
        <f t="shared" si="64"/>
        <v>0.04</v>
      </c>
      <c r="AA237" s="50">
        <f t="shared" si="65"/>
        <v>0.06</v>
      </c>
      <c r="AB237" s="50">
        <f t="shared" si="66"/>
        <v>0.08</v>
      </c>
      <c r="AC237" s="50">
        <f t="shared" si="67"/>
        <v>0.05</v>
      </c>
      <c r="AD237" s="50">
        <f t="shared" si="68"/>
        <v>0.02</v>
      </c>
      <c r="AE237" s="50">
        <f t="shared" si="69"/>
        <v>0.02</v>
      </c>
      <c r="AF237" s="47">
        <f t="shared" si="71"/>
        <v>1</v>
      </c>
      <c r="AG237" s="50">
        <f>IF('Resultado da inspeção'!F237='Resultado da inspeção'!$W$3,0%,Ranking!R237)</f>
        <v>0.02</v>
      </c>
      <c r="AH237" s="50">
        <f>IF('Resultado da inspeção'!G237='Resultado da inspeção'!$W$3,0%,Ranking!S237)</f>
        <v>0.03</v>
      </c>
      <c r="AI237" s="50">
        <f>IF('Resultado da inspeção'!H237='Resultado da inspeção'!$W$3,0%,Ranking!T237)</f>
        <v>0.03</v>
      </c>
      <c r="AJ237" s="50">
        <f>IF('Resultado da inspeção'!I237='Resultado da inspeção'!$W$3,0%,Ranking!U237)</f>
        <v>0.1</v>
      </c>
      <c r="AK237" s="50">
        <f>IF('Resultado da inspeção'!J237='Resultado da inspeção'!$W$3,0%,Ranking!V237)</f>
        <v>0.21</v>
      </c>
      <c r="AL237" s="50">
        <f>IF('Resultado da inspeção'!K237='Resultado da inspeção'!$W$3,0%,Ranking!W237)</f>
        <v>0.05</v>
      </c>
      <c r="AM237" s="50">
        <f>IF('Resultado da inspeção'!L237='Resultado da inspeção'!$W$3,0%,Ranking!X237)</f>
        <v>0.24</v>
      </c>
      <c r="AN237" s="50">
        <f>IF('Resultado da inspeção'!M237='Resultado da inspeção'!$W$3,0%,Ranking!Y237)</f>
        <v>0.05</v>
      </c>
      <c r="AO237" s="50">
        <f>IF('Resultado da inspeção'!N237='Resultado da inspeção'!$W$3,0%,Ranking!Z237)</f>
        <v>0.04</v>
      </c>
      <c r="AP237" s="50">
        <f>IF('Resultado da inspeção'!O237='Resultado da inspeção'!$W$3,0%,Ranking!AA237)</f>
        <v>0.06</v>
      </c>
      <c r="AQ237" s="50">
        <f>IF('Resultado da inspeção'!P237='Resultado da inspeção'!$W$3,0%,Ranking!AB237)</f>
        <v>0.08</v>
      </c>
      <c r="AR237" s="50">
        <f>IF('Resultado da inspeção'!Q237='Resultado da inspeção'!$W$3,0%,Ranking!AC237)</f>
        <v>0.05</v>
      </c>
      <c r="AS237" s="50">
        <f>IF('Resultado da inspeção'!R237='Resultado da inspeção'!$W$3,0%,Ranking!AD237)</f>
        <v>0.02</v>
      </c>
      <c r="AT237" s="50">
        <f>IF('Resultado da inspeção'!S237='Resultado da inspeção'!$W$3,0%,Ranking!AE237)</f>
        <v>0.02</v>
      </c>
      <c r="AU237" s="49">
        <f t="shared" si="72"/>
        <v>1</v>
      </c>
    </row>
    <row r="238" spans="2:47" x14ac:dyDescent="0.25">
      <c r="B238" s="48">
        <f>IF('Resultado da inspeção'!F238='Resultado da inspeção'!$W$4,0%,Ranking!B$5)</f>
        <v>0.02</v>
      </c>
      <c r="C238" s="48">
        <f>IF('Resultado da inspeção'!G238='Resultado da inspeção'!$W$4,0%,Ranking!C$5)</f>
        <v>0.03</v>
      </c>
      <c r="D238" s="48">
        <f>IF('Resultado da inspeção'!H238='Resultado da inspeção'!$W$4,0%,Ranking!D$5)</f>
        <v>0.03</v>
      </c>
      <c r="E238" s="48">
        <f>IF('Resultado da inspeção'!I238='Resultado da inspeção'!$W$4,0%,Ranking!E$5)</f>
        <v>0.1</v>
      </c>
      <c r="F238" s="48">
        <f>IF('Resultado da inspeção'!J238='Resultado da inspeção'!$W$4,0%,Ranking!F$5)</f>
        <v>0.21</v>
      </c>
      <c r="G238" s="48">
        <f>IF('Resultado da inspeção'!K238='Resultado da inspeção'!$W$4,0%,Ranking!G$5)</f>
        <v>0.05</v>
      </c>
      <c r="H238" s="48">
        <f>IF('Resultado da inspeção'!L238='Resultado da inspeção'!$W$4,0%,Ranking!H$5)</f>
        <v>0.24</v>
      </c>
      <c r="I238" s="48">
        <f>IF('Resultado da inspeção'!M238='Resultado da inspeção'!$W$4,0%,Ranking!I$5)</f>
        <v>0.05</v>
      </c>
      <c r="J238" s="48">
        <f>IF('Resultado da inspeção'!N238='Resultado da inspeção'!$W$4,0%,Ranking!J$5)</f>
        <v>0.04</v>
      </c>
      <c r="K238" s="48">
        <f>IF('Resultado da inspeção'!O238='Resultado da inspeção'!$W$4,0%,Ranking!K$5)</f>
        <v>0.06</v>
      </c>
      <c r="L238" s="48">
        <f>IF('Resultado da inspeção'!P238='Resultado da inspeção'!$W$4,0%,Ranking!L$5)</f>
        <v>0.08</v>
      </c>
      <c r="M238" s="48">
        <f>IF('Resultado da inspeção'!Q238='Resultado da inspeção'!$W$4,0%,Ranking!M$5)</f>
        <v>0.05</v>
      </c>
      <c r="N238" s="48">
        <f>IF('Resultado da inspeção'!R238='Resultado da inspeção'!$W$4,0%,Ranking!N$5)</f>
        <v>0.02</v>
      </c>
      <c r="O238" s="48">
        <f>IF('Resultado da inspeção'!S238='Resultado da inspeção'!$W$4,0%,Ranking!O$5)</f>
        <v>0.02</v>
      </c>
      <c r="P238" s="47">
        <f t="shared" si="55"/>
        <v>1</v>
      </c>
      <c r="Q238" s="49">
        <f t="shared" si="70"/>
        <v>0</v>
      </c>
      <c r="R238" s="50">
        <f t="shared" si="56"/>
        <v>0.02</v>
      </c>
      <c r="S238" s="50">
        <f t="shared" si="57"/>
        <v>0.03</v>
      </c>
      <c r="T238" s="50">
        <f t="shared" si="58"/>
        <v>0.03</v>
      </c>
      <c r="U238" s="50">
        <f t="shared" si="59"/>
        <v>0.1</v>
      </c>
      <c r="V238" s="50">
        <f t="shared" si="60"/>
        <v>0.21</v>
      </c>
      <c r="W238" s="50">
        <f t="shared" si="61"/>
        <v>0.05</v>
      </c>
      <c r="X238" s="50">
        <f t="shared" si="62"/>
        <v>0.24</v>
      </c>
      <c r="Y238" s="50">
        <f t="shared" si="63"/>
        <v>0.05</v>
      </c>
      <c r="Z238" s="50">
        <f t="shared" si="64"/>
        <v>0.04</v>
      </c>
      <c r="AA238" s="50">
        <f t="shared" si="65"/>
        <v>0.06</v>
      </c>
      <c r="AB238" s="50">
        <f t="shared" si="66"/>
        <v>0.08</v>
      </c>
      <c r="AC238" s="50">
        <f t="shared" si="67"/>
        <v>0.05</v>
      </c>
      <c r="AD238" s="50">
        <f t="shared" si="68"/>
        <v>0.02</v>
      </c>
      <c r="AE238" s="50">
        <f t="shared" si="69"/>
        <v>0.02</v>
      </c>
      <c r="AF238" s="47">
        <f t="shared" si="71"/>
        <v>1</v>
      </c>
      <c r="AG238" s="50">
        <f>IF('Resultado da inspeção'!F238='Resultado da inspeção'!$W$3,0%,Ranking!R238)</f>
        <v>0.02</v>
      </c>
      <c r="AH238" s="50">
        <f>IF('Resultado da inspeção'!G238='Resultado da inspeção'!$W$3,0%,Ranking!S238)</f>
        <v>0.03</v>
      </c>
      <c r="AI238" s="50">
        <f>IF('Resultado da inspeção'!H238='Resultado da inspeção'!$W$3,0%,Ranking!T238)</f>
        <v>0.03</v>
      </c>
      <c r="AJ238" s="50">
        <f>IF('Resultado da inspeção'!I238='Resultado da inspeção'!$W$3,0%,Ranking!U238)</f>
        <v>0.1</v>
      </c>
      <c r="AK238" s="50">
        <f>IF('Resultado da inspeção'!J238='Resultado da inspeção'!$W$3,0%,Ranking!V238)</f>
        <v>0.21</v>
      </c>
      <c r="AL238" s="50">
        <f>IF('Resultado da inspeção'!K238='Resultado da inspeção'!$W$3,0%,Ranking!W238)</f>
        <v>0.05</v>
      </c>
      <c r="AM238" s="50">
        <f>IF('Resultado da inspeção'!L238='Resultado da inspeção'!$W$3,0%,Ranking!X238)</f>
        <v>0.24</v>
      </c>
      <c r="AN238" s="50">
        <f>IF('Resultado da inspeção'!M238='Resultado da inspeção'!$W$3,0%,Ranking!Y238)</f>
        <v>0.05</v>
      </c>
      <c r="AO238" s="50">
        <f>IF('Resultado da inspeção'!N238='Resultado da inspeção'!$W$3,0%,Ranking!Z238)</f>
        <v>0.04</v>
      </c>
      <c r="AP238" s="50">
        <f>IF('Resultado da inspeção'!O238='Resultado da inspeção'!$W$3,0%,Ranking!AA238)</f>
        <v>0.06</v>
      </c>
      <c r="AQ238" s="50">
        <f>IF('Resultado da inspeção'!P238='Resultado da inspeção'!$W$3,0%,Ranking!AB238)</f>
        <v>0.08</v>
      </c>
      <c r="AR238" s="50">
        <f>IF('Resultado da inspeção'!Q238='Resultado da inspeção'!$W$3,0%,Ranking!AC238)</f>
        <v>0.05</v>
      </c>
      <c r="AS238" s="50">
        <f>IF('Resultado da inspeção'!R238='Resultado da inspeção'!$W$3,0%,Ranking!AD238)</f>
        <v>0.02</v>
      </c>
      <c r="AT238" s="50">
        <f>IF('Resultado da inspeção'!S238='Resultado da inspeção'!$W$3,0%,Ranking!AE238)</f>
        <v>0.02</v>
      </c>
      <c r="AU238" s="49">
        <f t="shared" si="72"/>
        <v>1</v>
      </c>
    </row>
    <row r="239" spans="2:47" x14ac:dyDescent="0.25">
      <c r="B239" s="48">
        <f>IF('Resultado da inspeção'!F239='Resultado da inspeção'!$W$4,0%,Ranking!B$5)</f>
        <v>0.02</v>
      </c>
      <c r="C239" s="48">
        <f>IF('Resultado da inspeção'!G239='Resultado da inspeção'!$W$4,0%,Ranking!C$5)</f>
        <v>0.03</v>
      </c>
      <c r="D239" s="48">
        <f>IF('Resultado da inspeção'!H239='Resultado da inspeção'!$W$4,0%,Ranking!D$5)</f>
        <v>0.03</v>
      </c>
      <c r="E239" s="48">
        <f>IF('Resultado da inspeção'!I239='Resultado da inspeção'!$W$4,0%,Ranking!E$5)</f>
        <v>0.1</v>
      </c>
      <c r="F239" s="48">
        <f>IF('Resultado da inspeção'!J239='Resultado da inspeção'!$W$4,0%,Ranking!F$5)</f>
        <v>0.21</v>
      </c>
      <c r="G239" s="48">
        <f>IF('Resultado da inspeção'!K239='Resultado da inspeção'!$W$4,0%,Ranking!G$5)</f>
        <v>0.05</v>
      </c>
      <c r="H239" s="48">
        <f>IF('Resultado da inspeção'!L239='Resultado da inspeção'!$W$4,0%,Ranking!H$5)</f>
        <v>0.24</v>
      </c>
      <c r="I239" s="48">
        <f>IF('Resultado da inspeção'!M239='Resultado da inspeção'!$W$4,0%,Ranking!I$5)</f>
        <v>0.05</v>
      </c>
      <c r="J239" s="48">
        <f>IF('Resultado da inspeção'!N239='Resultado da inspeção'!$W$4,0%,Ranking!J$5)</f>
        <v>0.04</v>
      </c>
      <c r="K239" s="48">
        <f>IF('Resultado da inspeção'!O239='Resultado da inspeção'!$W$4,0%,Ranking!K$5)</f>
        <v>0.06</v>
      </c>
      <c r="L239" s="48">
        <f>IF('Resultado da inspeção'!P239='Resultado da inspeção'!$W$4,0%,Ranking!L$5)</f>
        <v>0.08</v>
      </c>
      <c r="M239" s="48">
        <f>IF('Resultado da inspeção'!Q239='Resultado da inspeção'!$W$4,0%,Ranking!M$5)</f>
        <v>0.05</v>
      </c>
      <c r="N239" s="48">
        <f>IF('Resultado da inspeção'!R239='Resultado da inspeção'!$W$4,0%,Ranking!N$5)</f>
        <v>0.02</v>
      </c>
      <c r="O239" s="48">
        <f>IF('Resultado da inspeção'!S239='Resultado da inspeção'!$W$4,0%,Ranking!O$5)</f>
        <v>0.02</v>
      </c>
      <c r="P239" s="47">
        <f t="shared" si="55"/>
        <v>1</v>
      </c>
      <c r="Q239" s="49">
        <f t="shared" si="70"/>
        <v>0</v>
      </c>
      <c r="R239" s="50">
        <f t="shared" si="56"/>
        <v>0.02</v>
      </c>
      <c r="S239" s="50">
        <f t="shared" si="57"/>
        <v>0.03</v>
      </c>
      <c r="T239" s="50">
        <f t="shared" si="58"/>
        <v>0.03</v>
      </c>
      <c r="U239" s="50">
        <f t="shared" si="59"/>
        <v>0.1</v>
      </c>
      <c r="V239" s="50">
        <f t="shared" si="60"/>
        <v>0.21</v>
      </c>
      <c r="W239" s="50">
        <f t="shared" si="61"/>
        <v>0.05</v>
      </c>
      <c r="X239" s="50">
        <f t="shared" si="62"/>
        <v>0.24</v>
      </c>
      <c r="Y239" s="50">
        <f t="shared" si="63"/>
        <v>0.05</v>
      </c>
      <c r="Z239" s="50">
        <f t="shared" si="64"/>
        <v>0.04</v>
      </c>
      <c r="AA239" s="50">
        <f t="shared" si="65"/>
        <v>0.06</v>
      </c>
      <c r="AB239" s="50">
        <f t="shared" si="66"/>
        <v>0.08</v>
      </c>
      <c r="AC239" s="50">
        <f t="shared" si="67"/>
        <v>0.05</v>
      </c>
      <c r="AD239" s="50">
        <f t="shared" si="68"/>
        <v>0.02</v>
      </c>
      <c r="AE239" s="50">
        <f t="shared" si="69"/>
        <v>0.02</v>
      </c>
      <c r="AF239" s="47">
        <f t="shared" si="71"/>
        <v>1</v>
      </c>
      <c r="AG239" s="50">
        <f>IF('Resultado da inspeção'!F239='Resultado da inspeção'!$W$3,0%,Ranking!R239)</f>
        <v>0.02</v>
      </c>
      <c r="AH239" s="50">
        <f>IF('Resultado da inspeção'!G239='Resultado da inspeção'!$W$3,0%,Ranking!S239)</f>
        <v>0.03</v>
      </c>
      <c r="AI239" s="50">
        <f>IF('Resultado da inspeção'!H239='Resultado da inspeção'!$W$3,0%,Ranking!T239)</f>
        <v>0.03</v>
      </c>
      <c r="AJ239" s="50">
        <f>IF('Resultado da inspeção'!I239='Resultado da inspeção'!$W$3,0%,Ranking!U239)</f>
        <v>0.1</v>
      </c>
      <c r="AK239" s="50">
        <f>IF('Resultado da inspeção'!J239='Resultado da inspeção'!$W$3,0%,Ranking!V239)</f>
        <v>0.21</v>
      </c>
      <c r="AL239" s="50">
        <f>IF('Resultado da inspeção'!K239='Resultado da inspeção'!$W$3,0%,Ranking!W239)</f>
        <v>0.05</v>
      </c>
      <c r="AM239" s="50">
        <f>IF('Resultado da inspeção'!L239='Resultado da inspeção'!$W$3,0%,Ranking!X239)</f>
        <v>0.24</v>
      </c>
      <c r="AN239" s="50">
        <f>IF('Resultado da inspeção'!M239='Resultado da inspeção'!$W$3,0%,Ranking!Y239)</f>
        <v>0.05</v>
      </c>
      <c r="AO239" s="50">
        <f>IF('Resultado da inspeção'!N239='Resultado da inspeção'!$W$3,0%,Ranking!Z239)</f>
        <v>0.04</v>
      </c>
      <c r="AP239" s="50">
        <f>IF('Resultado da inspeção'!O239='Resultado da inspeção'!$W$3,0%,Ranking!AA239)</f>
        <v>0.06</v>
      </c>
      <c r="AQ239" s="50">
        <f>IF('Resultado da inspeção'!P239='Resultado da inspeção'!$W$3,0%,Ranking!AB239)</f>
        <v>0.08</v>
      </c>
      <c r="AR239" s="50">
        <f>IF('Resultado da inspeção'!Q239='Resultado da inspeção'!$W$3,0%,Ranking!AC239)</f>
        <v>0.05</v>
      </c>
      <c r="AS239" s="50">
        <f>IF('Resultado da inspeção'!R239='Resultado da inspeção'!$W$3,0%,Ranking!AD239)</f>
        <v>0.02</v>
      </c>
      <c r="AT239" s="50">
        <f>IF('Resultado da inspeção'!S239='Resultado da inspeção'!$W$3,0%,Ranking!AE239)</f>
        <v>0.02</v>
      </c>
      <c r="AU239" s="49">
        <f t="shared" si="72"/>
        <v>1</v>
      </c>
    </row>
    <row r="240" spans="2:47" x14ac:dyDescent="0.25">
      <c r="B240" s="48">
        <f>IF('Resultado da inspeção'!F240='Resultado da inspeção'!$W$4,0%,Ranking!B$5)</f>
        <v>0.02</v>
      </c>
      <c r="C240" s="48">
        <f>IF('Resultado da inspeção'!G240='Resultado da inspeção'!$W$4,0%,Ranking!C$5)</f>
        <v>0.03</v>
      </c>
      <c r="D240" s="48">
        <f>IF('Resultado da inspeção'!H240='Resultado da inspeção'!$W$4,0%,Ranking!D$5)</f>
        <v>0.03</v>
      </c>
      <c r="E240" s="48">
        <f>IF('Resultado da inspeção'!I240='Resultado da inspeção'!$W$4,0%,Ranking!E$5)</f>
        <v>0.1</v>
      </c>
      <c r="F240" s="48">
        <f>IF('Resultado da inspeção'!J240='Resultado da inspeção'!$W$4,0%,Ranking!F$5)</f>
        <v>0.21</v>
      </c>
      <c r="G240" s="48">
        <f>IF('Resultado da inspeção'!K240='Resultado da inspeção'!$W$4,0%,Ranking!G$5)</f>
        <v>0.05</v>
      </c>
      <c r="H240" s="48">
        <f>IF('Resultado da inspeção'!L240='Resultado da inspeção'!$W$4,0%,Ranking!H$5)</f>
        <v>0.24</v>
      </c>
      <c r="I240" s="48">
        <f>IF('Resultado da inspeção'!M240='Resultado da inspeção'!$W$4,0%,Ranking!I$5)</f>
        <v>0.05</v>
      </c>
      <c r="J240" s="48">
        <f>IF('Resultado da inspeção'!N240='Resultado da inspeção'!$W$4,0%,Ranking!J$5)</f>
        <v>0.04</v>
      </c>
      <c r="K240" s="48">
        <f>IF('Resultado da inspeção'!O240='Resultado da inspeção'!$W$4,0%,Ranking!K$5)</f>
        <v>0.06</v>
      </c>
      <c r="L240" s="48">
        <f>IF('Resultado da inspeção'!P240='Resultado da inspeção'!$W$4,0%,Ranking!L$5)</f>
        <v>0.08</v>
      </c>
      <c r="M240" s="48">
        <f>IF('Resultado da inspeção'!Q240='Resultado da inspeção'!$W$4,0%,Ranking!M$5)</f>
        <v>0.05</v>
      </c>
      <c r="N240" s="48">
        <f>IF('Resultado da inspeção'!R240='Resultado da inspeção'!$W$4,0%,Ranking!N$5)</f>
        <v>0.02</v>
      </c>
      <c r="O240" s="48">
        <f>IF('Resultado da inspeção'!S240='Resultado da inspeção'!$W$4,0%,Ranking!O$5)</f>
        <v>0.02</v>
      </c>
      <c r="P240" s="47">
        <f t="shared" si="55"/>
        <v>1</v>
      </c>
      <c r="Q240" s="49">
        <f t="shared" si="70"/>
        <v>0</v>
      </c>
      <c r="R240" s="50">
        <f t="shared" si="56"/>
        <v>0.02</v>
      </c>
      <c r="S240" s="50">
        <f t="shared" si="57"/>
        <v>0.03</v>
      </c>
      <c r="T240" s="50">
        <f t="shared" si="58"/>
        <v>0.03</v>
      </c>
      <c r="U240" s="50">
        <f t="shared" si="59"/>
        <v>0.1</v>
      </c>
      <c r="V240" s="50">
        <f t="shared" si="60"/>
        <v>0.21</v>
      </c>
      <c r="W240" s="50">
        <f t="shared" si="61"/>
        <v>0.05</v>
      </c>
      <c r="X240" s="50">
        <f t="shared" si="62"/>
        <v>0.24</v>
      </c>
      <c r="Y240" s="50">
        <f t="shared" si="63"/>
        <v>0.05</v>
      </c>
      <c r="Z240" s="50">
        <f t="shared" si="64"/>
        <v>0.04</v>
      </c>
      <c r="AA240" s="50">
        <f t="shared" si="65"/>
        <v>0.06</v>
      </c>
      <c r="AB240" s="50">
        <f t="shared" si="66"/>
        <v>0.08</v>
      </c>
      <c r="AC240" s="50">
        <f t="shared" si="67"/>
        <v>0.05</v>
      </c>
      <c r="AD240" s="50">
        <f t="shared" si="68"/>
        <v>0.02</v>
      </c>
      <c r="AE240" s="50">
        <f t="shared" si="69"/>
        <v>0.02</v>
      </c>
      <c r="AF240" s="47">
        <f t="shared" si="71"/>
        <v>1</v>
      </c>
      <c r="AG240" s="50">
        <f>IF('Resultado da inspeção'!F240='Resultado da inspeção'!$W$3,0%,Ranking!R240)</f>
        <v>0.02</v>
      </c>
      <c r="AH240" s="50">
        <f>IF('Resultado da inspeção'!G240='Resultado da inspeção'!$W$3,0%,Ranking!S240)</f>
        <v>0.03</v>
      </c>
      <c r="AI240" s="50">
        <f>IF('Resultado da inspeção'!H240='Resultado da inspeção'!$W$3,0%,Ranking!T240)</f>
        <v>0.03</v>
      </c>
      <c r="AJ240" s="50">
        <f>IF('Resultado da inspeção'!I240='Resultado da inspeção'!$W$3,0%,Ranking!U240)</f>
        <v>0.1</v>
      </c>
      <c r="AK240" s="50">
        <f>IF('Resultado da inspeção'!J240='Resultado da inspeção'!$W$3,0%,Ranking!V240)</f>
        <v>0.21</v>
      </c>
      <c r="AL240" s="50">
        <f>IF('Resultado da inspeção'!K240='Resultado da inspeção'!$W$3,0%,Ranking!W240)</f>
        <v>0.05</v>
      </c>
      <c r="AM240" s="50">
        <f>IF('Resultado da inspeção'!L240='Resultado da inspeção'!$W$3,0%,Ranking!X240)</f>
        <v>0.24</v>
      </c>
      <c r="AN240" s="50">
        <f>IF('Resultado da inspeção'!M240='Resultado da inspeção'!$W$3,0%,Ranking!Y240)</f>
        <v>0.05</v>
      </c>
      <c r="AO240" s="50">
        <f>IF('Resultado da inspeção'!N240='Resultado da inspeção'!$W$3,0%,Ranking!Z240)</f>
        <v>0.04</v>
      </c>
      <c r="AP240" s="50">
        <f>IF('Resultado da inspeção'!O240='Resultado da inspeção'!$W$3,0%,Ranking!AA240)</f>
        <v>0.06</v>
      </c>
      <c r="AQ240" s="50">
        <f>IF('Resultado da inspeção'!P240='Resultado da inspeção'!$W$3,0%,Ranking!AB240)</f>
        <v>0.08</v>
      </c>
      <c r="AR240" s="50">
        <f>IF('Resultado da inspeção'!Q240='Resultado da inspeção'!$W$3,0%,Ranking!AC240)</f>
        <v>0.05</v>
      </c>
      <c r="AS240" s="50">
        <f>IF('Resultado da inspeção'!R240='Resultado da inspeção'!$W$3,0%,Ranking!AD240)</f>
        <v>0.02</v>
      </c>
      <c r="AT240" s="50">
        <f>IF('Resultado da inspeção'!S240='Resultado da inspeção'!$W$3,0%,Ranking!AE240)</f>
        <v>0.02</v>
      </c>
      <c r="AU240" s="49">
        <f t="shared" si="72"/>
        <v>1</v>
      </c>
    </row>
    <row r="241" spans="2:47" x14ac:dyDescent="0.25">
      <c r="B241" s="48">
        <f>IF('Resultado da inspeção'!F241='Resultado da inspeção'!$W$4,0%,Ranking!B$5)</f>
        <v>0.02</v>
      </c>
      <c r="C241" s="48">
        <f>IF('Resultado da inspeção'!G241='Resultado da inspeção'!$W$4,0%,Ranking!C$5)</f>
        <v>0.03</v>
      </c>
      <c r="D241" s="48">
        <f>IF('Resultado da inspeção'!H241='Resultado da inspeção'!$W$4,0%,Ranking!D$5)</f>
        <v>0.03</v>
      </c>
      <c r="E241" s="48">
        <f>IF('Resultado da inspeção'!I241='Resultado da inspeção'!$W$4,0%,Ranking!E$5)</f>
        <v>0.1</v>
      </c>
      <c r="F241" s="48">
        <f>IF('Resultado da inspeção'!J241='Resultado da inspeção'!$W$4,0%,Ranking!F$5)</f>
        <v>0.21</v>
      </c>
      <c r="G241" s="48">
        <f>IF('Resultado da inspeção'!K241='Resultado da inspeção'!$W$4,0%,Ranking!G$5)</f>
        <v>0.05</v>
      </c>
      <c r="H241" s="48">
        <f>IF('Resultado da inspeção'!L241='Resultado da inspeção'!$W$4,0%,Ranking!H$5)</f>
        <v>0.24</v>
      </c>
      <c r="I241" s="48">
        <f>IF('Resultado da inspeção'!M241='Resultado da inspeção'!$W$4,0%,Ranking!I$5)</f>
        <v>0.05</v>
      </c>
      <c r="J241" s="48">
        <f>IF('Resultado da inspeção'!N241='Resultado da inspeção'!$W$4,0%,Ranking!J$5)</f>
        <v>0.04</v>
      </c>
      <c r="K241" s="48">
        <f>IF('Resultado da inspeção'!O241='Resultado da inspeção'!$W$4,0%,Ranking!K$5)</f>
        <v>0.06</v>
      </c>
      <c r="L241" s="48">
        <f>IF('Resultado da inspeção'!P241='Resultado da inspeção'!$W$4,0%,Ranking!L$5)</f>
        <v>0.08</v>
      </c>
      <c r="M241" s="48">
        <f>IF('Resultado da inspeção'!Q241='Resultado da inspeção'!$W$4,0%,Ranking!M$5)</f>
        <v>0.05</v>
      </c>
      <c r="N241" s="48">
        <f>IF('Resultado da inspeção'!R241='Resultado da inspeção'!$W$4,0%,Ranking!N$5)</f>
        <v>0.02</v>
      </c>
      <c r="O241" s="48">
        <f>IF('Resultado da inspeção'!S241='Resultado da inspeção'!$W$4,0%,Ranking!O$5)</f>
        <v>0.02</v>
      </c>
      <c r="P241" s="47">
        <f t="shared" si="55"/>
        <v>1</v>
      </c>
      <c r="Q241" s="49">
        <f t="shared" si="70"/>
        <v>0</v>
      </c>
      <c r="R241" s="50">
        <f t="shared" si="56"/>
        <v>0.02</v>
      </c>
      <c r="S241" s="50">
        <f t="shared" si="57"/>
        <v>0.03</v>
      </c>
      <c r="T241" s="50">
        <f t="shared" si="58"/>
        <v>0.03</v>
      </c>
      <c r="U241" s="50">
        <f t="shared" si="59"/>
        <v>0.1</v>
      </c>
      <c r="V241" s="50">
        <f t="shared" si="60"/>
        <v>0.21</v>
      </c>
      <c r="W241" s="50">
        <f t="shared" si="61"/>
        <v>0.05</v>
      </c>
      <c r="X241" s="50">
        <f t="shared" si="62"/>
        <v>0.24</v>
      </c>
      <c r="Y241" s="50">
        <f t="shared" si="63"/>
        <v>0.05</v>
      </c>
      <c r="Z241" s="50">
        <f t="shared" si="64"/>
        <v>0.04</v>
      </c>
      <c r="AA241" s="50">
        <f t="shared" si="65"/>
        <v>0.06</v>
      </c>
      <c r="AB241" s="50">
        <f t="shared" si="66"/>
        <v>0.08</v>
      </c>
      <c r="AC241" s="50">
        <f t="shared" si="67"/>
        <v>0.05</v>
      </c>
      <c r="AD241" s="50">
        <f t="shared" si="68"/>
        <v>0.02</v>
      </c>
      <c r="AE241" s="50">
        <f t="shared" si="69"/>
        <v>0.02</v>
      </c>
      <c r="AF241" s="47">
        <f t="shared" si="71"/>
        <v>1</v>
      </c>
      <c r="AG241" s="50">
        <f>IF('Resultado da inspeção'!F241='Resultado da inspeção'!$W$3,0%,Ranking!R241)</f>
        <v>0.02</v>
      </c>
      <c r="AH241" s="50">
        <f>IF('Resultado da inspeção'!G241='Resultado da inspeção'!$W$3,0%,Ranking!S241)</f>
        <v>0.03</v>
      </c>
      <c r="AI241" s="50">
        <f>IF('Resultado da inspeção'!H241='Resultado da inspeção'!$W$3,0%,Ranking!T241)</f>
        <v>0.03</v>
      </c>
      <c r="AJ241" s="50">
        <f>IF('Resultado da inspeção'!I241='Resultado da inspeção'!$W$3,0%,Ranking!U241)</f>
        <v>0.1</v>
      </c>
      <c r="AK241" s="50">
        <f>IF('Resultado da inspeção'!J241='Resultado da inspeção'!$W$3,0%,Ranking!V241)</f>
        <v>0.21</v>
      </c>
      <c r="AL241" s="50">
        <f>IF('Resultado da inspeção'!K241='Resultado da inspeção'!$W$3,0%,Ranking!W241)</f>
        <v>0.05</v>
      </c>
      <c r="AM241" s="50">
        <f>IF('Resultado da inspeção'!L241='Resultado da inspeção'!$W$3,0%,Ranking!X241)</f>
        <v>0.24</v>
      </c>
      <c r="AN241" s="50">
        <f>IF('Resultado da inspeção'!M241='Resultado da inspeção'!$W$3,0%,Ranking!Y241)</f>
        <v>0.05</v>
      </c>
      <c r="AO241" s="50">
        <f>IF('Resultado da inspeção'!N241='Resultado da inspeção'!$W$3,0%,Ranking!Z241)</f>
        <v>0.04</v>
      </c>
      <c r="AP241" s="50">
        <f>IF('Resultado da inspeção'!O241='Resultado da inspeção'!$W$3,0%,Ranking!AA241)</f>
        <v>0.06</v>
      </c>
      <c r="AQ241" s="50">
        <f>IF('Resultado da inspeção'!P241='Resultado da inspeção'!$W$3,0%,Ranking!AB241)</f>
        <v>0.08</v>
      </c>
      <c r="AR241" s="50">
        <f>IF('Resultado da inspeção'!Q241='Resultado da inspeção'!$W$3,0%,Ranking!AC241)</f>
        <v>0.05</v>
      </c>
      <c r="AS241" s="50">
        <f>IF('Resultado da inspeção'!R241='Resultado da inspeção'!$W$3,0%,Ranking!AD241)</f>
        <v>0.02</v>
      </c>
      <c r="AT241" s="50">
        <f>IF('Resultado da inspeção'!S241='Resultado da inspeção'!$W$3,0%,Ranking!AE241)</f>
        <v>0.02</v>
      </c>
      <c r="AU241" s="49">
        <f t="shared" si="72"/>
        <v>1</v>
      </c>
    </row>
    <row r="242" spans="2:47" x14ac:dyDescent="0.25">
      <c r="B242" s="48">
        <f>IF('Resultado da inspeção'!F242='Resultado da inspeção'!$W$4,0%,Ranking!B$5)</f>
        <v>0.02</v>
      </c>
      <c r="C242" s="48">
        <f>IF('Resultado da inspeção'!G242='Resultado da inspeção'!$W$4,0%,Ranking!C$5)</f>
        <v>0.03</v>
      </c>
      <c r="D242" s="48">
        <f>IF('Resultado da inspeção'!H242='Resultado da inspeção'!$W$4,0%,Ranking!D$5)</f>
        <v>0.03</v>
      </c>
      <c r="E242" s="48">
        <f>IF('Resultado da inspeção'!I242='Resultado da inspeção'!$W$4,0%,Ranking!E$5)</f>
        <v>0.1</v>
      </c>
      <c r="F242" s="48">
        <f>IF('Resultado da inspeção'!J242='Resultado da inspeção'!$W$4,0%,Ranking!F$5)</f>
        <v>0.21</v>
      </c>
      <c r="G242" s="48">
        <f>IF('Resultado da inspeção'!K242='Resultado da inspeção'!$W$4,0%,Ranking!G$5)</f>
        <v>0.05</v>
      </c>
      <c r="H242" s="48">
        <f>IF('Resultado da inspeção'!L242='Resultado da inspeção'!$W$4,0%,Ranking!H$5)</f>
        <v>0.24</v>
      </c>
      <c r="I242" s="48">
        <f>IF('Resultado da inspeção'!M242='Resultado da inspeção'!$W$4,0%,Ranking!I$5)</f>
        <v>0.05</v>
      </c>
      <c r="J242" s="48">
        <f>IF('Resultado da inspeção'!N242='Resultado da inspeção'!$W$4,0%,Ranking!J$5)</f>
        <v>0.04</v>
      </c>
      <c r="K242" s="48">
        <f>IF('Resultado da inspeção'!O242='Resultado da inspeção'!$W$4,0%,Ranking!K$5)</f>
        <v>0.06</v>
      </c>
      <c r="L242" s="48">
        <f>IF('Resultado da inspeção'!P242='Resultado da inspeção'!$W$4,0%,Ranking!L$5)</f>
        <v>0.08</v>
      </c>
      <c r="M242" s="48">
        <f>IF('Resultado da inspeção'!Q242='Resultado da inspeção'!$W$4,0%,Ranking!M$5)</f>
        <v>0.05</v>
      </c>
      <c r="N242" s="48">
        <f>IF('Resultado da inspeção'!R242='Resultado da inspeção'!$W$4,0%,Ranking!N$5)</f>
        <v>0.02</v>
      </c>
      <c r="O242" s="48">
        <f>IF('Resultado da inspeção'!S242='Resultado da inspeção'!$W$4,0%,Ranking!O$5)</f>
        <v>0.02</v>
      </c>
      <c r="P242" s="47">
        <f t="shared" si="55"/>
        <v>1</v>
      </c>
      <c r="Q242" s="49">
        <f t="shared" si="70"/>
        <v>0</v>
      </c>
      <c r="R242" s="50">
        <f t="shared" si="56"/>
        <v>0.02</v>
      </c>
      <c r="S242" s="50">
        <f t="shared" si="57"/>
        <v>0.03</v>
      </c>
      <c r="T242" s="50">
        <f t="shared" si="58"/>
        <v>0.03</v>
      </c>
      <c r="U242" s="50">
        <f t="shared" si="59"/>
        <v>0.1</v>
      </c>
      <c r="V242" s="50">
        <f t="shared" si="60"/>
        <v>0.21</v>
      </c>
      <c r="W242" s="50">
        <f t="shared" si="61"/>
        <v>0.05</v>
      </c>
      <c r="X242" s="50">
        <f t="shared" si="62"/>
        <v>0.24</v>
      </c>
      <c r="Y242" s="50">
        <f t="shared" si="63"/>
        <v>0.05</v>
      </c>
      <c r="Z242" s="50">
        <f t="shared" si="64"/>
        <v>0.04</v>
      </c>
      <c r="AA242" s="50">
        <f t="shared" si="65"/>
        <v>0.06</v>
      </c>
      <c r="AB242" s="50">
        <f t="shared" si="66"/>
        <v>0.08</v>
      </c>
      <c r="AC242" s="50">
        <f t="shared" si="67"/>
        <v>0.05</v>
      </c>
      <c r="AD242" s="50">
        <f t="shared" si="68"/>
        <v>0.02</v>
      </c>
      <c r="AE242" s="50">
        <f t="shared" si="69"/>
        <v>0.02</v>
      </c>
      <c r="AF242" s="47">
        <f t="shared" si="71"/>
        <v>1</v>
      </c>
      <c r="AG242" s="50">
        <f>IF('Resultado da inspeção'!F242='Resultado da inspeção'!$W$3,0%,Ranking!R242)</f>
        <v>0.02</v>
      </c>
      <c r="AH242" s="50">
        <f>IF('Resultado da inspeção'!G242='Resultado da inspeção'!$W$3,0%,Ranking!S242)</f>
        <v>0.03</v>
      </c>
      <c r="AI242" s="50">
        <f>IF('Resultado da inspeção'!H242='Resultado da inspeção'!$W$3,0%,Ranking!T242)</f>
        <v>0.03</v>
      </c>
      <c r="AJ242" s="50">
        <f>IF('Resultado da inspeção'!I242='Resultado da inspeção'!$W$3,0%,Ranking!U242)</f>
        <v>0.1</v>
      </c>
      <c r="AK242" s="50">
        <f>IF('Resultado da inspeção'!J242='Resultado da inspeção'!$W$3,0%,Ranking!V242)</f>
        <v>0.21</v>
      </c>
      <c r="AL242" s="50">
        <f>IF('Resultado da inspeção'!K242='Resultado da inspeção'!$W$3,0%,Ranking!W242)</f>
        <v>0.05</v>
      </c>
      <c r="AM242" s="50">
        <f>IF('Resultado da inspeção'!L242='Resultado da inspeção'!$W$3,0%,Ranking!X242)</f>
        <v>0.24</v>
      </c>
      <c r="AN242" s="50">
        <f>IF('Resultado da inspeção'!M242='Resultado da inspeção'!$W$3,0%,Ranking!Y242)</f>
        <v>0.05</v>
      </c>
      <c r="AO242" s="50">
        <f>IF('Resultado da inspeção'!N242='Resultado da inspeção'!$W$3,0%,Ranking!Z242)</f>
        <v>0.04</v>
      </c>
      <c r="AP242" s="50">
        <f>IF('Resultado da inspeção'!O242='Resultado da inspeção'!$W$3,0%,Ranking!AA242)</f>
        <v>0.06</v>
      </c>
      <c r="AQ242" s="50">
        <f>IF('Resultado da inspeção'!P242='Resultado da inspeção'!$W$3,0%,Ranking!AB242)</f>
        <v>0.08</v>
      </c>
      <c r="AR242" s="50">
        <f>IF('Resultado da inspeção'!Q242='Resultado da inspeção'!$W$3,0%,Ranking!AC242)</f>
        <v>0.05</v>
      </c>
      <c r="AS242" s="50">
        <f>IF('Resultado da inspeção'!R242='Resultado da inspeção'!$W$3,0%,Ranking!AD242)</f>
        <v>0.02</v>
      </c>
      <c r="AT242" s="50">
        <f>IF('Resultado da inspeção'!S242='Resultado da inspeção'!$W$3,0%,Ranking!AE242)</f>
        <v>0.02</v>
      </c>
      <c r="AU242" s="49">
        <f t="shared" si="72"/>
        <v>1</v>
      </c>
    </row>
    <row r="243" spans="2:47" x14ac:dyDescent="0.25">
      <c r="B243" s="48">
        <f>IF('Resultado da inspeção'!F243='Resultado da inspeção'!$W$4,0%,Ranking!B$5)</f>
        <v>0.02</v>
      </c>
      <c r="C243" s="48">
        <f>IF('Resultado da inspeção'!G243='Resultado da inspeção'!$W$4,0%,Ranking!C$5)</f>
        <v>0.03</v>
      </c>
      <c r="D243" s="48">
        <f>IF('Resultado da inspeção'!H243='Resultado da inspeção'!$W$4,0%,Ranking!D$5)</f>
        <v>0.03</v>
      </c>
      <c r="E243" s="48">
        <f>IF('Resultado da inspeção'!I243='Resultado da inspeção'!$W$4,0%,Ranking!E$5)</f>
        <v>0.1</v>
      </c>
      <c r="F243" s="48">
        <f>IF('Resultado da inspeção'!J243='Resultado da inspeção'!$W$4,0%,Ranking!F$5)</f>
        <v>0.21</v>
      </c>
      <c r="G243" s="48">
        <f>IF('Resultado da inspeção'!K243='Resultado da inspeção'!$W$4,0%,Ranking!G$5)</f>
        <v>0.05</v>
      </c>
      <c r="H243" s="48">
        <f>IF('Resultado da inspeção'!L243='Resultado da inspeção'!$W$4,0%,Ranking!H$5)</f>
        <v>0.24</v>
      </c>
      <c r="I243" s="48">
        <f>IF('Resultado da inspeção'!M243='Resultado da inspeção'!$W$4,0%,Ranking!I$5)</f>
        <v>0.05</v>
      </c>
      <c r="J243" s="48">
        <f>IF('Resultado da inspeção'!N243='Resultado da inspeção'!$W$4,0%,Ranking!J$5)</f>
        <v>0.04</v>
      </c>
      <c r="K243" s="48">
        <f>IF('Resultado da inspeção'!O243='Resultado da inspeção'!$W$4,0%,Ranking!K$5)</f>
        <v>0.06</v>
      </c>
      <c r="L243" s="48">
        <f>IF('Resultado da inspeção'!P243='Resultado da inspeção'!$W$4,0%,Ranking!L$5)</f>
        <v>0.08</v>
      </c>
      <c r="M243" s="48">
        <f>IF('Resultado da inspeção'!Q243='Resultado da inspeção'!$W$4,0%,Ranking!M$5)</f>
        <v>0.05</v>
      </c>
      <c r="N243" s="48">
        <f>IF('Resultado da inspeção'!R243='Resultado da inspeção'!$W$4,0%,Ranking!N$5)</f>
        <v>0.02</v>
      </c>
      <c r="O243" s="48">
        <f>IF('Resultado da inspeção'!S243='Resultado da inspeção'!$W$4,0%,Ranking!O$5)</f>
        <v>0.02</v>
      </c>
      <c r="P243" s="47">
        <f t="shared" si="55"/>
        <v>1</v>
      </c>
      <c r="Q243" s="49">
        <f t="shared" si="70"/>
        <v>0</v>
      </c>
      <c r="R243" s="50">
        <f t="shared" si="56"/>
        <v>0.02</v>
      </c>
      <c r="S243" s="50">
        <f t="shared" si="57"/>
        <v>0.03</v>
      </c>
      <c r="T243" s="50">
        <f t="shared" si="58"/>
        <v>0.03</v>
      </c>
      <c r="U243" s="50">
        <f t="shared" si="59"/>
        <v>0.1</v>
      </c>
      <c r="V243" s="50">
        <f t="shared" si="60"/>
        <v>0.21</v>
      </c>
      <c r="W243" s="50">
        <f t="shared" si="61"/>
        <v>0.05</v>
      </c>
      <c r="X243" s="50">
        <f t="shared" si="62"/>
        <v>0.24</v>
      </c>
      <c r="Y243" s="50">
        <f t="shared" si="63"/>
        <v>0.05</v>
      </c>
      <c r="Z243" s="50">
        <f t="shared" si="64"/>
        <v>0.04</v>
      </c>
      <c r="AA243" s="50">
        <f t="shared" si="65"/>
        <v>0.06</v>
      </c>
      <c r="AB243" s="50">
        <f t="shared" si="66"/>
        <v>0.08</v>
      </c>
      <c r="AC243" s="50">
        <f t="shared" si="67"/>
        <v>0.05</v>
      </c>
      <c r="AD243" s="50">
        <f t="shared" si="68"/>
        <v>0.02</v>
      </c>
      <c r="AE243" s="50">
        <f t="shared" si="69"/>
        <v>0.02</v>
      </c>
      <c r="AF243" s="47">
        <f t="shared" si="71"/>
        <v>1</v>
      </c>
      <c r="AG243" s="50">
        <f>IF('Resultado da inspeção'!F243='Resultado da inspeção'!$W$3,0%,Ranking!R243)</f>
        <v>0.02</v>
      </c>
      <c r="AH243" s="50">
        <f>IF('Resultado da inspeção'!G243='Resultado da inspeção'!$W$3,0%,Ranking!S243)</f>
        <v>0.03</v>
      </c>
      <c r="AI243" s="50">
        <f>IF('Resultado da inspeção'!H243='Resultado da inspeção'!$W$3,0%,Ranking!T243)</f>
        <v>0.03</v>
      </c>
      <c r="AJ243" s="50">
        <f>IF('Resultado da inspeção'!I243='Resultado da inspeção'!$W$3,0%,Ranking!U243)</f>
        <v>0.1</v>
      </c>
      <c r="AK243" s="50">
        <f>IF('Resultado da inspeção'!J243='Resultado da inspeção'!$W$3,0%,Ranking!V243)</f>
        <v>0.21</v>
      </c>
      <c r="AL243" s="50">
        <f>IF('Resultado da inspeção'!K243='Resultado da inspeção'!$W$3,0%,Ranking!W243)</f>
        <v>0.05</v>
      </c>
      <c r="AM243" s="50">
        <f>IF('Resultado da inspeção'!L243='Resultado da inspeção'!$W$3,0%,Ranking!X243)</f>
        <v>0.24</v>
      </c>
      <c r="AN243" s="50">
        <f>IF('Resultado da inspeção'!M243='Resultado da inspeção'!$W$3,0%,Ranking!Y243)</f>
        <v>0.05</v>
      </c>
      <c r="AO243" s="50">
        <f>IF('Resultado da inspeção'!N243='Resultado da inspeção'!$W$3,0%,Ranking!Z243)</f>
        <v>0.04</v>
      </c>
      <c r="AP243" s="50">
        <f>IF('Resultado da inspeção'!O243='Resultado da inspeção'!$W$3,0%,Ranking!AA243)</f>
        <v>0.06</v>
      </c>
      <c r="AQ243" s="50">
        <f>IF('Resultado da inspeção'!P243='Resultado da inspeção'!$W$3,0%,Ranking!AB243)</f>
        <v>0.08</v>
      </c>
      <c r="AR243" s="50">
        <f>IF('Resultado da inspeção'!Q243='Resultado da inspeção'!$W$3,0%,Ranking!AC243)</f>
        <v>0.05</v>
      </c>
      <c r="AS243" s="50">
        <f>IF('Resultado da inspeção'!R243='Resultado da inspeção'!$W$3,0%,Ranking!AD243)</f>
        <v>0.02</v>
      </c>
      <c r="AT243" s="50">
        <f>IF('Resultado da inspeção'!S243='Resultado da inspeção'!$W$3,0%,Ranking!AE243)</f>
        <v>0.02</v>
      </c>
      <c r="AU243" s="49">
        <f t="shared" si="72"/>
        <v>1</v>
      </c>
    </row>
    <row r="244" spans="2:47" x14ac:dyDescent="0.25">
      <c r="B244" s="48">
        <f>IF('Resultado da inspeção'!F244='Resultado da inspeção'!$W$4,0%,Ranking!B$5)</f>
        <v>0.02</v>
      </c>
      <c r="C244" s="48">
        <f>IF('Resultado da inspeção'!G244='Resultado da inspeção'!$W$4,0%,Ranking!C$5)</f>
        <v>0.03</v>
      </c>
      <c r="D244" s="48">
        <f>IF('Resultado da inspeção'!H244='Resultado da inspeção'!$W$4,0%,Ranking!D$5)</f>
        <v>0.03</v>
      </c>
      <c r="E244" s="48">
        <f>IF('Resultado da inspeção'!I244='Resultado da inspeção'!$W$4,0%,Ranking!E$5)</f>
        <v>0.1</v>
      </c>
      <c r="F244" s="48">
        <f>IF('Resultado da inspeção'!J244='Resultado da inspeção'!$W$4,0%,Ranking!F$5)</f>
        <v>0.21</v>
      </c>
      <c r="G244" s="48">
        <f>IF('Resultado da inspeção'!K244='Resultado da inspeção'!$W$4,0%,Ranking!G$5)</f>
        <v>0.05</v>
      </c>
      <c r="H244" s="48">
        <f>IF('Resultado da inspeção'!L244='Resultado da inspeção'!$W$4,0%,Ranking!H$5)</f>
        <v>0</v>
      </c>
      <c r="I244" s="48">
        <f>IF('Resultado da inspeção'!M244='Resultado da inspeção'!$W$4,0%,Ranking!I$5)</f>
        <v>0</v>
      </c>
      <c r="J244" s="48">
        <f>IF('Resultado da inspeção'!N244='Resultado da inspeção'!$W$4,0%,Ranking!J$5)</f>
        <v>0</v>
      </c>
      <c r="K244" s="48">
        <f>IF('Resultado da inspeção'!O244='Resultado da inspeção'!$W$4,0%,Ranking!K$5)</f>
        <v>0.06</v>
      </c>
      <c r="L244" s="48">
        <f>IF('Resultado da inspeção'!P244='Resultado da inspeção'!$W$4,0%,Ranking!L$5)</f>
        <v>0.08</v>
      </c>
      <c r="M244" s="48">
        <f>IF('Resultado da inspeção'!Q244='Resultado da inspeção'!$W$4,0%,Ranking!M$5)</f>
        <v>0.05</v>
      </c>
      <c r="N244" s="48">
        <f>IF('Resultado da inspeção'!R244='Resultado da inspeção'!$W$4,0%,Ranking!N$5)</f>
        <v>0.02</v>
      </c>
      <c r="O244" s="48">
        <f>IF('Resultado da inspeção'!S244='Resultado da inspeção'!$W$4,0%,Ranking!O$5)</f>
        <v>0.02</v>
      </c>
      <c r="P244" s="47">
        <f t="shared" si="55"/>
        <v>0.67</v>
      </c>
      <c r="Q244" s="49">
        <f t="shared" si="70"/>
        <v>0.32999999999999996</v>
      </c>
      <c r="R244" s="50">
        <f t="shared" si="56"/>
        <v>2.9850746268656716E-2</v>
      </c>
      <c r="S244" s="50">
        <f t="shared" si="57"/>
        <v>4.4776119402985072E-2</v>
      </c>
      <c r="T244" s="50">
        <f t="shared" si="58"/>
        <v>4.4776119402985072E-2</v>
      </c>
      <c r="U244" s="50">
        <f t="shared" si="59"/>
        <v>0.14925373134328357</v>
      </c>
      <c r="V244" s="50">
        <f t="shared" si="60"/>
        <v>0.31343283582089548</v>
      </c>
      <c r="W244" s="50">
        <f t="shared" si="61"/>
        <v>7.4626865671641784E-2</v>
      </c>
      <c r="X244" s="50">
        <f t="shared" si="62"/>
        <v>0</v>
      </c>
      <c r="Y244" s="50">
        <f t="shared" si="63"/>
        <v>0</v>
      </c>
      <c r="Z244" s="50">
        <f t="shared" si="64"/>
        <v>0</v>
      </c>
      <c r="AA244" s="50">
        <f t="shared" si="65"/>
        <v>8.9552238805970144E-2</v>
      </c>
      <c r="AB244" s="50">
        <f t="shared" si="66"/>
        <v>0.11940298507462686</v>
      </c>
      <c r="AC244" s="50">
        <f t="shared" si="67"/>
        <v>7.4626865671641784E-2</v>
      </c>
      <c r="AD244" s="50">
        <f t="shared" si="68"/>
        <v>2.9850746268656716E-2</v>
      </c>
      <c r="AE244" s="50">
        <f t="shared" si="69"/>
        <v>2.9850746268656716E-2</v>
      </c>
      <c r="AF244" s="47">
        <f t="shared" si="71"/>
        <v>0.99999999999999989</v>
      </c>
      <c r="AG244" s="50">
        <f>IF('Resultado da inspeção'!F244='Resultado da inspeção'!$W$3,0%,Ranking!R244)</f>
        <v>0</v>
      </c>
      <c r="AH244" s="50">
        <f>IF('Resultado da inspeção'!G244='Resultado da inspeção'!$W$3,0%,Ranking!S244)</f>
        <v>0</v>
      </c>
      <c r="AI244" s="50">
        <f>IF('Resultado da inspeção'!H244='Resultado da inspeção'!$W$3,0%,Ranking!T244)</f>
        <v>0</v>
      </c>
      <c r="AJ244" s="50">
        <f>IF('Resultado da inspeção'!I244='Resultado da inspeção'!$W$3,0%,Ranking!U244)</f>
        <v>0</v>
      </c>
      <c r="AK244" s="50">
        <f>IF('Resultado da inspeção'!J244='Resultado da inspeção'!$W$3,0%,Ranking!V244)</f>
        <v>0</v>
      </c>
      <c r="AL244" s="50">
        <f>IF('Resultado da inspeção'!K244='Resultado da inspeção'!$W$3,0%,Ranking!W244)</f>
        <v>7.4626865671641784E-2</v>
      </c>
      <c r="AM244" s="50">
        <f>IF('Resultado da inspeção'!L244='Resultado da inspeção'!$W$3,0%,Ranking!X244)</f>
        <v>0</v>
      </c>
      <c r="AN244" s="50">
        <f>IF('Resultado da inspeção'!M244='Resultado da inspeção'!$W$3,0%,Ranking!Y244)</f>
        <v>0</v>
      </c>
      <c r="AO244" s="50">
        <f>IF('Resultado da inspeção'!N244='Resultado da inspeção'!$W$3,0%,Ranking!Z244)</f>
        <v>0</v>
      </c>
      <c r="AP244" s="50">
        <f>IF('Resultado da inspeção'!O244='Resultado da inspeção'!$W$3,0%,Ranking!AA244)</f>
        <v>8.9552238805970144E-2</v>
      </c>
      <c r="AQ244" s="50">
        <f>IF('Resultado da inspeção'!P244='Resultado da inspeção'!$W$3,0%,Ranking!AB244)</f>
        <v>0.11940298507462686</v>
      </c>
      <c r="AR244" s="50">
        <f>IF('Resultado da inspeção'!Q244='Resultado da inspeção'!$W$3,0%,Ranking!AC244)</f>
        <v>7.4626865671641784E-2</v>
      </c>
      <c r="AS244" s="50">
        <f>IF('Resultado da inspeção'!R244='Resultado da inspeção'!$W$3,0%,Ranking!AD244)</f>
        <v>2.9850746268656716E-2</v>
      </c>
      <c r="AT244" s="50">
        <f>IF('Resultado da inspeção'!S244='Resultado da inspeção'!$W$3,0%,Ranking!AE244)</f>
        <v>2.9850746268656716E-2</v>
      </c>
      <c r="AU244" s="49">
        <f t="shared" si="72"/>
        <v>0.41791044776119396</v>
      </c>
    </row>
    <row r="245" spans="2:47" x14ac:dyDescent="0.25">
      <c r="B245" s="48">
        <f>IF('Resultado da inspeção'!F245='Resultado da inspeção'!$W$4,0%,Ranking!B$5)</f>
        <v>0.02</v>
      </c>
      <c r="C245" s="48">
        <f>IF('Resultado da inspeção'!G245='Resultado da inspeção'!$W$4,0%,Ranking!C$5)</f>
        <v>0.03</v>
      </c>
      <c r="D245" s="48">
        <f>IF('Resultado da inspeção'!H245='Resultado da inspeção'!$W$4,0%,Ranking!D$5)</f>
        <v>0.03</v>
      </c>
      <c r="E245" s="48">
        <f>IF('Resultado da inspeção'!I245='Resultado da inspeção'!$W$4,0%,Ranking!E$5)</f>
        <v>0.1</v>
      </c>
      <c r="F245" s="48">
        <f>IF('Resultado da inspeção'!J245='Resultado da inspeção'!$W$4,0%,Ranking!F$5)</f>
        <v>0.21</v>
      </c>
      <c r="G245" s="48">
        <f>IF('Resultado da inspeção'!K245='Resultado da inspeção'!$W$4,0%,Ranking!G$5)</f>
        <v>0.05</v>
      </c>
      <c r="H245" s="48">
        <f>IF('Resultado da inspeção'!L245='Resultado da inspeção'!$W$4,0%,Ranking!H$5)</f>
        <v>0</v>
      </c>
      <c r="I245" s="48">
        <f>IF('Resultado da inspeção'!M245='Resultado da inspeção'!$W$4,0%,Ranking!I$5)</f>
        <v>0</v>
      </c>
      <c r="J245" s="48">
        <f>IF('Resultado da inspeção'!N245='Resultado da inspeção'!$W$4,0%,Ranking!J$5)</f>
        <v>0</v>
      </c>
      <c r="K245" s="48">
        <f>IF('Resultado da inspeção'!O245='Resultado da inspeção'!$W$4,0%,Ranking!K$5)</f>
        <v>0.06</v>
      </c>
      <c r="L245" s="48">
        <f>IF('Resultado da inspeção'!P245='Resultado da inspeção'!$W$4,0%,Ranking!L$5)</f>
        <v>0.08</v>
      </c>
      <c r="M245" s="48">
        <f>IF('Resultado da inspeção'!Q245='Resultado da inspeção'!$W$4,0%,Ranking!M$5)</f>
        <v>0.05</v>
      </c>
      <c r="N245" s="48">
        <f>IF('Resultado da inspeção'!R245='Resultado da inspeção'!$W$4,0%,Ranking!N$5)</f>
        <v>0.02</v>
      </c>
      <c r="O245" s="48">
        <f>IF('Resultado da inspeção'!S245='Resultado da inspeção'!$W$4,0%,Ranking!O$5)</f>
        <v>0.02</v>
      </c>
      <c r="P245" s="47">
        <f t="shared" si="55"/>
        <v>0.67</v>
      </c>
      <c r="Q245" s="49">
        <f t="shared" si="70"/>
        <v>0.32999999999999996</v>
      </c>
      <c r="R245" s="50">
        <f t="shared" si="56"/>
        <v>2.9850746268656716E-2</v>
      </c>
      <c r="S245" s="50">
        <f t="shared" si="57"/>
        <v>4.4776119402985072E-2</v>
      </c>
      <c r="T245" s="50">
        <f t="shared" si="58"/>
        <v>4.4776119402985072E-2</v>
      </c>
      <c r="U245" s="50">
        <f t="shared" si="59"/>
        <v>0.14925373134328357</v>
      </c>
      <c r="V245" s="50">
        <f t="shared" si="60"/>
        <v>0.31343283582089548</v>
      </c>
      <c r="W245" s="50">
        <f t="shared" si="61"/>
        <v>7.4626865671641784E-2</v>
      </c>
      <c r="X245" s="50">
        <f t="shared" si="62"/>
        <v>0</v>
      </c>
      <c r="Y245" s="50">
        <f t="shared" si="63"/>
        <v>0</v>
      </c>
      <c r="Z245" s="50">
        <f t="shared" si="64"/>
        <v>0</v>
      </c>
      <c r="AA245" s="50">
        <f t="shared" si="65"/>
        <v>8.9552238805970144E-2</v>
      </c>
      <c r="AB245" s="50">
        <f t="shared" si="66"/>
        <v>0.11940298507462686</v>
      </c>
      <c r="AC245" s="50">
        <f t="shared" si="67"/>
        <v>7.4626865671641784E-2</v>
      </c>
      <c r="AD245" s="50">
        <f t="shared" si="68"/>
        <v>2.9850746268656716E-2</v>
      </c>
      <c r="AE245" s="50">
        <f t="shared" si="69"/>
        <v>2.9850746268656716E-2</v>
      </c>
      <c r="AF245" s="47">
        <f t="shared" si="71"/>
        <v>0.99999999999999989</v>
      </c>
      <c r="AG245" s="50">
        <f>IF('Resultado da inspeção'!F245='Resultado da inspeção'!$W$3,0%,Ranking!R245)</f>
        <v>0</v>
      </c>
      <c r="AH245" s="50">
        <f>IF('Resultado da inspeção'!G245='Resultado da inspeção'!$W$3,0%,Ranking!S245)</f>
        <v>4.4776119402985072E-2</v>
      </c>
      <c r="AI245" s="50">
        <f>IF('Resultado da inspeção'!H245='Resultado da inspeção'!$W$3,0%,Ranking!T245)</f>
        <v>4.4776119402985072E-2</v>
      </c>
      <c r="AJ245" s="50">
        <f>IF('Resultado da inspeção'!I245='Resultado da inspeção'!$W$3,0%,Ranking!U245)</f>
        <v>0.14925373134328357</v>
      </c>
      <c r="AK245" s="50">
        <f>IF('Resultado da inspeção'!J245='Resultado da inspeção'!$W$3,0%,Ranking!V245)</f>
        <v>0</v>
      </c>
      <c r="AL245" s="50">
        <f>IF('Resultado da inspeção'!K245='Resultado da inspeção'!$W$3,0%,Ranking!W245)</f>
        <v>0</v>
      </c>
      <c r="AM245" s="50">
        <f>IF('Resultado da inspeção'!L245='Resultado da inspeção'!$W$3,0%,Ranking!X245)</f>
        <v>0</v>
      </c>
      <c r="AN245" s="50">
        <f>IF('Resultado da inspeção'!M245='Resultado da inspeção'!$W$3,0%,Ranking!Y245)</f>
        <v>0</v>
      </c>
      <c r="AO245" s="50">
        <f>IF('Resultado da inspeção'!N245='Resultado da inspeção'!$W$3,0%,Ranking!Z245)</f>
        <v>0</v>
      </c>
      <c r="AP245" s="50">
        <f>IF('Resultado da inspeção'!O245='Resultado da inspeção'!$W$3,0%,Ranking!AA245)</f>
        <v>8.9552238805970144E-2</v>
      </c>
      <c r="AQ245" s="50">
        <f>IF('Resultado da inspeção'!P245='Resultado da inspeção'!$W$3,0%,Ranking!AB245)</f>
        <v>0.11940298507462686</v>
      </c>
      <c r="AR245" s="50">
        <f>IF('Resultado da inspeção'!Q245='Resultado da inspeção'!$W$3,0%,Ranking!AC245)</f>
        <v>7.4626865671641784E-2</v>
      </c>
      <c r="AS245" s="50">
        <f>IF('Resultado da inspeção'!R245='Resultado da inspeção'!$W$3,0%,Ranking!AD245)</f>
        <v>2.9850746268656716E-2</v>
      </c>
      <c r="AT245" s="50">
        <f>IF('Resultado da inspeção'!S245='Resultado da inspeção'!$W$3,0%,Ranking!AE245)</f>
        <v>2.9850746268656716E-2</v>
      </c>
      <c r="AU245" s="49">
        <f t="shared" si="72"/>
        <v>0.58208955223880587</v>
      </c>
    </row>
    <row r="246" spans="2:47" x14ac:dyDescent="0.25">
      <c r="B246" s="48">
        <f>IF('Resultado da inspeção'!F246='Resultado da inspeção'!$W$4,0%,Ranking!B$5)</f>
        <v>0.02</v>
      </c>
      <c r="C246" s="48">
        <f>IF('Resultado da inspeção'!G246='Resultado da inspeção'!$W$4,0%,Ranking!C$5)</f>
        <v>0.03</v>
      </c>
      <c r="D246" s="48">
        <f>IF('Resultado da inspeção'!H246='Resultado da inspeção'!$W$4,0%,Ranking!D$5)</f>
        <v>0.03</v>
      </c>
      <c r="E246" s="48">
        <f>IF('Resultado da inspeção'!I246='Resultado da inspeção'!$W$4,0%,Ranking!E$5)</f>
        <v>0.1</v>
      </c>
      <c r="F246" s="48">
        <f>IF('Resultado da inspeção'!J246='Resultado da inspeção'!$W$4,0%,Ranking!F$5)</f>
        <v>0.21</v>
      </c>
      <c r="G246" s="48">
        <f>IF('Resultado da inspeção'!K246='Resultado da inspeção'!$W$4,0%,Ranking!G$5)</f>
        <v>0.05</v>
      </c>
      <c r="H246" s="48">
        <f>IF('Resultado da inspeção'!L246='Resultado da inspeção'!$W$4,0%,Ranking!H$5)</f>
        <v>0</v>
      </c>
      <c r="I246" s="48">
        <f>IF('Resultado da inspeção'!M246='Resultado da inspeção'!$W$4,0%,Ranking!I$5)</f>
        <v>0</v>
      </c>
      <c r="J246" s="48">
        <f>IF('Resultado da inspeção'!N246='Resultado da inspeção'!$W$4,0%,Ranking!J$5)</f>
        <v>0</v>
      </c>
      <c r="K246" s="48">
        <f>IF('Resultado da inspeção'!O246='Resultado da inspeção'!$W$4,0%,Ranking!K$5)</f>
        <v>0.06</v>
      </c>
      <c r="L246" s="48">
        <f>IF('Resultado da inspeção'!P246='Resultado da inspeção'!$W$4,0%,Ranking!L$5)</f>
        <v>0.08</v>
      </c>
      <c r="M246" s="48">
        <f>IF('Resultado da inspeção'!Q246='Resultado da inspeção'!$W$4,0%,Ranking!M$5)</f>
        <v>0.05</v>
      </c>
      <c r="N246" s="48">
        <f>IF('Resultado da inspeção'!R246='Resultado da inspeção'!$W$4,0%,Ranking!N$5)</f>
        <v>0.02</v>
      </c>
      <c r="O246" s="48">
        <f>IF('Resultado da inspeção'!S246='Resultado da inspeção'!$W$4,0%,Ranking!O$5)</f>
        <v>0.02</v>
      </c>
      <c r="P246" s="47">
        <f t="shared" si="55"/>
        <v>0.67</v>
      </c>
      <c r="Q246" s="49">
        <f t="shared" si="70"/>
        <v>0.32999999999999996</v>
      </c>
      <c r="R246" s="50">
        <f t="shared" si="56"/>
        <v>2.9850746268656716E-2</v>
      </c>
      <c r="S246" s="50">
        <f t="shared" si="57"/>
        <v>4.4776119402985072E-2</v>
      </c>
      <c r="T246" s="50">
        <f t="shared" si="58"/>
        <v>4.4776119402985072E-2</v>
      </c>
      <c r="U246" s="50">
        <f t="shared" si="59"/>
        <v>0.14925373134328357</v>
      </c>
      <c r="V246" s="50">
        <f t="shared" si="60"/>
        <v>0.31343283582089548</v>
      </c>
      <c r="W246" s="50">
        <f t="shared" si="61"/>
        <v>7.4626865671641784E-2</v>
      </c>
      <c r="X246" s="50">
        <f t="shared" si="62"/>
        <v>0</v>
      </c>
      <c r="Y246" s="50">
        <f t="shared" si="63"/>
        <v>0</v>
      </c>
      <c r="Z246" s="50">
        <f t="shared" si="64"/>
        <v>0</v>
      </c>
      <c r="AA246" s="50">
        <f t="shared" si="65"/>
        <v>8.9552238805970144E-2</v>
      </c>
      <c r="AB246" s="50">
        <f t="shared" si="66"/>
        <v>0.11940298507462686</v>
      </c>
      <c r="AC246" s="50">
        <f t="shared" si="67"/>
        <v>7.4626865671641784E-2</v>
      </c>
      <c r="AD246" s="50">
        <f t="shared" si="68"/>
        <v>2.9850746268656716E-2</v>
      </c>
      <c r="AE246" s="50">
        <f t="shared" si="69"/>
        <v>2.9850746268656716E-2</v>
      </c>
      <c r="AF246" s="47">
        <f t="shared" si="71"/>
        <v>0.99999999999999989</v>
      </c>
      <c r="AG246" s="50">
        <f>IF('Resultado da inspeção'!F246='Resultado da inspeção'!$W$3,0%,Ranking!R246)</f>
        <v>0</v>
      </c>
      <c r="AH246" s="50">
        <f>IF('Resultado da inspeção'!G246='Resultado da inspeção'!$W$3,0%,Ranking!S246)</f>
        <v>4.4776119402985072E-2</v>
      </c>
      <c r="AI246" s="50">
        <f>IF('Resultado da inspeção'!H246='Resultado da inspeção'!$W$3,0%,Ranking!T246)</f>
        <v>4.4776119402985072E-2</v>
      </c>
      <c r="AJ246" s="50">
        <f>IF('Resultado da inspeção'!I246='Resultado da inspeção'!$W$3,0%,Ranking!U246)</f>
        <v>0.14925373134328357</v>
      </c>
      <c r="AK246" s="50">
        <f>IF('Resultado da inspeção'!J246='Resultado da inspeção'!$W$3,0%,Ranking!V246)</f>
        <v>0.31343283582089548</v>
      </c>
      <c r="AL246" s="50">
        <f>IF('Resultado da inspeção'!K246='Resultado da inspeção'!$W$3,0%,Ranking!W246)</f>
        <v>0</v>
      </c>
      <c r="AM246" s="50">
        <f>IF('Resultado da inspeção'!L246='Resultado da inspeção'!$W$3,0%,Ranking!X246)</f>
        <v>0</v>
      </c>
      <c r="AN246" s="50">
        <f>IF('Resultado da inspeção'!M246='Resultado da inspeção'!$W$3,0%,Ranking!Y246)</f>
        <v>0</v>
      </c>
      <c r="AO246" s="50">
        <f>IF('Resultado da inspeção'!N246='Resultado da inspeção'!$W$3,0%,Ranking!Z246)</f>
        <v>0</v>
      </c>
      <c r="AP246" s="50">
        <f>IF('Resultado da inspeção'!O246='Resultado da inspeção'!$W$3,0%,Ranking!AA246)</f>
        <v>8.9552238805970144E-2</v>
      </c>
      <c r="AQ246" s="50">
        <f>IF('Resultado da inspeção'!P246='Resultado da inspeção'!$W$3,0%,Ranking!AB246)</f>
        <v>0.11940298507462686</v>
      </c>
      <c r="AR246" s="50">
        <f>IF('Resultado da inspeção'!Q246='Resultado da inspeção'!$W$3,0%,Ranking!AC246)</f>
        <v>7.4626865671641784E-2</v>
      </c>
      <c r="AS246" s="50">
        <f>IF('Resultado da inspeção'!R246='Resultado da inspeção'!$W$3,0%,Ranking!AD246)</f>
        <v>2.9850746268656716E-2</v>
      </c>
      <c r="AT246" s="50">
        <f>IF('Resultado da inspeção'!S246='Resultado da inspeção'!$W$3,0%,Ranking!AE246)</f>
        <v>2.9850746268656716E-2</v>
      </c>
      <c r="AU246" s="49">
        <f t="shared" si="72"/>
        <v>0.89552238805970141</v>
      </c>
    </row>
    <row r="247" spans="2:47" x14ac:dyDescent="0.25">
      <c r="B247" s="48">
        <f>IF('Resultado da inspeção'!F247='Resultado da inspeção'!$W$4,0%,Ranking!B$5)</f>
        <v>0.02</v>
      </c>
      <c r="C247" s="48">
        <f>IF('Resultado da inspeção'!G247='Resultado da inspeção'!$W$4,0%,Ranking!C$5)</f>
        <v>0.03</v>
      </c>
      <c r="D247" s="48">
        <f>IF('Resultado da inspeção'!H247='Resultado da inspeção'!$W$4,0%,Ranking!D$5)</f>
        <v>0.03</v>
      </c>
      <c r="E247" s="48">
        <f>IF('Resultado da inspeção'!I247='Resultado da inspeção'!$W$4,0%,Ranking!E$5)</f>
        <v>0.1</v>
      </c>
      <c r="F247" s="48">
        <f>IF('Resultado da inspeção'!J247='Resultado da inspeção'!$W$4,0%,Ranking!F$5)</f>
        <v>0.21</v>
      </c>
      <c r="G247" s="48">
        <f>IF('Resultado da inspeção'!K247='Resultado da inspeção'!$W$4,0%,Ranking!G$5)</f>
        <v>0.05</v>
      </c>
      <c r="H247" s="48">
        <f>IF('Resultado da inspeção'!L247='Resultado da inspeção'!$W$4,0%,Ranking!H$5)</f>
        <v>0</v>
      </c>
      <c r="I247" s="48">
        <f>IF('Resultado da inspeção'!M247='Resultado da inspeção'!$W$4,0%,Ranking!I$5)</f>
        <v>0</v>
      </c>
      <c r="J247" s="48">
        <f>IF('Resultado da inspeção'!N247='Resultado da inspeção'!$W$4,0%,Ranking!J$5)</f>
        <v>0</v>
      </c>
      <c r="K247" s="48">
        <f>IF('Resultado da inspeção'!O247='Resultado da inspeção'!$W$4,0%,Ranking!K$5)</f>
        <v>0.06</v>
      </c>
      <c r="L247" s="48">
        <f>IF('Resultado da inspeção'!P247='Resultado da inspeção'!$W$4,0%,Ranking!L$5)</f>
        <v>0.08</v>
      </c>
      <c r="M247" s="48">
        <f>IF('Resultado da inspeção'!Q247='Resultado da inspeção'!$W$4,0%,Ranking!M$5)</f>
        <v>0.05</v>
      </c>
      <c r="N247" s="48">
        <f>IF('Resultado da inspeção'!R247='Resultado da inspeção'!$W$4,0%,Ranking!N$5)</f>
        <v>0.02</v>
      </c>
      <c r="O247" s="48">
        <f>IF('Resultado da inspeção'!S247='Resultado da inspeção'!$W$4,0%,Ranking!O$5)</f>
        <v>0.02</v>
      </c>
      <c r="P247" s="47">
        <f t="shared" si="55"/>
        <v>0.67</v>
      </c>
      <c r="Q247" s="49">
        <f t="shared" si="70"/>
        <v>0.32999999999999996</v>
      </c>
      <c r="R247" s="50">
        <f t="shared" si="56"/>
        <v>2.9850746268656716E-2</v>
      </c>
      <c r="S247" s="50">
        <f t="shared" si="57"/>
        <v>4.4776119402985072E-2</v>
      </c>
      <c r="T247" s="50">
        <f t="shared" si="58"/>
        <v>4.4776119402985072E-2</v>
      </c>
      <c r="U247" s="50">
        <f t="shared" si="59"/>
        <v>0.14925373134328357</v>
      </c>
      <c r="V247" s="50">
        <f t="shared" si="60"/>
        <v>0.31343283582089548</v>
      </c>
      <c r="W247" s="50">
        <f t="shared" si="61"/>
        <v>7.4626865671641784E-2</v>
      </c>
      <c r="X247" s="50">
        <f t="shared" si="62"/>
        <v>0</v>
      </c>
      <c r="Y247" s="50">
        <f t="shared" si="63"/>
        <v>0</v>
      </c>
      <c r="Z247" s="50">
        <f t="shared" si="64"/>
        <v>0</v>
      </c>
      <c r="AA247" s="50">
        <f t="shared" si="65"/>
        <v>8.9552238805970144E-2</v>
      </c>
      <c r="AB247" s="50">
        <f t="shared" si="66"/>
        <v>0.11940298507462686</v>
      </c>
      <c r="AC247" s="50">
        <f t="shared" si="67"/>
        <v>7.4626865671641784E-2</v>
      </c>
      <c r="AD247" s="50">
        <f t="shared" si="68"/>
        <v>2.9850746268656716E-2</v>
      </c>
      <c r="AE247" s="50">
        <f t="shared" si="69"/>
        <v>2.9850746268656716E-2</v>
      </c>
      <c r="AF247" s="47">
        <f t="shared" si="71"/>
        <v>0.99999999999999989</v>
      </c>
      <c r="AG247" s="50">
        <f>IF('Resultado da inspeção'!F247='Resultado da inspeção'!$W$3,0%,Ranking!R247)</f>
        <v>0</v>
      </c>
      <c r="AH247" s="50">
        <f>IF('Resultado da inspeção'!G247='Resultado da inspeção'!$W$3,0%,Ranking!S247)</f>
        <v>4.4776119402985072E-2</v>
      </c>
      <c r="AI247" s="50">
        <f>IF('Resultado da inspeção'!H247='Resultado da inspeção'!$W$3,0%,Ranking!T247)</f>
        <v>4.4776119402985072E-2</v>
      </c>
      <c r="AJ247" s="50">
        <f>IF('Resultado da inspeção'!I247='Resultado da inspeção'!$W$3,0%,Ranking!U247)</f>
        <v>0.14925373134328357</v>
      </c>
      <c r="AK247" s="50">
        <f>IF('Resultado da inspeção'!J247='Resultado da inspeção'!$W$3,0%,Ranking!V247)</f>
        <v>0.31343283582089548</v>
      </c>
      <c r="AL247" s="50">
        <f>IF('Resultado da inspeção'!K247='Resultado da inspeção'!$W$3,0%,Ranking!W247)</f>
        <v>0</v>
      </c>
      <c r="AM247" s="50">
        <f>IF('Resultado da inspeção'!L247='Resultado da inspeção'!$W$3,0%,Ranking!X247)</f>
        <v>0</v>
      </c>
      <c r="AN247" s="50">
        <f>IF('Resultado da inspeção'!M247='Resultado da inspeção'!$W$3,0%,Ranking!Y247)</f>
        <v>0</v>
      </c>
      <c r="AO247" s="50">
        <f>IF('Resultado da inspeção'!N247='Resultado da inspeção'!$W$3,0%,Ranking!Z247)</f>
        <v>0</v>
      </c>
      <c r="AP247" s="50">
        <f>IF('Resultado da inspeção'!O247='Resultado da inspeção'!$W$3,0%,Ranking!AA247)</f>
        <v>8.9552238805970144E-2</v>
      </c>
      <c r="AQ247" s="50">
        <f>IF('Resultado da inspeção'!P247='Resultado da inspeção'!$W$3,0%,Ranking!AB247)</f>
        <v>0.11940298507462686</v>
      </c>
      <c r="AR247" s="50">
        <f>IF('Resultado da inspeção'!Q247='Resultado da inspeção'!$W$3,0%,Ranking!AC247)</f>
        <v>7.4626865671641784E-2</v>
      </c>
      <c r="AS247" s="50">
        <f>IF('Resultado da inspeção'!R247='Resultado da inspeção'!$W$3,0%,Ranking!AD247)</f>
        <v>2.9850746268656716E-2</v>
      </c>
      <c r="AT247" s="50">
        <f>IF('Resultado da inspeção'!S247='Resultado da inspeção'!$W$3,0%,Ranking!AE247)</f>
        <v>2.9850746268656716E-2</v>
      </c>
      <c r="AU247" s="49">
        <f t="shared" si="72"/>
        <v>0.89552238805970141</v>
      </c>
    </row>
    <row r="248" spans="2:47" x14ac:dyDescent="0.25">
      <c r="B248" s="48">
        <f>IF('Resultado da inspeção'!F248='Resultado da inspeção'!$W$4,0%,Ranking!B$5)</f>
        <v>0.02</v>
      </c>
      <c r="C248" s="48">
        <f>IF('Resultado da inspeção'!G248='Resultado da inspeção'!$W$4,0%,Ranking!C$5)</f>
        <v>0.03</v>
      </c>
      <c r="D248" s="48">
        <f>IF('Resultado da inspeção'!H248='Resultado da inspeção'!$W$4,0%,Ranking!D$5)</f>
        <v>0.03</v>
      </c>
      <c r="E248" s="48">
        <f>IF('Resultado da inspeção'!I248='Resultado da inspeção'!$W$4,0%,Ranking!E$5)</f>
        <v>0.1</v>
      </c>
      <c r="F248" s="48">
        <f>IF('Resultado da inspeção'!J248='Resultado da inspeção'!$W$4,0%,Ranking!F$5)</f>
        <v>0.21</v>
      </c>
      <c r="G248" s="48">
        <f>IF('Resultado da inspeção'!K248='Resultado da inspeção'!$W$4,0%,Ranking!G$5)</f>
        <v>0.05</v>
      </c>
      <c r="H248" s="48">
        <f>IF('Resultado da inspeção'!L248='Resultado da inspeção'!$W$4,0%,Ranking!H$5)</f>
        <v>0</v>
      </c>
      <c r="I248" s="48">
        <f>IF('Resultado da inspeção'!M248='Resultado da inspeção'!$W$4,0%,Ranking!I$5)</f>
        <v>0.05</v>
      </c>
      <c r="J248" s="48">
        <f>IF('Resultado da inspeção'!N248='Resultado da inspeção'!$W$4,0%,Ranking!J$5)</f>
        <v>0.04</v>
      </c>
      <c r="K248" s="48">
        <f>IF('Resultado da inspeção'!O248='Resultado da inspeção'!$W$4,0%,Ranking!K$5)</f>
        <v>0.06</v>
      </c>
      <c r="L248" s="48">
        <f>IF('Resultado da inspeção'!P248='Resultado da inspeção'!$W$4,0%,Ranking!L$5)</f>
        <v>0.08</v>
      </c>
      <c r="M248" s="48">
        <f>IF('Resultado da inspeção'!Q248='Resultado da inspeção'!$W$4,0%,Ranking!M$5)</f>
        <v>0.05</v>
      </c>
      <c r="N248" s="48">
        <f>IF('Resultado da inspeção'!R248='Resultado da inspeção'!$W$4,0%,Ranking!N$5)</f>
        <v>0.02</v>
      </c>
      <c r="O248" s="48">
        <f>IF('Resultado da inspeção'!S248='Resultado da inspeção'!$W$4,0%,Ranking!O$5)</f>
        <v>0.02</v>
      </c>
      <c r="P248" s="47">
        <f t="shared" si="55"/>
        <v>0.76000000000000012</v>
      </c>
      <c r="Q248" s="49">
        <f t="shared" si="70"/>
        <v>0.23999999999999988</v>
      </c>
      <c r="R248" s="50">
        <f t="shared" si="56"/>
        <v>2.6315789473684206E-2</v>
      </c>
      <c r="S248" s="50">
        <f t="shared" si="57"/>
        <v>3.9473684210526307E-2</v>
      </c>
      <c r="T248" s="50">
        <f t="shared" si="58"/>
        <v>3.9473684210526307E-2</v>
      </c>
      <c r="U248" s="50">
        <f t="shared" si="59"/>
        <v>0.13157894736842105</v>
      </c>
      <c r="V248" s="50">
        <f t="shared" si="60"/>
        <v>0.27631578947368418</v>
      </c>
      <c r="W248" s="50">
        <f t="shared" si="61"/>
        <v>6.5789473684210523E-2</v>
      </c>
      <c r="X248" s="50">
        <f t="shared" si="62"/>
        <v>0</v>
      </c>
      <c r="Y248" s="50">
        <f t="shared" si="63"/>
        <v>6.5789473684210523E-2</v>
      </c>
      <c r="Z248" s="50">
        <f t="shared" si="64"/>
        <v>5.2631578947368411E-2</v>
      </c>
      <c r="AA248" s="50">
        <f t="shared" si="65"/>
        <v>7.8947368421052613E-2</v>
      </c>
      <c r="AB248" s="50">
        <f t="shared" si="66"/>
        <v>0.10526315789473682</v>
      </c>
      <c r="AC248" s="50">
        <f t="shared" si="67"/>
        <v>6.5789473684210523E-2</v>
      </c>
      <c r="AD248" s="50">
        <f t="shared" si="68"/>
        <v>2.6315789473684206E-2</v>
      </c>
      <c r="AE248" s="50">
        <f t="shared" si="69"/>
        <v>2.6315789473684206E-2</v>
      </c>
      <c r="AF248" s="47">
        <f t="shared" si="71"/>
        <v>0.99999999999999978</v>
      </c>
      <c r="AG248" s="50">
        <f>IF('Resultado da inspeção'!F248='Resultado da inspeção'!$W$3,0%,Ranking!R248)</f>
        <v>0</v>
      </c>
      <c r="AH248" s="50">
        <f>IF('Resultado da inspeção'!G248='Resultado da inspeção'!$W$3,0%,Ranking!S248)</f>
        <v>3.9473684210526307E-2</v>
      </c>
      <c r="AI248" s="50">
        <f>IF('Resultado da inspeção'!H248='Resultado da inspeção'!$W$3,0%,Ranking!T248)</f>
        <v>3.9473684210526307E-2</v>
      </c>
      <c r="AJ248" s="50">
        <f>IF('Resultado da inspeção'!I248='Resultado da inspeção'!$W$3,0%,Ranking!U248)</f>
        <v>0.13157894736842105</v>
      </c>
      <c r="AK248" s="50">
        <f>IF('Resultado da inspeção'!J248='Resultado da inspeção'!$W$3,0%,Ranking!V248)</f>
        <v>0.27631578947368418</v>
      </c>
      <c r="AL248" s="50">
        <f>IF('Resultado da inspeção'!K248='Resultado da inspeção'!$W$3,0%,Ranking!W248)</f>
        <v>0</v>
      </c>
      <c r="AM248" s="50">
        <f>IF('Resultado da inspeção'!L248='Resultado da inspeção'!$W$3,0%,Ranking!X248)</f>
        <v>0</v>
      </c>
      <c r="AN248" s="50">
        <f>IF('Resultado da inspeção'!M248='Resultado da inspeção'!$W$3,0%,Ranking!Y248)</f>
        <v>6.5789473684210523E-2</v>
      </c>
      <c r="AO248" s="50">
        <f>IF('Resultado da inspeção'!N248='Resultado da inspeção'!$W$3,0%,Ranking!Z248)</f>
        <v>5.2631578947368411E-2</v>
      </c>
      <c r="AP248" s="50">
        <f>IF('Resultado da inspeção'!O248='Resultado da inspeção'!$W$3,0%,Ranking!AA248)</f>
        <v>7.8947368421052613E-2</v>
      </c>
      <c r="AQ248" s="50">
        <f>IF('Resultado da inspeção'!P248='Resultado da inspeção'!$W$3,0%,Ranking!AB248)</f>
        <v>0.10526315789473682</v>
      </c>
      <c r="AR248" s="50">
        <f>IF('Resultado da inspeção'!Q248='Resultado da inspeção'!$W$3,0%,Ranking!AC248)</f>
        <v>6.5789473684210523E-2</v>
      </c>
      <c r="AS248" s="50">
        <f>IF('Resultado da inspeção'!R248='Resultado da inspeção'!$W$3,0%,Ranking!AD248)</f>
        <v>2.6315789473684206E-2</v>
      </c>
      <c r="AT248" s="50">
        <f>IF('Resultado da inspeção'!S248='Resultado da inspeção'!$W$3,0%,Ranking!AE248)</f>
        <v>2.6315789473684206E-2</v>
      </c>
      <c r="AU248" s="49">
        <f t="shared" si="72"/>
        <v>0.90789473684210509</v>
      </c>
    </row>
    <row r="249" spans="2:47" x14ac:dyDescent="0.25">
      <c r="B249" s="48">
        <f>IF('Resultado da inspeção'!F249='Resultado da inspeção'!$W$4,0%,Ranking!B$5)</f>
        <v>0.02</v>
      </c>
      <c r="C249" s="48">
        <f>IF('Resultado da inspeção'!G249='Resultado da inspeção'!$W$4,0%,Ranking!C$5)</f>
        <v>0.03</v>
      </c>
      <c r="D249" s="48">
        <f>IF('Resultado da inspeção'!H249='Resultado da inspeção'!$W$4,0%,Ranking!D$5)</f>
        <v>0.03</v>
      </c>
      <c r="E249" s="48">
        <f>IF('Resultado da inspeção'!I249='Resultado da inspeção'!$W$4,0%,Ranking!E$5)</f>
        <v>0.1</v>
      </c>
      <c r="F249" s="48">
        <f>IF('Resultado da inspeção'!J249='Resultado da inspeção'!$W$4,0%,Ranking!F$5)</f>
        <v>0.21</v>
      </c>
      <c r="G249" s="48">
        <f>IF('Resultado da inspeção'!K249='Resultado da inspeção'!$W$4,0%,Ranking!G$5)</f>
        <v>0.05</v>
      </c>
      <c r="H249" s="48">
        <f>IF('Resultado da inspeção'!L249='Resultado da inspeção'!$W$4,0%,Ranking!H$5)</f>
        <v>0</v>
      </c>
      <c r="I249" s="48">
        <f>IF('Resultado da inspeção'!M249='Resultado da inspeção'!$W$4,0%,Ranking!I$5)</f>
        <v>0.05</v>
      </c>
      <c r="J249" s="48">
        <f>IF('Resultado da inspeção'!N249='Resultado da inspeção'!$W$4,0%,Ranking!J$5)</f>
        <v>0.04</v>
      </c>
      <c r="K249" s="48">
        <f>IF('Resultado da inspeção'!O249='Resultado da inspeção'!$W$4,0%,Ranking!K$5)</f>
        <v>0.06</v>
      </c>
      <c r="L249" s="48">
        <f>IF('Resultado da inspeção'!P249='Resultado da inspeção'!$W$4,0%,Ranking!L$5)</f>
        <v>0.08</v>
      </c>
      <c r="M249" s="48">
        <f>IF('Resultado da inspeção'!Q249='Resultado da inspeção'!$W$4,0%,Ranking!M$5)</f>
        <v>0.05</v>
      </c>
      <c r="N249" s="48">
        <f>IF('Resultado da inspeção'!R249='Resultado da inspeção'!$W$4,0%,Ranking!N$5)</f>
        <v>0.02</v>
      </c>
      <c r="O249" s="48">
        <f>IF('Resultado da inspeção'!S249='Resultado da inspeção'!$W$4,0%,Ranking!O$5)</f>
        <v>0.02</v>
      </c>
      <c r="P249" s="47">
        <f t="shared" si="55"/>
        <v>0.76000000000000012</v>
      </c>
      <c r="Q249" s="49">
        <f t="shared" si="70"/>
        <v>0.23999999999999988</v>
      </c>
      <c r="R249" s="50">
        <f t="shared" si="56"/>
        <v>2.6315789473684206E-2</v>
      </c>
      <c r="S249" s="50">
        <f t="shared" si="57"/>
        <v>3.9473684210526307E-2</v>
      </c>
      <c r="T249" s="50">
        <f t="shared" si="58"/>
        <v>3.9473684210526307E-2</v>
      </c>
      <c r="U249" s="50">
        <f t="shared" si="59"/>
        <v>0.13157894736842105</v>
      </c>
      <c r="V249" s="50">
        <f t="shared" si="60"/>
        <v>0.27631578947368418</v>
      </c>
      <c r="W249" s="50">
        <f t="shared" si="61"/>
        <v>6.5789473684210523E-2</v>
      </c>
      <c r="X249" s="50">
        <f t="shared" si="62"/>
        <v>0</v>
      </c>
      <c r="Y249" s="50">
        <f t="shared" si="63"/>
        <v>6.5789473684210523E-2</v>
      </c>
      <c r="Z249" s="50">
        <f t="shared" si="64"/>
        <v>5.2631578947368411E-2</v>
      </c>
      <c r="AA249" s="50">
        <f t="shared" si="65"/>
        <v>7.8947368421052613E-2</v>
      </c>
      <c r="AB249" s="50">
        <f t="shared" si="66"/>
        <v>0.10526315789473682</v>
      </c>
      <c r="AC249" s="50">
        <f t="shared" si="67"/>
        <v>6.5789473684210523E-2</v>
      </c>
      <c r="AD249" s="50">
        <f t="shared" si="68"/>
        <v>2.6315789473684206E-2</v>
      </c>
      <c r="AE249" s="50">
        <f t="shared" si="69"/>
        <v>2.6315789473684206E-2</v>
      </c>
      <c r="AF249" s="47">
        <f t="shared" si="71"/>
        <v>0.99999999999999978</v>
      </c>
      <c r="AG249" s="50">
        <f>IF('Resultado da inspeção'!F249='Resultado da inspeção'!$W$3,0%,Ranking!R249)</f>
        <v>0</v>
      </c>
      <c r="AH249" s="50">
        <f>IF('Resultado da inspeção'!G249='Resultado da inspeção'!$W$3,0%,Ranking!S249)</f>
        <v>3.9473684210526307E-2</v>
      </c>
      <c r="AI249" s="50">
        <f>IF('Resultado da inspeção'!H249='Resultado da inspeção'!$W$3,0%,Ranking!T249)</f>
        <v>3.9473684210526307E-2</v>
      </c>
      <c r="AJ249" s="50">
        <f>IF('Resultado da inspeção'!I249='Resultado da inspeção'!$W$3,0%,Ranking!U249)</f>
        <v>0.13157894736842105</v>
      </c>
      <c r="AK249" s="50">
        <f>IF('Resultado da inspeção'!J249='Resultado da inspeção'!$W$3,0%,Ranking!V249)</f>
        <v>0.27631578947368418</v>
      </c>
      <c r="AL249" s="50">
        <f>IF('Resultado da inspeção'!K249='Resultado da inspeção'!$W$3,0%,Ranking!W249)</f>
        <v>0</v>
      </c>
      <c r="AM249" s="50">
        <f>IF('Resultado da inspeção'!L249='Resultado da inspeção'!$W$3,0%,Ranking!X249)</f>
        <v>0</v>
      </c>
      <c r="AN249" s="50">
        <f>IF('Resultado da inspeção'!M249='Resultado da inspeção'!$W$3,0%,Ranking!Y249)</f>
        <v>6.5789473684210523E-2</v>
      </c>
      <c r="AO249" s="50">
        <f>IF('Resultado da inspeção'!N249='Resultado da inspeção'!$W$3,0%,Ranking!Z249)</f>
        <v>5.2631578947368411E-2</v>
      </c>
      <c r="AP249" s="50">
        <f>IF('Resultado da inspeção'!O249='Resultado da inspeção'!$W$3,0%,Ranking!AA249)</f>
        <v>7.8947368421052613E-2</v>
      </c>
      <c r="AQ249" s="50">
        <f>IF('Resultado da inspeção'!P249='Resultado da inspeção'!$W$3,0%,Ranking!AB249)</f>
        <v>0.10526315789473682</v>
      </c>
      <c r="AR249" s="50">
        <f>IF('Resultado da inspeção'!Q249='Resultado da inspeção'!$W$3,0%,Ranking!AC249)</f>
        <v>6.5789473684210523E-2</v>
      </c>
      <c r="AS249" s="50">
        <f>IF('Resultado da inspeção'!R249='Resultado da inspeção'!$W$3,0%,Ranking!AD249)</f>
        <v>2.6315789473684206E-2</v>
      </c>
      <c r="AT249" s="50">
        <f>IF('Resultado da inspeção'!S249='Resultado da inspeção'!$W$3,0%,Ranking!AE249)</f>
        <v>2.6315789473684206E-2</v>
      </c>
      <c r="AU249" s="49">
        <f t="shared" si="72"/>
        <v>0.90789473684210509</v>
      </c>
    </row>
    <row r="250" spans="2:47" x14ac:dyDescent="0.25">
      <c r="B250" s="48">
        <f>IF('Resultado da inspeção'!F250='Resultado da inspeção'!$W$4,0%,Ranking!B$5)</f>
        <v>0.02</v>
      </c>
      <c r="C250" s="48">
        <f>IF('Resultado da inspeção'!G250='Resultado da inspeção'!$W$4,0%,Ranking!C$5)</f>
        <v>0.03</v>
      </c>
      <c r="D250" s="48">
        <f>IF('Resultado da inspeção'!H250='Resultado da inspeção'!$W$4,0%,Ranking!D$5)</f>
        <v>0.03</v>
      </c>
      <c r="E250" s="48">
        <f>IF('Resultado da inspeção'!I250='Resultado da inspeção'!$W$4,0%,Ranking!E$5)</f>
        <v>0.1</v>
      </c>
      <c r="F250" s="48">
        <f>IF('Resultado da inspeção'!J250='Resultado da inspeção'!$W$4,0%,Ranking!F$5)</f>
        <v>0.21</v>
      </c>
      <c r="G250" s="48">
        <f>IF('Resultado da inspeção'!K250='Resultado da inspeção'!$W$4,0%,Ranking!G$5)</f>
        <v>0.05</v>
      </c>
      <c r="H250" s="48">
        <f>IF('Resultado da inspeção'!L250='Resultado da inspeção'!$W$4,0%,Ranking!H$5)</f>
        <v>0</v>
      </c>
      <c r="I250" s="48">
        <f>IF('Resultado da inspeção'!M250='Resultado da inspeção'!$W$4,0%,Ranking!I$5)</f>
        <v>0.05</v>
      </c>
      <c r="J250" s="48">
        <f>IF('Resultado da inspeção'!N250='Resultado da inspeção'!$W$4,0%,Ranking!J$5)</f>
        <v>0.04</v>
      </c>
      <c r="K250" s="48">
        <f>IF('Resultado da inspeção'!O250='Resultado da inspeção'!$W$4,0%,Ranking!K$5)</f>
        <v>0.06</v>
      </c>
      <c r="L250" s="48">
        <f>IF('Resultado da inspeção'!P250='Resultado da inspeção'!$W$4,0%,Ranking!L$5)</f>
        <v>0.08</v>
      </c>
      <c r="M250" s="48">
        <f>IF('Resultado da inspeção'!Q250='Resultado da inspeção'!$W$4,0%,Ranking!M$5)</f>
        <v>0.05</v>
      </c>
      <c r="N250" s="48">
        <f>IF('Resultado da inspeção'!R250='Resultado da inspeção'!$W$4,0%,Ranking!N$5)</f>
        <v>0.02</v>
      </c>
      <c r="O250" s="48">
        <f>IF('Resultado da inspeção'!S250='Resultado da inspeção'!$W$4,0%,Ranking!O$5)</f>
        <v>0.02</v>
      </c>
      <c r="P250" s="47">
        <f t="shared" si="55"/>
        <v>0.76000000000000012</v>
      </c>
      <c r="Q250" s="49">
        <f t="shared" si="70"/>
        <v>0.23999999999999988</v>
      </c>
      <c r="R250" s="50">
        <f t="shared" si="56"/>
        <v>2.6315789473684206E-2</v>
      </c>
      <c r="S250" s="50">
        <f t="shared" si="57"/>
        <v>3.9473684210526307E-2</v>
      </c>
      <c r="T250" s="50">
        <f t="shared" si="58"/>
        <v>3.9473684210526307E-2</v>
      </c>
      <c r="U250" s="50">
        <f t="shared" si="59"/>
        <v>0.13157894736842105</v>
      </c>
      <c r="V250" s="50">
        <f t="shared" si="60"/>
        <v>0.27631578947368418</v>
      </c>
      <c r="W250" s="50">
        <f t="shared" si="61"/>
        <v>6.5789473684210523E-2</v>
      </c>
      <c r="X250" s="50">
        <f t="shared" si="62"/>
        <v>0</v>
      </c>
      <c r="Y250" s="50">
        <f t="shared" si="63"/>
        <v>6.5789473684210523E-2</v>
      </c>
      <c r="Z250" s="50">
        <f t="shared" si="64"/>
        <v>5.2631578947368411E-2</v>
      </c>
      <c r="AA250" s="50">
        <f t="shared" si="65"/>
        <v>7.8947368421052613E-2</v>
      </c>
      <c r="AB250" s="50">
        <f t="shared" si="66"/>
        <v>0.10526315789473682</v>
      </c>
      <c r="AC250" s="50">
        <f t="shared" si="67"/>
        <v>6.5789473684210523E-2</v>
      </c>
      <c r="AD250" s="50">
        <f t="shared" si="68"/>
        <v>2.6315789473684206E-2</v>
      </c>
      <c r="AE250" s="50">
        <f t="shared" si="69"/>
        <v>2.6315789473684206E-2</v>
      </c>
      <c r="AF250" s="47">
        <f t="shared" si="71"/>
        <v>0.99999999999999978</v>
      </c>
      <c r="AG250" s="50">
        <f>IF('Resultado da inspeção'!F250='Resultado da inspeção'!$W$3,0%,Ranking!R250)</f>
        <v>0</v>
      </c>
      <c r="AH250" s="50">
        <f>IF('Resultado da inspeção'!G250='Resultado da inspeção'!$W$3,0%,Ranking!S250)</f>
        <v>3.9473684210526307E-2</v>
      </c>
      <c r="AI250" s="50">
        <f>IF('Resultado da inspeção'!H250='Resultado da inspeção'!$W$3,0%,Ranking!T250)</f>
        <v>3.9473684210526307E-2</v>
      </c>
      <c r="AJ250" s="50">
        <f>IF('Resultado da inspeção'!I250='Resultado da inspeção'!$W$3,0%,Ranking!U250)</f>
        <v>0.13157894736842105</v>
      </c>
      <c r="AK250" s="50">
        <f>IF('Resultado da inspeção'!J250='Resultado da inspeção'!$W$3,0%,Ranking!V250)</f>
        <v>0.27631578947368418</v>
      </c>
      <c r="AL250" s="50">
        <f>IF('Resultado da inspeção'!K250='Resultado da inspeção'!$W$3,0%,Ranking!W250)</f>
        <v>0</v>
      </c>
      <c r="AM250" s="50">
        <f>IF('Resultado da inspeção'!L250='Resultado da inspeção'!$W$3,0%,Ranking!X250)</f>
        <v>0</v>
      </c>
      <c r="AN250" s="50">
        <f>IF('Resultado da inspeção'!M250='Resultado da inspeção'!$W$3,0%,Ranking!Y250)</f>
        <v>6.5789473684210523E-2</v>
      </c>
      <c r="AO250" s="50">
        <f>IF('Resultado da inspeção'!N250='Resultado da inspeção'!$W$3,0%,Ranking!Z250)</f>
        <v>5.2631578947368411E-2</v>
      </c>
      <c r="AP250" s="50">
        <f>IF('Resultado da inspeção'!O250='Resultado da inspeção'!$W$3,0%,Ranking!AA250)</f>
        <v>7.8947368421052613E-2</v>
      </c>
      <c r="AQ250" s="50">
        <f>IF('Resultado da inspeção'!P250='Resultado da inspeção'!$W$3,0%,Ranking!AB250)</f>
        <v>0.10526315789473682</v>
      </c>
      <c r="AR250" s="50">
        <f>IF('Resultado da inspeção'!Q250='Resultado da inspeção'!$W$3,0%,Ranking!AC250)</f>
        <v>6.5789473684210523E-2</v>
      </c>
      <c r="AS250" s="50">
        <f>IF('Resultado da inspeção'!R250='Resultado da inspeção'!$W$3,0%,Ranking!AD250)</f>
        <v>2.6315789473684206E-2</v>
      </c>
      <c r="AT250" s="50">
        <f>IF('Resultado da inspeção'!S250='Resultado da inspeção'!$W$3,0%,Ranking!AE250)</f>
        <v>2.6315789473684206E-2</v>
      </c>
      <c r="AU250" s="49">
        <f t="shared" si="72"/>
        <v>0.90789473684210509</v>
      </c>
    </row>
    <row r="251" spans="2:47" x14ac:dyDescent="0.25">
      <c r="B251" s="48">
        <f>IF('Resultado da inspeção'!F251='Resultado da inspeção'!$W$4,0%,Ranking!B$5)</f>
        <v>0.02</v>
      </c>
      <c r="C251" s="48">
        <f>IF('Resultado da inspeção'!G251='Resultado da inspeção'!$W$4,0%,Ranking!C$5)</f>
        <v>0.03</v>
      </c>
      <c r="D251" s="48">
        <f>IF('Resultado da inspeção'!H251='Resultado da inspeção'!$W$4,0%,Ranking!D$5)</f>
        <v>0.03</v>
      </c>
      <c r="E251" s="48">
        <f>IF('Resultado da inspeção'!I251='Resultado da inspeção'!$W$4,0%,Ranking!E$5)</f>
        <v>0.1</v>
      </c>
      <c r="F251" s="48">
        <f>IF('Resultado da inspeção'!J251='Resultado da inspeção'!$W$4,0%,Ranking!F$5)</f>
        <v>0.21</v>
      </c>
      <c r="G251" s="48">
        <f>IF('Resultado da inspeção'!K251='Resultado da inspeção'!$W$4,0%,Ranking!G$5)</f>
        <v>0.05</v>
      </c>
      <c r="H251" s="48">
        <f>IF('Resultado da inspeção'!L251='Resultado da inspeção'!$W$4,0%,Ranking!H$5)</f>
        <v>0.24</v>
      </c>
      <c r="I251" s="48">
        <f>IF('Resultado da inspeção'!M251='Resultado da inspeção'!$W$4,0%,Ranking!I$5)</f>
        <v>0</v>
      </c>
      <c r="J251" s="48">
        <f>IF('Resultado da inspeção'!N251='Resultado da inspeção'!$W$4,0%,Ranking!J$5)</f>
        <v>0</v>
      </c>
      <c r="K251" s="48">
        <f>IF('Resultado da inspeção'!O251='Resultado da inspeção'!$W$4,0%,Ranking!K$5)</f>
        <v>0.06</v>
      </c>
      <c r="L251" s="48">
        <f>IF('Resultado da inspeção'!P251='Resultado da inspeção'!$W$4,0%,Ranking!L$5)</f>
        <v>0.08</v>
      </c>
      <c r="M251" s="48">
        <f>IF('Resultado da inspeção'!Q251='Resultado da inspeção'!$W$4,0%,Ranking!M$5)</f>
        <v>0.05</v>
      </c>
      <c r="N251" s="48">
        <f>IF('Resultado da inspeção'!R251='Resultado da inspeção'!$W$4,0%,Ranking!N$5)</f>
        <v>0.02</v>
      </c>
      <c r="O251" s="48">
        <f>IF('Resultado da inspeção'!S251='Resultado da inspeção'!$W$4,0%,Ranking!O$5)</f>
        <v>0.02</v>
      </c>
      <c r="P251" s="47">
        <f t="shared" si="55"/>
        <v>0.91</v>
      </c>
      <c r="Q251" s="49">
        <f t="shared" si="70"/>
        <v>8.9999999999999969E-2</v>
      </c>
      <c r="R251" s="50">
        <f t="shared" si="56"/>
        <v>2.1978021978021976E-2</v>
      </c>
      <c r="S251" s="50">
        <f t="shared" si="57"/>
        <v>3.2967032967032968E-2</v>
      </c>
      <c r="T251" s="50">
        <f t="shared" si="58"/>
        <v>3.2967032967032968E-2</v>
      </c>
      <c r="U251" s="50">
        <f t="shared" si="59"/>
        <v>0.10989010989010989</v>
      </c>
      <c r="V251" s="50">
        <f t="shared" si="60"/>
        <v>0.23076923076923075</v>
      </c>
      <c r="W251" s="50">
        <f t="shared" si="61"/>
        <v>5.4945054945054944E-2</v>
      </c>
      <c r="X251" s="50">
        <f t="shared" si="62"/>
        <v>0.26373626373626374</v>
      </c>
      <c r="Y251" s="50">
        <f t="shared" si="63"/>
        <v>0</v>
      </c>
      <c r="Z251" s="50">
        <f t="shared" si="64"/>
        <v>0</v>
      </c>
      <c r="AA251" s="50">
        <f t="shared" si="65"/>
        <v>6.5934065934065936E-2</v>
      </c>
      <c r="AB251" s="50">
        <f t="shared" si="66"/>
        <v>8.7912087912087905E-2</v>
      </c>
      <c r="AC251" s="50">
        <f t="shared" si="67"/>
        <v>5.4945054945054944E-2</v>
      </c>
      <c r="AD251" s="50">
        <f t="shared" si="68"/>
        <v>2.1978021978021976E-2</v>
      </c>
      <c r="AE251" s="50">
        <f t="shared" si="69"/>
        <v>2.1978021978021976E-2</v>
      </c>
      <c r="AF251" s="47">
        <f t="shared" si="71"/>
        <v>1</v>
      </c>
      <c r="AG251" s="50">
        <f>IF('Resultado da inspeção'!F251='Resultado da inspeção'!$W$3,0%,Ranking!R251)</f>
        <v>2.1978021978021976E-2</v>
      </c>
      <c r="AH251" s="50">
        <f>IF('Resultado da inspeção'!G251='Resultado da inspeção'!$W$3,0%,Ranking!S251)</f>
        <v>3.2967032967032968E-2</v>
      </c>
      <c r="AI251" s="50">
        <f>IF('Resultado da inspeção'!H251='Resultado da inspeção'!$W$3,0%,Ranking!T251)</f>
        <v>3.2967032967032968E-2</v>
      </c>
      <c r="AJ251" s="50">
        <f>IF('Resultado da inspeção'!I251='Resultado da inspeção'!$W$3,0%,Ranking!U251)</f>
        <v>0</v>
      </c>
      <c r="AK251" s="50">
        <f>IF('Resultado da inspeção'!J251='Resultado da inspeção'!$W$3,0%,Ranking!V251)</f>
        <v>0.23076923076923075</v>
      </c>
      <c r="AL251" s="50">
        <f>IF('Resultado da inspeção'!K251='Resultado da inspeção'!$W$3,0%,Ranking!W251)</f>
        <v>5.4945054945054944E-2</v>
      </c>
      <c r="AM251" s="50">
        <f>IF('Resultado da inspeção'!L251='Resultado da inspeção'!$W$3,0%,Ranking!X251)</f>
        <v>0.26373626373626374</v>
      </c>
      <c r="AN251" s="50">
        <f>IF('Resultado da inspeção'!M251='Resultado da inspeção'!$W$3,0%,Ranking!Y251)</f>
        <v>0</v>
      </c>
      <c r="AO251" s="50">
        <f>IF('Resultado da inspeção'!N251='Resultado da inspeção'!$W$3,0%,Ranking!Z251)</f>
        <v>0</v>
      </c>
      <c r="AP251" s="50">
        <f>IF('Resultado da inspeção'!O251='Resultado da inspeção'!$W$3,0%,Ranking!AA251)</f>
        <v>6.5934065934065936E-2</v>
      </c>
      <c r="AQ251" s="50">
        <f>IF('Resultado da inspeção'!P251='Resultado da inspeção'!$W$3,0%,Ranking!AB251)</f>
        <v>8.7912087912087905E-2</v>
      </c>
      <c r="AR251" s="50">
        <f>IF('Resultado da inspeção'!Q251='Resultado da inspeção'!$W$3,0%,Ranking!AC251)</f>
        <v>5.4945054945054944E-2</v>
      </c>
      <c r="AS251" s="50">
        <f>IF('Resultado da inspeção'!R251='Resultado da inspeção'!$W$3,0%,Ranking!AD251)</f>
        <v>2.1978021978021976E-2</v>
      </c>
      <c r="AT251" s="50">
        <f>IF('Resultado da inspeção'!S251='Resultado da inspeção'!$W$3,0%,Ranking!AE251)</f>
        <v>2.1978021978021976E-2</v>
      </c>
      <c r="AU251" s="49">
        <f t="shared" si="72"/>
        <v>0.89010989010989017</v>
      </c>
    </row>
    <row r="252" spans="2:47" x14ac:dyDescent="0.25">
      <c r="B252" s="48">
        <f>IF('Resultado da inspeção'!F252='Resultado da inspeção'!$W$4,0%,Ranking!B$5)</f>
        <v>0.02</v>
      </c>
      <c r="C252" s="48">
        <f>IF('Resultado da inspeção'!G252='Resultado da inspeção'!$W$4,0%,Ranking!C$5)</f>
        <v>0.03</v>
      </c>
      <c r="D252" s="48">
        <f>IF('Resultado da inspeção'!H252='Resultado da inspeção'!$W$4,0%,Ranking!D$5)</f>
        <v>0.03</v>
      </c>
      <c r="E252" s="48">
        <f>IF('Resultado da inspeção'!I252='Resultado da inspeção'!$W$4,0%,Ranking!E$5)</f>
        <v>0.1</v>
      </c>
      <c r="F252" s="48">
        <f>IF('Resultado da inspeção'!J252='Resultado da inspeção'!$W$4,0%,Ranking!F$5)</f>
        <v>0.21</v>
      </c>
      <c r="G252" s="48">
        <f>IF('Resultado da inspeção'!K252='Resultado da inspeção'!$W$4,0%,Ranking!G$5)</f>
        <v>0.05</v>
      </c>
      <c r="H252" s="48">
        <f>IF('Resultado da inspeção'!L252='Resultado da inspeção'!$W$4,0%,Ranking!H$5)</f>
        <v>0</v>
      </c>
      <c r="I252" s="48">
        <f>IF('Resultado da inspeção'!M252='Resultado da inspeção'!$W$4,0%,Ranking!I$5)</f>
        <v>0.05</v>
      </c>
      <c r="J252" s="48">
        <f>IF('Resultado da inspeção'!N252='Resultado da inspeção'!$W$4,0%,Ranking!J$5)</f>
        <v>0.04</v>
      </c>
      <c r="K252" s="48">
        <f>IF('Resultado da inspeção'!O252='Resultado da inspeção'!$W$4,0%,Ranking!K$5)</f>
        <v>0.06</v>
      </c>
      <c r="L252" s="48">
        <f>IF('Resultado da inspeção'!P252='Resultado da inspeção'!$W$4,0%,Ranking!L$5)</f>
        <v>0.08</v>
      </c>
      <c r="M252" s="48">
        <f>IF('Resultado da inspeção'!Q252='Resultado da inspeção'!$W$4,0%,Ranking!M$5)</f>
        <v>0.05</v>
      </c>
      <c r="N252" s="48">
        <f>IF('Resultado da inspeção'!R252='Resultado da inspeção'!$W$4,0%,Ranking!N$5)</f>
        <v>0.02</v>
      </c>
      <c r="O252" s="48">
        <f>IF('Resultado da inspeção'!S252='Resultado da inspeção'!$W$4,0%,Ranking!O$5)</f>
        <v>0.02</v>
      </c>
      <c r="P252" s="47">
        <f t="shared" si="55"/>
        <v>0.76000000000000012</v>
      </c>
      <c r="Q252" s="49">
        <f t="shared" si="70"/>
        <v>0.23999999999999988</v>
      </c>
      <c r="R252" s="50">
        <f t="shared" si="56"/>
        <v>2.6315789473684206E-2</v>
      </c>
      <c r="S252" s="50">
        <f t="shared" si="57"/>
        <v>3.9473684210526307E-2</v>
      </c>
      <c r="T252" s="50">
        <f t="shared" si="58"/>
        <v>3.9473684210526307E-2</v>
      </c>
      <c r="U252" s="50">
        <f t="shared" si="59"/>
        <v>0.13157894736842105</v>
      </c>
      <c r="V252" s="50">
        <f t="shared" si="60"/>
        <v>0.27631578947368418</v>
      </c>
      <c r="W252" s="50">
        <f t="shared" si="61"/>
        <v>6.5789473684210523E-2</v>
      </c>
      <c r="X252" s="50">
        <f t="shared" si="62"/>
        <v>0</v>
      </c>
      <c r="Y252" s="50">
        <f t="shared" si="63"/>
        <v>6.5789473684210523E-2</v>
      </c>
      <c r="Z252" s="50">
        <f t="shared" si="64"/>
        <v>5.2631578947368411E-2</v>
      </c>
      <c r="AA252" s="50">
        <f t="shared" si="65"/>
        <v>7.8947368421052613E-2</v>
      </c>
      <c r="AB252" s="50">
        <f t="shared" si="66"/>
        <v>0.10526315789473682</v>
      </c>
      <c r="AC252" s="50">
        <f t="shared" si="67"/>
        <v>6.5789473684210523E-2</v>
      </c>
      <c r="AD252" s="50">
        <f t="shared" si="68"/>
        <v>2.6315789473684206E-2</v>
      </c>
      <c r="AE252" s="50">
        <f t="shared" si="69"/>
        <v>2.6315789473684206E-2</v>
      </c>
      <c r="AF252" s="47">
        <f t="shared" si="71"/>
        <v>0.99999999999999978</v>
      </c>
      <c r="AG252" s="50">
        <f>IF('Resultado da inspeção'!F252='Resultado da inspeção'!$W$3,0%,Ranking!R252)</f>
        <v>2.6315789473684206E-2</v>
      </c>
      <c r="AH252" s="50">
        <f>IF('Resultado da inspeção'!G252='Resultado da inspeção'!$W$3,0%,Ranking!S252)</f>
        <v>3.9473684210526307E-2</v>
      </c>
      <c r="AI252" s="50">
        <f>IF('Resultado da inspeção'!H252='Resultado da inspeção'!$W$3,0%,Ranking!T252)</f>
        <v>3.9473684210526307E-2</v>
      </c>
      <c r="AJ252" s="50">
        <f>IF('Resultado da inspeção'!I252='Resultado da inspeção'!$W$3,0%,Ranking!U252)</f>
        <v>0.13157894736842105</v>
      </c>
      <c r="AK252" s="50">
        <f>IF('Resultado da inspeção'!J252='Resultado da inspeção'!$W$3,0%,Ranking!V252)</f>
        <v>0.27631578947368418</v>
      </c>
      <c r="AL252" s="50">
        <f>IF('Resultado da inspeção'!K252='Resultado da inspeção'!$W$3,0%,Ranking!W252)</f>
        <v>6.5789473684210523E-2</v>
      </c>
      <c r="AM252" s="50">
        <f>IF('Resultado da inspeção'!L252='Resultado da inspeção'!$W$3,0%,Ranking!X252)</f>
        <v>0</v>
      </c>
      <c r="AN252" s="50">
        <f>IF('Resultado da inspeção'!M252='Resultado da inspeção'!$W$3,0%,Ranking!Y252)</f>
        <v>6.5789473684210523E-2</v>
      </c>
      <c r="AO252" s="50">
        <f>IF('Resultado da inspeção'!N252='Resultado da inspeção'!$W$3,0%,Ranking!Z252)</f>
        <v>5.2631578947368411E-2</v>
      </c>
      <c r="AP252" s="50">
        <f>IF('Resultado da inspeção'!O252='Resultado da inspeção'!$W$3,0%,Ranking!AA252)</f>
        <v>7.8947368421052613E-2</v>
      </c>
      <c r="AQ252" s="50">
        <f>IF('Resultado da inspeção'!P252='Resultado da inspeção'!$W$3,0%,Ranking!AB252)</f>
        <v>0.10526315789473682</v>
      </c>
      <c r="AR252" s="50">
        <f>IF('Resultado da inspeção'!Q252='Resultado da inspeção'!$W$3,0%,Ranking!AC252)</f>
        <v>6.5789473684210523E-2</v>
      </c>
      <c r="AS252" s="50">
        <f>IF('Resultado da inspeção'!R252='Resultado da inspeção'!$W$3,0%,Ranking!AD252)</f>
        <v>2.6315789473684206E-2</v>
      </c>
      <c r="AT252" s="50">
        <f>IF('Resultado da inspeção'!S252='Resultado da inspeção'!$W$3,0%,Ranking!AE252)</f>
        <v>2.6315789473684206E-2</v>
      </c>
      <c r="AU252" s="49">
        <f t="shared" si="72"/>
        <v>0.99999999999999978</v>
      </c>
    </row>
    <row r="253" spans="2:47" x14ac:dyDescent="0.25">
      <c r="B253" s="48">
        <f>IF('Resultado da inspeção'!F253='Resultado da inspeção'!$W$4,0%,Ranking!B$5)</f>
        <v>0.02</v>
      </c>
      <c r="C253" s="48">
        <f>IF('Resultado da inspeção'!G253='Resultado da inspeção'!$W$4,0%,Ranking!C$5)</f>
        <v>0.03</v>
      </c>
      <c r="D253" s="48">
        <f>IF('Resultado da inspeção'!H253='Resultado da inspeção'!$W$4,0%,Ranking!D$5)</f>
        <v>0.03</v>
      </c>
      <c r="E253" s="48">
        <f>IF('Resultado da inspeção'!I253='Resultado da inspeção'!$W$4,0%,Ranking!E$5)</f>
        <v>0.1</v>
      </c>
      <c r="F253" s="48">
        <f>IF('Resultado da inspeção'!J253='Resultado da inspeção'!$W$4,0%,Ranking!F$5)</f>
        <v>0.21</v>
      </c>
      <c r="G253" s="48">
        <f>IF('Resultado da inspeção'!K253='Resultado da inspeção'!$W$4,0%,Ranking!G$5)</f>
        <v>0.05</v>
      </c>
      <c r="H253" s="48">
        <f>IF('Resultado da inspeção'!L253='Resultado da inspeção'!$W$4,0%,Ranking!H$5)</f>
        <v>0</v>
      </c>
      <c r="I253" s="48">
        <f>IF('Resultado da inspeção'!M253='Resultado da inspeção'!$W$4,0%,Ranking!I$5)</f>
        <v>0.05</v>
      </c>
      <c r="J253" s="48">
        <f>IF('Resultado da inspeção'!N253='Resultado da inspeção'!$W$4,0%,Ranking!J$5)</f>
        <v>0.04</v>
      </c>
      <c r="K253" s="48">
        <f>IF('Resultado da inspeção'!O253='Resultado da inspeção'!$W$4,0%,Ranking!K$5)</f>
        <v>0.06</v>
      </c>
      <c r="L253" s="48">
        <f>IF('Resultado da inspeção'!P253='Resultado da inspeção'!$W$4,0%,Ranking!L$5)</f>
        <v>0.08</v>
      </c>
      <c r="M253" s="48">
        <f>IF('Resultado da inspeção'!Q253='Resultado da inspeção'!$W$4,0%,Ranking!M$5)</f>
        <v>0.05</v>
      </c>
      <c r="N253" s="48">
        <f>IF('Resultado da inspeção'!R253='Resultado da inspeção'!$W$4,0%,Ranking!N$5)</f>
        <v>0.02</v>
      </c>
      <c r="O253" s="48">
        <f>IF('Resultado da inspeção'!S253='Resultado da inspeção'!$W$4,0%,Ranking!O$5)</f>
        <v>0.02</v>
      </c>
      <c r="P253" s="47">
        <f t="shared" si="55"/>
        <v>0.76000000000000012</v>
      </c>
      <c r="Q253" s="49">
        <f t="shared" si="70"/>
        <v>0.23999999999999988</v>
      </c>
      <c r="R253" s="50">
        <f t="shared" si="56"/>
        <v>2.6315789473684206E-2</v>
      </c>
      <c r="S253" s="50">
        <f t="shared" si="57"/>
        <v>3.9473684210526307E-2</v>
      </c>
      <c r="T253" s="50">
        <f t="shared" si="58"/>
        <v>3.9473684210526307E-2</v>
      </c>
      <c r="U253" s="50">
        <f t="shared" si="59"/>
        <v>0.13157894736842105</v>
      </c>
      <c r="V253" s="50">
        <f t="shared" si="60"/>
        <v>0.27631578947368418</v>
      </c>
      <c r="W253" s="50">
        <f t="shared" si="61"/>
        <v>6.5789473684210523E-2</v>
      </c>
      <c r="X253" s="50">
        <f t="shared" si="62"/>
        <v>0</v>
      </c>
      <c r="Y253" s="50">
        <f t="shared" si="63"/>
        <v>6.5789473684210523E-2</v>
      </c>
      <c r="Z253" s="50">
        <f t="shared" si="64"/>
        <v>5.2631578947368411E-2</v>
      </c>
      <c r="AA253" s="50">
        <f t="shared" si="65"/>
        <v>7.8947368421052613E-2</v>
      </c>
      <c r="AB253" s="50">
        <f t="shared" si="66"/>
        <v>0.10526315789473682</v>
      </c>
      <c r="AC253" s="50">
        <f t="shared" si="67"/>
        <v>6.5789473684210523E-2</v>
      </c>
      <c r="AD253" s="50">
        <f t="shared" si="68"/>
        <v>2.6315789473684206E-2</v>
      </c>
      <c r="AE253" s="50">
        <f t="shared" si="69"/>
        <v>2.6315789473684206E-2</v>
      </c>
      <c r="AF253" s="47">
        <f t="shared" si="71"/>
        <v>0.99999999999999978</v>
      </c>
      <c r="AG253" s="50">
        <f>IF('Resultado da inspeção'!F253='Resultado da inspeção'!$W$3,0%,Ranking!R253)</f>
        <v>2.6315789473684206E-2</v>
      </c>
      <c r="AH253" s="50">
        <f>IF('Resultado da inspeção'!G253='Resultado da inspeção'!$W$3,0%,Ranking!S253)</f>
        <v>3.9473684210526307E-2</v>
      </c>
      <c r="AI253" s="50">
        <f>IF('Resultado da inspeção'!H253='Resultado da inspeção'!$W$3,0%,Ranking!T253)</f>
        <v>3.9473684210526307E-2</v>
      </c>
      <c r="AJ253" s="50">
        <f>IF('Resultado da inspeção'!I253='Resultado da inspeção'!$W$3,0%,Ranking!U253)</f>
        <v>0.13157894736842105</v>
      </c>
      <c r="AK253" s="50">
        <f>IF('Resultado da inspeção'!J253='Resultado da inspeção'!$W$3,0%,Ranking!V253)</f>
        <v>0.27631578947368418</v>
      </c>
      <c r="AL253" s="50">
        <f>IF('Resultado da inspeção'!K253='Resultado da inspeção'!$W$3,0%,Ranking!W253)</f>
        <v>6.5789473684210523E-2</v>
      </c>
      <c r="AM253" s="50">
        <f>IF('Resultado da inspeção'!L253='Resultado da inspeção'!$W$3,0%,Ranking!X253)</f>
        <v>0</v>
      </c>
      <c r="AN253" s="50">
        <f>IF('Resultado da inspeção'!M253='Resultado da inspeção'!$W$3,0%,Ranking!Y253)</f>
        <v>6.5789473684210523E-2</v>
      </c>
      <c r="AO253" s="50">
        <f>IF('Resultado da inspeção'!N253='Resultado da inspeção'!$W$3,0%,Ranking!Z253)</f>
        <v>5.2631578947368411E-2</v>
      </c>
      <c r="AP253" s="50">
        <f>IF('Resultado da inspeção'!O253='Resultado da inspeção'!$W$3,0%,Ranking!AA253)</f>
        <v>7.8947368421052613E-2</v>
      </c>
      <c r="AQ253" s="50">
        <f>IF('Resultado da inspeção'!P253='Resultado da inspeção'!$W$3,0%,Ranking!AB253)</f>
        <v>0.10526315789473682</v>
      </c>
      <c r="AR253" s="50">
        <f>IF('Resultado da inspeção'!Q253='Resultado da inspeção'!$W$3,0%,Ranking!AC253)</f>
        <v>6.5789473684210523E-2</v>
      </c>
      <c r="AS253" s="50">
        <f>IF('Resultado da inspeção'!R253='Resultado da inspeção'!$W$3,0%,Ranking!AD253)</f>
        <v>2.6315789473684206E-2</v>
      </c>
      <c r="AT253" s="50">
        <f>IF('Resultado da inspeção'!S253='Resultado da inspeção'!$W$3,0%,Ranking!AE253)</f>
        <v>2.6315789473684206E-2</v>
      </c>
      <c r="AU253" s="49">
        <f t="shared" si="72"/>
        <v>0.99999999999999978</v>
      </c>
    </row>
    <row r="254" spans="2:47" x14ac:dyDescent="0.25">
      <c r="B254" s="48">
        <f>IF('Resultado da inspeção'!F254='Resultado da inspeção'!$W$4,0%,Ranking!B$5)</f>
        <v>0.02</v>
      </c>
      <c r="C254" s="48">
        <f>IF('Resultado da inspeção'!G254='Resultado da inspeção'!$W$4,0%,Ranking!C$5)</f>
        <v>0.03</v>
      </c>
      <c r="D254" s="48">
        <f>IF('Resultado da inspeção'!H254='Resultado da inspeção'!$W$4,0%,Ranking!D$5)</f>
        <v>0.03</v>
      </c>
      <c r="E254" s="48">
        <f>IF('Resultado da inspeção'!I254='Resultado da inspeção'!$W$4,0%,Ranking!E$5)</f>
        <v>0.1</v>
      </c>
      <c r="F254" s="48">
        <f>IF('Resultado da inspeção'!J254='Resultado da inspeção'!$W$4,0%,Ranking!F$5)</f>
        <v>0.21</v>
      </c>
      <c r="G254" s="48">
        <f>IF('Resultado da inspeção'!K254='Resultado da inspeção'!$W$4,0%,Ranking!G$5)</f>
        <v>0.05</v>
      </c>
      <c r="H254" s="48">
        <f>IF('Resultado da inspeção'!L254='Resultado da inspeção'!$W$4,0%,Ranking!H$5)</f>
        <v>0</v>
      </c>
      <c r="I254" s="48">
        <f>IF('Resultado da inspeção'!M254='Resultado da inspeção'!$W$4,0%,Ranking!I$5)</f>
        <v>0.05</v>
      </c>
      <c r="J254" s="48">
        <f>IF('Resultado da inspeção'!N254='Resultado da inspeção'!$W$4,0%,Ranking!J$5)</f>
        <v>0.04</v>
      </c>
      <c r="K254" s="48">
        <f>IF('Resultado da inspeção'!O254='Resultado da inspeção'!$W$4,0%,Ranking!K$5)</f>
        <v>0.06</v>
      </c>
      <c r="L254" s="48">
        <f>IF('Resultado da inspeção'!P254='Resultado da inspeção'!$W$4,0%,Ranking!L$5)</f>
        <v>0.08</v>
      </c>
      <c r="M254" s="48">
        <f>IF('Resultado da inspeção'!Q254='Resultado da inspeção'!$W$4,0%,Ranking!M$5)</f>
        <v>0.05</v>
      </c>
      <c r="N254" s="48">
        <f>IF('Resultado da inspeção'!R254='Resultado da inspeção'!$W$4,0%,Ranking!N$5)</f>
        <v>0.02</v>
      </c>
      <c r="O254" s="48">
        <f>IF('Resultado da inspeção'!S254='Resultado da inspeção'!$W$4,0%,Ranking!O$5)</f>
        <v>0.02</v>
      </c>
      <c r="P254" s="47">
        <f t="shared" si="55"/>
        <v>0.76000000000000012</v>
      </c>
      <c r="Q254" s="49">
        <f t="shared" si="70"/>
        <v>0.23999999999999988</v>
      </c>
      <c r="R254" s="50">
        <f t="shared" si="56"/>
        <v>2.6315789473684206E-2</v>
      </c>
      <c r="S254" s="50">
        <f t="shared" si="57"/>
        <v>3.9473684210526307E-2</v>
      </c>
      <c r="T254" s="50">
        <f t="shared" si="58"/>
        <v>3.9473684210526307E-2</v>
      </c>
      <c r="U254" s="50">
        <f t="shared" si="59"/>
        <v>0.13157894736842105</v>
      </c>
      <c r="V254" s="50">
        <f t="shared" si="60"/>
        <v>0.27631578947368418</v>
      </c>
      <c r="W254" s="50">
        <f t="shared" si="61"/>
        <v>6.5789473684210523E-2</v>
      </c>
      <c r="X254" s="50">
        <f t="shared" si="62"/>
        <v>0</v>
      </c>
      <c r="Y254" s="50">
        <f t="shared" si="63"/>
        <v>6.5789473684210523E-2</v>
      </c>
      <c r="Z254" s="50">
        <f t="shared" si="64"/>
        <v>5.2631578947368411E-2</v>
      </c>
      <c r="AA254" s="50">
        <f t="shared" si="65"/>
        <v>7.8947368421052613E-2</v>
      </c>
      <c r="AB254" s="50">
        <f t="shared" si="66"/>
        <v>0.10526315789473682</v>
      </c>
      <c r="AC254" s="50">
        <f t="shared" si="67"/>
        <v>6.5789473684210523E-2</v>
      </c>
      <c r="AD254" s="50">
        <f t="shared" si="68"/>
        <v>2.6315789473684206E-2</v>
      </c>
      <c r="AE254" s="50">
        <f t="shared" si="69"/>
        <v>2.6315789473684206E-2</v>
      </c>
      <c r="AF254" s="47">
        <f t="shared" si="71"/>
        <v>0.99999999999999978</v>
      </c>
      <c r="AG254" s="50">
        <f>IF('Resultado da inspeção'!F254='Resultado da inspeção'!$W$3,0%,Ranking!R254)</f>
        <v>2.6315789473684206E-2</v>
      </c>
      <c r="AH254" s="50">
        <f>IF('Resultado da inspeção'!G254='Resultado da inspeção'!$W$3,0%,Ranking!S254)</f>
        <v>3.9473684210526307E-2</v>
      </c>
      <c r="AI254" s="50">
        <f>IF('Resultado da inspeção'!H254='Resultado da inspeção'!$W$3,0%,Ranking!T254)</f>
        <v>3.9473684210526307E-2</v>
      </c>
      <c r="AJ254" s="50">
        <f>IF('Resultado da inspeção'!I254='Resultado da inspeção'!$W$3,0%,Ranking!U254)</f>
        <v>0.13157894736842105</v>
      </c>
      <c r="AK254" s="50">
        <f>IF('Resultado da inspeção'!J254='Resultado da inspeção'!$W$3,0%,Ranking!V254)</f>
        <v>0.27631578947368418</v>
      </c>
      <c r="AL254" s="50">
        <f>IF('Resultado da inspeção'!K254='Resultado da inspeção'!$W$3,0%,Ranking!W254)</f>
        <v>6.5789473684210523E-2</v>
      </c>
      <c r="AM254" s="50">
        <f>IF('Resultado da inspeção'!L254='Resultado da inspeção'!$W$3,0%,Ranking!X254)</f>
        <v>0</v>
      </c>
      <c r="AN254" s="50">
        <f>IF('Resultado da inspeção'!M254='Resultado da inspeção'!$W$3,0%,Ranking!Y254)</f>
        <v>6.5789473684210523E-2</v>
      </c>
      <c r="AO254" s="50">
        <f>IF('Resultado da inspeção'!N254='Resultado da inspeção'!$W$3,0%,Ranking!Z254)</f>
        <v>5.2631578947368411E-2</v>
      </c>
      <c r="AP254" s="50">
        <f>IF('Resultado da inspeção'!O254='Resultado da inspeção'!$W$3,0%,Ranking!AA254)</f>
        <v>7.8947368421052613E-2</v>
      </c>
      <c r="AQ254" s="50">
        <f>IF('Resultado da inspeção'!P254='Resultado da inspeção'!$W$3,0%,Ranking!AB254)</f>
        <v>0.10526315789473682</v>
      </c>
      <c r="AR254" s="50">
        <f>IF('Resultado da inspeção'!Q254='Resultado da inspeção'!$W$3,0%,Ranking!AC254)</f>
        <v>6.5789473684210523E-2</v>
      </c>
      <c r="AS254" s="50">
        <f>IF('Resultado da inspeção'!R254='Resultado da inspeção'!$W$3,0%,Ranking!AD254)</f>
        <v>2.6315789473684206E-2</v>
      </c>
      <c r="AT254" s="50">
        <f>IF('Resultado da inspeção'!S254='Resultado da inspeção'!$W$3,0%,Ranking!AE254)</f>
        <v>2.6315789473684206E-2</v>
      </c>
      <c r="AU254" s="49">
        <f t="shared" si="72"/>
        <v>0.99999999999999978</v>
      </c>
    </row>
    <row r="255" spans="2:47" x14ac:dyDescent="0.25">
      <c r="B255" s="48">
        <f>IF('Resultado da inspeção'!F255='Resultado da inspeção'!$W$4,0%,Ranking!B$5)</f>
        <v>0.02</v>
      </c>
      <c r="C255" s="48">
        <f>IF('Resultado da inspeção'!G255='Resultado da inspeção'!$W$4,0%,Ranking!C$5)</f>
        <v>0.03</v>
      </c>
      <c r="D255" s="48">
        <f>IF('Resultado da inspeção'!H255='Resultado da inspeção'!$W$4,0%,Ranking!D$5)</f>
        <v>0.03</v>
      </c>
      <c r="E255" s="48">
        <f>IF('Resultado da inspeção'!I255='Resultado da inspeção'!$W$4,0%,Ranking!E$5)</f>
        <v>0.1</v>
      </c>
      <c r="F255" s="48">
        <f>IF('Resultado da inspeção'!J255='Resultado da inspeção'!$W$4,0%,Ranking!F$5)</f>
        <v>0.21</v>
      </c>
      <c r="G255" s="48">
        <f>IF('Resultado da inspeção'!K255='Resultado da inspeção'!$W$4,0%,Ranking!G$5)</f>
        <v>0.05</v>
      </c>
      <c r="H255" s="48">
        <f>IF('Resultado da inspeção'!L255='Resultado da inspeção'!$W$4,0%,Ranking!H$5)</f>
        <v>0</v>
      </c>
      <c r="I255" s="48">
        <f>IF('Resultado da inspeção'!M255='Resultado da inspeção'!$W$4,0%,Ranking!I$5)</f>
        <v>0.05</v>
      </c>
      <c r="J255" s="48">
        <f>IF('Resultado da inspeção'!N255='Resultado da inspeção'!$W$4,0%,Ranking!J$5)</f>
        <v>0.04</v>
      </c>
      <c r="K255" s="48">
        <f>IF('Resultado da inspeção'!O255='Resultado da inspeção'!$W$4,0%,Ranking!K$5)</f>
        <v>0.06</v>
      </c>
      <c r="L255" s="48">
        <f>IF('Resultado da inspeção'!P255='Resultado da inspeção'!$W$4,0%,Ranking!L$5)</f>
        <v>0.08</v>
      </c>
      <c r="M255" s="48">
        <f>IF('Resultado da inspeção'!Q255='Resultado da inspeção'!$W$4,0%,Ranking!M$5)</f>
        <v>0.05</v>
      </c>
      <c r="N255" s="48">
        <f>IF('Resultado da inspeção'!R255='Resultado da inspeção'!$W$4,0%,Ranking!N$5)</f>
        <v>0.02</v>
      </c>
      <c r="O255" s="48">
        <f>IF('Resultado da inspeção'!S255='Resultado da inspeção'!$W$4,0%,Ranking!O$5)</f>
        <v>0.02</v>
      </c>
      <c r="P255" s="47">
        <f t="shared" si="55"/>
        <v>0.76000000000000012</v>
      </c>
      <c r="Q255" s="49">
        <f t="shared" si="70"/>
        <v>0.23999999999999988</v>
      </c>
      <c r="R255" s="50">
        <f t="shared" si="56"/>
        <v>2.6315789473684206E-2</v>
      </c>
      <c r="S255" s="50">
        <f t="shared" si="57"/>
        <v>3.9473684210526307E-2</v>
      </c>
      <c r="T255" s="50">
        <f t="shared" si="58"/>
        <v>3.9473684210526307E-2</v>
      </c>
      <c r="U255" s="50">
        <f t="shared" si="59"/>
        <v>0.13157894736842105</v>
      </c>
      <c r="V255" s="50">
        <f t="shared" si="60"/>
        <v>0.27631578947368418</v>
      </c>
      <c r="W255" s="50">
        <f t="shared" si="61"/>
        <v>6.5789473684210523E-2</v>
      </c>
      <c r="X255" s="50">
        <f t="shared" si="62"/>
        <v>0</v>
      </c>
      <c r="Y255" s="50">
        <f t="shared" si="63"/>
        <v>6.5789473684210523E-2</v>
      </c>
      <c r="Z255" s="50">
        <f t="shared" si="64"/>
        <v>5.2631578947368411E-2</v>
      </c>
      <c r="AA255" s="50">
        <f t="shared" si="65"/>
        <v>7.8947368421052613E-2</v>
      </c>
      <c r="AB255" s="50">
        <f t="shared" si="66"/>
        <v>0.10526315789473682</v>
      </c>
      <c r="AC255" s="50">
        <f t="shared" si="67"/>
        <v>6.5789473684210523E-2</v>
      </c>
      <c r="AD255" s="50">
        <f t="shared" si="68"/>
        <v>2.6315789473684206E-2</v>
      </c>
      <c r="AE255" s="50">
        <f t="shared" si="69"/>
        <v>2.6315789473684206E-2</v>
      </c>
      <c r="AF255" s="47">
        <f t="shared" si="71"/>
        <v>0.99999999999999978</v>
      </c>
      <c r="AG255" s="50">
        <f>IF('Resultado da inspeção'!F255='Resultado da inspeção'!$W$3,0%,Ranking!R255)</f>
        <v>2.6315789473684206E-2</v>
      </c>
      <c r="AH255" s="50">
        <f>IF('Resultado da inspeção'!G255='Resultado da inspeção'!$W$3,0%,Ranking!S255)</f>
        <v>3.9473684210526307E-2</v>
      </c>
      <c r="AI255" s="50">
        <f>IF('Resultado da inspeção'!H255='Resultado da inspeção'!$W$3,0%,Ranking!T255)</f>
        <v>3.9473684210526307E-2</v>
      </c>
      <c r="AJ255" s="50">
        <f>IF('Resultado da inspeção'!I255='Resultado da inspeção'!$W$3,0%,Ranking!U255)</f>
        <v>0.13157894736842105</v>
      </c>
      <c r="AK255" s="50">
        <f>IF('Resultado da inspeção'!J255='Resultado da inspeção'!$W$3,0%,Ranking!V255)</f>
        <v>0.27631578947368418</v>
      </c>
      <c r="AL255" s="50">
        <f>IF('Resultado da inspeção'!K255='Resultado da inspeção'!$W$3,0%,Ranking!W255)</f>
        <v>6.5789473684210523E-2</v>
      </c>
      <c r="AM255" s="50">
        <f>IF('Resultado da inspeção'!L255='Resultado da inspeção'!$W$3,0%,Ranking!X255)</f>
        <v>0</v>
      </c>
      <c r="AN255" s="50">
        <f>IF('Resultado da inspeção'!M255='Resultado da inspeção'!$W$3,0%,Ranking!Y255)</f>
        <v>6.5789473684210523E-2</v>
      </c>
      <c r="AO255" s="50">
        <f>IF('Resultado da inspeção'!N255='Resultado da inspeção'!$W$3,0%,Ranking!Z255)</f>
        <v>5.2631578947368411E-2</v>
      </c>
      <c r="AP255" s="50">
        <f>IF('Resultado da inspeção'!O255='Resultado da inspeção'!$W$3,0%,Ranking!AA255)</f>
        <v>7.8947368421052613E-2</v>
      </c>
      <c r="AQ255" s="50">
        <f>IF('Resultado da inspeção'!P255='Resultado da inspeção'!$W$3,0%,Ranking!AB255)</f>
        <v>0.10526315789473682</v>
      </c>
      <c r="AR255" s="50">
        <f>IF('Resultado da inspeção'!Q255='Resultado da inspeção'!$W$3,0%,Ranking!AC255)</f>
        <v>6.5789473684210523E-2</v>
      </c>
      <c r="AS255" s="50">
        <f>IF('Resultado da inspeção'!R255='Resultado da inspeção'!$W$3,0%,Ranking!AD255)</f>
        <v>2.6315789473684206E-2</v>
      </c>
      <c r="AT255" s="50">
        <f>IF('Resultado da inspeção'!S255='Resultado da inspeção'!$W$3,0%,Ranking!AE255)</f>
        <v>2.6315789473684206E-2</v>
      </c>
      <c r="AU255" s="49">
        <f t="shared" si="72"/>
        <v>0.99999999999999978</v>
      </c>
    </row>
    <row r="256" spans="2:47" x14ac:dyDescent="0.25">
      <c r="B256" s="48">
        <f>IF('Resultado da inspeção'!F256='Resultado da inspeção'!$W$4,0%,Ranking!B$5)</f>
        <v>0.02</v>
      </c>
      <c r="C256" s="48">
        <f>IF('Resultado da inspeção'!G256='Resultado da inspeção'!$W$4,0%,Ranking!C$5)</f>
        <v>0.03</v>
      </c>
      <c r="D256" s="48">
        <f>IF('Resultado da inspeção'!H256='Resultado da inspeção'!$W$4,0%,Ranking!D$5)</f>
        <v>0.03</v>
      </c>
      <c r="E256" s="48">
        <f>IF('Resultado da inspeção'!I256='Resultado da inspeção'!$W$4,0%,Ranking!E$5)</f>
        <v>0.1</v>
      </c>
      <c r="F256" s="48">
        <f>IF('Resultado da inspeção'!J256='Resultado da inspeção'!$W$4,0%,Ranking!F$5)</f>
        <v>0.21</v>
      </c>
      <c r="G256" s="48">
        <f>IF('Resultado da inspeção'!K256='Resultado da inspeção'!$W$4,0%,Ranking!G$5)</f>
        <v>0.05</v>
      </c>
      <c r="H256" s="48">
        <f>IF('Resultado da inspeção'!L256='Resultado da inspeção'!$W$4,0%,Ranking!H$5)</f>
        <v>0</v>
      </c>
      <c r="I256" s="48">
        <f>IF('Resultado da inspeção'!M256='Resultado da inspeção'!$W$4,0%,Ranking!I$5)</f>
        <v>0</v>
      </c>
      <c r="J256" s="48">
        <f>IF('Resultado da inspeção'!N256='Resultado da inspeção'!$W$4,0%,Ranking!J$5)</f>
        <v>0</v>
      </c>
      <c r="K256" s="48">
        <f>IF('Resultado da inspeção'!O256='Resultado da inspeção'!$W$4,0%,Ranking!K$5)</f>
        <v>0.06</v>
      </c>
      <c r="L256" s="48">
        <f>IF('Resultado da inspeção'!P256='Resultado da inspeção'!$W$4,0%,Ranking!L$5)</f>
        <v>0.08</v>
      </c>
      <c r="M256" s="48">
        <f>IF('Resultado da inspeção'!Q256='Resultado da inspeção'!$W$4,0%,Ranking!M$5)</f>
        <v>0.05</v>
      </c>
      <c r="N256" s="48">
        <f>IF('Resultado da inspeção'!R256='Resultado da inspeção'!$W$4,0%,Ranking!N$5)</f>
        <v>0.02</v>
      </c>
      <c r="O256" s="48">
        <f>IF('Resultado da inspeção'!S256='Resultado da inspeção'!$W$4,0%,Ranking!O$5)</f>
        <v>0.02</v>
      </c>
      <c r="P256" s="47">
        <f t="shared" si="55"/>
        <v>0.67</v>
      </c>
      <c r="Q256" s="49">
        <f t="shared" si="70"/>
        <v>0.32999999999999996</v>
      </c>
      <c r="R256" s="50">
        <f t="shared" si="56"/>
        <v>2.9850746268656716E-2</v>
      </c>
      <c r="S256" s="50">
        <f t="shared" si="57"/>
        <v>4.4776119402985072E-2</v>
      </c>
      <c r="T256" s="50">
        <f t="shared" si="58"/>
        <v>4.4776119402985072E-2</v>
      </c>
      <c r="U256" s="50">
        <f t="shared" si="59"/>
        <v>0.14925373134328357</v>
      </c>
      <c r="V256" s="50">
        <f t="shared" si="60"/>
        <v>0.31343283582089548</v>
      </c>
      <c r="W256" s="50">
        <f t="shared" si="61"/>
        <v>7.4626865671641784E-2</v>
      </c>
      <c r="X256" s="50">
        <f t="shared" si="62"/>
        <v>0</v>
      </c>
      <c r="Y256" s="50">
        <f t="shared" si="63"/>
        <v>0</v>
      </c>
      <c r="Z256" s="50">
        <f t="shared" si="64"/>
        <v>0</v>
      </c>
      <c r="AA256" s="50">
        <f t="shared" si="65"/>
        <v>8.9552238805970144E-2</v>
      </c>
      <c r="AB256" s="50">
        <f t="shared" si="66"/>
        <v>0.11940298507462686</v>
      </c>
      <c r="AC256" s="50">
        <f t="shared" si="67"/>
        <v>7.4626865671641784E-2</v>
      </c>
      <c r="AD256" s="50">
        <f t="shared" si="68"/>
        <v>2.9850746268656716E-2</v>
      </c>
      <c r="AE256" s="50">
        <f t="shared" si="69"/>
        <v>2.9850746268656716E-2</v>
      </c>
      <c r="AF256" s="47">
        <f t="shared" si="71"/>
        <v>0.99999999999999989</v>
      </c>
      <c r="AG256" s="50">
        <f>IF('Resultado da inspeção'!F256='Resultado da inspeção'!$W$3,0%,Ranking!R256)</f>
        <v>2.9850746268656716E-2</v>
      </c>
      <c r="AH256" s="50">
        <f>IF('Resultado da inspeção'!G256='Resultado da inspeção'!$W$3,0%,Ranking!S256)</f>
        <v>4.4776119402985072E-2</v>
      </c>
      <c r="AI256" s="50">
        <f>IF('Resultado da inspeção'!H256='Resultado da inspeção'!$W$3,0%,Ranking!T256)</f>
        <v>4.4776119402985072E-2</v>
      </c>
      <c r="AJ256" s="50">
        <f>IF('Resultado da inspeção'!I256='Resultado da inspeção'!$W$3,0%,Ranking!U256)</f>
        <v>0.14925373134328357</v>
      </c>
      <c r="AK256" s="50">
        <f>IF('Resultado da inspeção'!J256='Resultado da inspeção'!$W$3,0%,Ranking!V256)</f>
        <v>0</v>
      </c>
      <c r="AL256" s="50">
        <f>IF('Resultado da inspeção'!K256='Resultado da inspeção'!$W$3,0%,Ranking!W256)</f>
        <v>0</v>
      </c>
      <c r="AM256" s="50">
        <f>IF('Resultado da inspeção'!L256='Resultado da inspeção'!$W$3,0%,Ranking!X256)</f>
        <v>0</v>
      </c>
      <c r="AN256" s="50">
        <f>IF('Resultado da inspeção'!M256='Resultado da inspeção'!$W$3,0%,Ranking!Y256)</f>
        <v>0</v>
      </c>
      <c r="AO256" s="50">
        <f>IF('Resultado da inspeção'!N256='Resultado da inspeção'!$W$3,0%,Ranking!Z256)</f>
        <v>0</v>
      </c>
      <c r="AP256" s="50">
        <f>IF('Resultado da inspeção'!O256='Resultado da inspeção'!$W$3,0%,Ranking!AA256)</f>
        <v>8.9552238805970144E-2</v>
      </c>
      <c r="AQ256" s="50">
        <f>IF('Resultado da inspeção'!P256='Resultado da inspeção'!$W$3,0%,Ranking!AB256)</f>
        <v>0.11940298507462686</v>
      </c>
      <c r="AR256" s="50">
        <f>IF('Resultado da inspeção'!Q256='Resultado da inspeção'!$W$3,0%,Ranking!AC256)</f>
        <v>7.4626865671641784E-2</v>
      </c>
      <c r="AS256" s="50">
        <f>IF('Resultado da inspeção'!R256='Resultado da inspeção'!$W$3,0%,Ranking!AD256)</f>
        <v>2.9850746268656716E-2</v>
      </c>
      <c r="AT256" s="50">
        <f>IF('Resultado da inspeção'!S256='Resultado da inspeção'!$W$3,0%,Ranking!AE256)</f>
        <v>2.9850746268656716E-2</v>
      </c>
      <c r="AU256" s="49">
        <f t="shared" si="72"/>
        <v>0.61194029850746268</v>
      </c>
    </row>
    <row r="257" spans="2:47" x14ac:dyDescent="0.25">
      <c r="B257" s="48">
        <f>IF('Resultado da inspeção'!F257='Resultado da inspeção'!$W$4,0%,Ranking!B$5)</f>
        <v>0.02</v>
      </c>
      <c r="C257" s="48">
        <f>IF('Resultado da inspeção'!G257='Resultado da inspeção'!$W$4,0%,Ranking!C$5)</f>
        <v>0.03</v>
      </c>
      <c r="D257" s="48">
        <f>IF('Resultado da inspeção'!H257='Resultado da inspeção'!$W$4,0%,Ranking!D$5)</f>
        <v>0.03</v>
      </c>
      <c r="E257" s="48">
        <f>IF('Resultado da inspeção'!I257='Resultado da inspeção'!$W$4,0%,Ranking!E$5)</f>
        <v>0.1</v>
      </c>
      <c r="F257" s="48">
        <f>IF('Resultado da inspeção'!J257='Resultado da inspeção'!$W$4,0%,Ranking!F$5)</f>
        <v>0.21</v>
      </c>
      <c r="G257" s="48">
        <f>IF('Resultado da inspeção'!K257='Resultado da inspeção'!$W$4,0%,Ranking!G$5)</f>
        <v>0.05</v>
      </c>
      <c r="H257" s="48">
        <f>IF('Resultado da inspeção'!L257='Resultado da inspeção'!$W$4,0%,Ranking!H$5)</f>
        <v>0</v>
      </c>
      <c r="I257" s="48">
        <f>IF('Resultado da inspeção'!M257='Resultado da inspeção'!$W$4,0%,Ranking!I$5)</f>
        <v>0</v>
      </c>
      <c r="J257" s="48">
        <f>IF('Resultado da inspeção'!N257='Resultado da inspeção'!$W$4,0%,Ranking!J$5)</f>
        <v>0</v>
      </c>
      <c r="K257" s="48">
        <f>IF('Resultado da inspeção'!O257='Resultado da inspeção'!$W$4,0%,Ranking!K$5)</f>
        <v>0.06</v>
      </c>
      <c r="L257" s="48">
        <f>IF('Resultado da inspeção'!P257='Resultado da inspeção'!$W$4,0%,Ranking!L$5)</f>
        <v>0.08</v>
      </c>
      <c r="M257" s="48">
        <f>IF('Resultado da inspeção'!Q257='Resultado da inspeção'!$W$4,0%,Ranking!M$5)</f>
        <v>0.05</v>
      </c>
      <c r="N257" s="48">
        <f>IF('Resultado da inspeção'!R257='Resultado da inspeção'!$W$4,0%,Ranking!N$5)</f>
        <v>0.02</v>
      </c>
      <c r="O257" s="48">
        <f>IF('Resultado da inspeção'!S257='Resultado da inspeção'!$W$4,0%,Ranking!O$5)</f>
        <v>0.02</v>
      </c>
      <c r="P257" s="47">
        <f t="shared" si="55"/>
        <v>0.67</v>
      </c>
      <c r="Q257" s="49">
        <f t="shared" si="70"/>
        <v>0.32999999999999996</v>
      </c>
      <c r="R257" s="50">
        <f t="shared" si="56"/>
        <v>2.9850746268656716E-2</v>
      </c>
      <c r="S257" s="50">
        <f t="shared" si="57"/>
        <v>4.4776119402985072E-2</v>
      </c>
      <c r="T257" s="50">
        <f t="shared" si="58"/>
        <v>4.4776119402985072E-2</v>
      </c>
      <c r="U257" s="50">
        <f t="shared" si="59"/>
        <v>0.14925373134328357</v>
      </c>
      <c r="V257" s="50">
        <f t="shared" si="60"/>
        <v>0.31343283582089548</v>
      </c>
      <c r="W257" s="50">
        <f t="shared" si="61"/>
        <v>7.4626865671641784E-2</v>
      </c>
      <c r="X257" s="50">
        <f t="shared" si="62"/>
        <v>0</v>
      </c>
      <c r="Y257" s="50">
        <f t="shared" si="63"/>
        <v>0</v>
      </c>
      <c r="Z257" s="50">
        <f t="shared" si="64"/>
        <v>0</v>
      </c>
      <c r="AA257" s="50">
        <f t="shared" si="65"/>
        <v>8.9552238805970144E-2</v>
      </c>
      <c r="AB257" s="50">
        <f t="shared" si="66"/>
        <v>0.11940298507462686</v>
      </c>
      <c r="AC257" s="50">
        <f t="shared" si="67"/>
        <v>7.4626865671641784E-2</v>
      </c>
      <c r="AD257" s="50">
        <f t="shared" si="68"/>
        <v>2.9850746268656716E-2</v>
      </c>
      <c r="AE257" s="50">
        <f t="shared" si="69"/>
        <v>2.9850746268656716E-2</v>
      </c>
      <c r="AF257" s="47">
        <f t="shared" si="71"/>
        <v>0.99999999999999989</v>
      </c>
      <c r="AG257" s="50">
        <f>IF('Resultado da inspeção'!F257='Resultado da inspeção'!$W$3,0%,Ranking!R257)</f>
        <v>2.9850746268656716E-2</v>
      </c>
      <c r="AH257" s="50">
        <f>IF('Resultado da inspeção'!G257='Resultado da inspeção'!$W$3,0%,Ranking!S257)</f>
        <v>4.4776119402985072E-2</v>
      </c>
      <c r="AI257" s="50">
        <f>IF('Resultado da inspeção'!H257='Resultado da inspeção'!$W$3,0%,Ranking!T257)</f>
        <v>4.4776119402985072E-2</v>
      </c>
      <c r="AJ257" s="50">
        <f>IF('Resultado da inspeção'!I257='Resultado da inspeção'!$W$3,0%,Ranking!U257)</f>
        <v>0.14925373134328357</v>
      </c>
      <c r="AK257" s="50">
        <f>IF('Resultado da inspeção'!J257='Resultado da inspeção'!$W$3,0%,Ranking!V257)</f>
        <v>0</v>
      </c>
      <c r="AL257" s="50">
        <f>IF('Resultado da inspeção'!K257='Resultado da inspeção'!$W$3,0%,Ranking!W257)</f>
        <v>0</v>
      </c>
      <c r="AM257" s="50">
        <f>IF('Resultado da inspeção'!L257='Resultado da inspeção'!$W$3,0%,Ranking!X257)</f>
        <v>0</v>
      </c>
      <c r="AN257" s="50">
        <f>IF('Resultado da inspeção'!M257='Resultado da inspeção'!$W$3,0%,Ranking!Y257)</f>
        <v>0</v>
      </c>
      <c r="AO257" s="50">
        <f>IF('Resultado da inspeção'!N257='Resultado da inspeção'!$W$3,0%,Ranking!Z257)</f>
        <v>0</v>
      </c>
      <c r="AP257" s="50">
        <f>IF('Resultado da inspeção'!O257='Resultado da inspeção'!$W$3,0%,Ranking!AA257)</f>
        <v>8.9552238805970144E-2</v>
      </c>
      <c r="AQ257" s="50">
        <f>IF('Resultado da inspeção'!P257='Resultado da inspeção'!$W$3,0%,Ranking!AB257)</f>
        <v>0.11940298507462686</v>
      </c>
      <c r="AR257" s="50">
        <f>IF('Resultado da inspeção'!Q257='Resultado da inspeção'!$W$3,0%,Ranking!AC257)</f>
        <v>7.4626865671641784E-2</v>
      </c>
      <c r="AS257" s="50">
        <f>IF('Resultado da inspeção'!R257='Resultado da inspeção'!$W$3,0%,Ranking!AD257)</f>
        <v>2.9850746268656716E-2</v>
      </c>
      <c r="AT257" s="50">
        <f>IF('Resultado da inspeção'!S257='Resultado da inspeção'!$W$3,0%,Ranking!AE257)</f>
        <v>2.9850746268656716E-2</v>
      </c>
      <c r="AU257" s="49">
        <f t="shared" si="72"/>
        <v>0.61194029850746268</v>
      </c>
    </row>
    <row r="258" spans="2:47" x14ac:dyDescent="0.25">
      <c r="B258" s="48">
        <f>IF('Resultado da inspeção'!F258='Resultado da inspeção'!$W$4,0%,Ranking!B$5)</f>
        <v>0.02</v>
      </c>
      <c r="C258" s="48">
        <f>IF('Resultado da inspeção'!G258='Resultado da inspeção'!$W$4,0%,Ranking!C$5)</f>
        <v>0.03</v>
      </c>
      <c r="D258" s="48">
        <f>IF('Resultado da inspeção'!H258='Resultado da inspeção'!$W$4,0%,Ranking!D$5)</f>
        <v>0.03</v>
      </c>
      <c r="E258" s="48">
        <f>IF('Resultado da inspeção'!I258='Resultado da inspeção'!$W$4,0%,Ranking!E$5)</f>
        <v>0</v>
      </c>
      <c r="F258" s="48">
        <f>IF('Resultado da inspeção'!J258='Resultado da inspeção'!$W$4,0%,Ranking!F$5)</f>
        <v>0.21</v>
      </c>
      <c r="G258" s="48">
        <f>IF('Resultado da inspeção'!K258='Resultado da inspeção'!$W$4,0%,Ranking!G$5)</f>
        <v>0.05</v>
      </c>
      <c r="H258" s="48">
        <f>IF('Resultado da inspeção'!L258='Resultado da inspeção'!$W$4,0%,Ranking!H$5)</f>
        <v>0</v>
      </c>
      <c r="I258" s="48">
        <f>IF('Resultado da inspeção'!M258='Resultado da inspeção'!$W$4,0%,Ranking!I$5)</f>
        <v>0</v>
      </c>
      <c r="J258" s="48">
        <f>IF('Resultado da inspeção'!N258='Resultado da inspeção'!$W$4,0%,Ranking!J$5)</f>
        <v>0</v>
      </c>
      <c r="K258" s="48">
        <f>IF('Resultado da inspeção'!O258='Resultado da inspeção'!$W$4,0%,Ranking!K$5)</f>
        <v>0.06</v>
      </c>
      <c r="L258" s="48">
        <f>IF('Resultado da inspeção'!P258='Resultado da inspeção'!$W$4,0%,Ranking!L$5)</f>
        <v>0.08</v>
      </c>
      <c r="M258" s="48">
        <f>IF('Resultado da inspeção'!Q258='Resultado da inspeção'!$W$4,0%,Ranking!M$5)</f>
        <v>0.05</v>
      </c>
      <c r="N258" s="48">
        <f>IF('Resultado da inspeção'!R258='Resultado da inspeção'!$W$4,0%,Ranking!N$5)</f>
        <v>0.02</v>
      </c>
      <c r="O258" s="48">
        <f>IF('Resultado da inspeção'!S258='Resultado da inspeção'!$W$4,0%,Ranking!O$5)</f>
        <v>0.02</v>
      </c>
      <c r="P258" s="47">
        <f t="shared" si="55"/>
        <v>0.57000000000000006</v>
      </c>
      <c r="Q258" s="49">
        <f t="shared" si="70"/>
        <v>0.42999999999999994</v>
      </c>
      <c r="R258" s="50">
        <f t="shared" si="56"/>
        <v>3.5087719298245612E-2</v>
      </c>
      <c r="S258" s="50">
        <f t="shared" si="57"/>
        <v>5.2631578947368411E-2</v>
      </c>
      <c r="T258" s="50">
        <f t="shared" si="58"/>
        <v>5.2631578947368411E-2</v>
      </c>
      <c r="U258" s="50">
        <f t="shared" si="59"/>
        <v>0</v>
      </c>
      <c r="V258" s="50">
        <f t="shared" si="60"/>
        <v>0.36842105263157887</v>
      </c>
      <c r="W258" s="50">
        <f t="shared" si="61"/>
        <v>8.771929824561403E-2</v>
      </c>
      <c r="X258" s="50">
        <f t="shared" si="62"/>
        <v>0</v>
      </c>
      <c r="Y258" s="50">
        <f t="shared" si="63"/>
        <v>0</v>
      </c>
      <c r="Z258" s="50">
        <f t="shared" si="64"/>
        <v>0</v>
      </c>
      <c r="AA258" s="50">
        <f t="shared" si="65"/>
        <v>0.10526315789473682</v>
      </c>
      <c r="AB258" s="50">
        <f t="shared" si="66"/>
        <v>0.14035087719298245</v>
      </c>
      <c r="AC258" s="50">
        <f t="shared" si="67"/>
        <v>8.771929824561403E-2</v>
      </c>
      <c r="AD258" s="50">
        <f t="shared" si="68"/>
        <v>3.5087719298245612E-2</v>
      </c>
      <c r="AE258" s="50">
        <f t="shared" si="69"/>
        <v>3.5087719298245612E-2</v>
      </c>
      <c r="AF258" s="47">
        <f t="shared" si="71"/>
        <v>0.99999999999999978</v>
      </c>
      <c r="AG258" s="50">
        <f>IF('Resultado da inspeção'!F258='Resultado da inspeção'!$W$3,0%,Ranking!R258)</f>
        <v>3.5087719298245612E-2</v>
      </c>
      <c r="AH258" s="50">
        <f>IF('Resultado da inspeção'!G258='Resultado da inspeção'!$W$3,0%,Ranking!S258)</f>
        <v>0</v>
      </c>
      <c r="AI258" s="50">
        <f>IF('Resultado da inspeção'!H258='Resultado da inspeção'!$W$3,0%,Ranking!T258)</f>
        <v>0</v>
      </c>
      <c r="AJ258" s="50">
        <f>IF('Resultado da inspeção'!I258='Resultado da inspeção'!$W$3,0%,Ranking!U258)</f>
        <v>0</v>
      </c>
      <c r="AK258" s="50">
        <f>IF('Resultado da inspeção'!J258='Resultado da inspeção'!$W$3,0%,Ranking!V258)</f>
        <v>0.36842105263157887</v>
      </c>
      <c r="AL258" s="50">
        <f>IF('Resultado da inspeção'!K258='Resultado da inspeção'!$W$3,0%,Ranking!W258)</f>
        <v>8.771929824561403E-2</v>
      </c>
      <c r="AM258" s="50">
        <f>IF('Resultado da inspeção'!L258='Resultado da inspeção'!$W$3,0%,Ranking!X258)</f>
        <v>0</v>
      </c>
      <c r="AN258" s="50">
        <f>IF('Resultado da inspeção'!M258='Resultado da inspeção'!$W$3,0%,Ranking!Y258)</f>
        <v>0</v>
      </c>
      <c r="AO258" s="50">
        <f>IF('Resultado da inspeção'!N258='Resultado da inspeção'!$W$3,0%,Ranking!Z258)</f>
        <v>0</v>
      </c>
      <c r="AP258" s="50">
        <f>IF('Resultado da inspeção'!O258='Resultado da inspeção'!$W$3,0%,Ranking!AA258)</f>
        <v>0.10526315789473682</v>
      </c>
      <c r="AQ258" s="50">
        <f>IF('Resultado da inspeção'!P258='Resultado da inspeção'!$W$3,0%,Ranking!AB258)</f>
        <v>0.14035087719298245</v>
      </c>
      <c r="AR258" s="50">
        <f>IF('Resultado da inspeção'!Q258='Resultado da inspeção'!$W$3,0%,Ranking!AC258)</f>
        <v>8.771929824561403E-2</v>
      </c>
      <c r="AS258" s="50">
        <f>IF('Resultado da inspeção'!R258='Resultado da inspeção'!$W$3,0%,Ranking!AD258)</f>
        <v>3.5087719298245612E-2</v>
      </c>
      <c r="AT258" s="50">
        <f>IF('Resultado da inspeção'!S258='Resultado da inspeção'!$W$3,0%,Ranking!AE258)</f>
        <v>3.5087719298245612E-2</v>
      </c>
      <c r="AU258" s="49">
        <f t="shared" si="72"/>
        <v>0.89473684210526305</v>
      </c>
    </row>
    <row r="259" spans="2:47" x14ac:dyDescent="0.25">
      <c r="B259" s="48">
        <f>IF('Resultado da inspeção'!F259='Resultado da inspeção'!$W$4,0%,Ranking!B$5)</f>
        <v>0.02</v>
      </c>
      <c r="C259" s="48">
        <f>IF('Resultado da inspeção'!G259='Resultado da inspeção'!$W$4,0%,Ranking!C$5)</f>
        <v>0.03</v>
      </c>
      <c r="D259" s="48">
        <f>IF('Resultado da inspeção'!H259='Resultado da inspeção'!$W$4,0%,Ranking!D$5)</f>
        <v>0.03</v>
      </c>
      <c r="E259" s="48">
        <f>IF('Resultado da inspeção'!I259='Resultado da inspeção'!$W$4,0%,Ranking!E$5)</f>
        <v>0.1</v>
      </c>
      <c r="F259" s="48">
        <f>IF('Resultado da inspeção'!J259='Resultado da inspeção'!$W$4,0%,Ranking!F$5)</f>
        <v>0.21</v>
      </c>
      <c r="G259" s="48">
        <f>IF('Resultado da inspeção'!K259='Resultado da inspeção'!$W$4,0%,Ranking!G$5)</f>
        <v>0.05</v>
      </c>
      <c r="H259" s="48">
        <f>IF('Resultado da inspeção'!L259='Resultado da inspeção'!$W$4,0%,Ranking!H$5)</f>
        <v>0.24</v>
      </c>
      <c r="I259" s="48">
        <f>IF('Resultado da inspeção'!M259='Resultado da inspeção'!$W$4,0%,Ranking!I$5)</f>
        <v>0</v>
      </c>
      <c r="J259" s="48">
        <f>IF('Resultado da inspeção'!N259='Resultado da inspeção'!$W$4,0%,Ranking!J$5)</f>
        <v>0</v>
      </c>
      <c r="K259" s="48">
        <f>IF('Resultado da inspeção'!O259='Resultado da inspeção'!$W$4,0%,Ranking!K$5)</f>
        <v>0.06</v>
      </c>
      <c r="L259" s="48">
        <f>IF('Resultado da inspeção'!P259='Resultado da inspeção'!$W$4,0%,Ranking!L$5)</f>
        <v>0.08</v>
      </c>
      <c r="M259" s="48">
        <f>IF('Resultado da inspeção'!Q259='Resultado da inspeção'!$W$4,0%,Ranking!M$5)</f>
        <v>0.05</v>
      </c>
      <c r="N259" s="48">
        <f>IF('Resultado da inspeção'!R259='Resultado da inspeção'!$W$4,0%,Ranking!N$5)</f>
        <v>0.02</v>
      </c>
      <c r="O259" s="48">
        <f>IF('Resultado da inspeção'!S259='Resultado da inspeção'!$W$4,0%,Ranking!O$5)</f>
        <v>0.02</v>
      </c>
      <c r="P259" s="47">
        <f t="shared" si="55"/>
        <v>0.91</v>
      </c>
      <c r="Q259" s="49">
        <f t="shared" si="70"/>
        <v>8.9999999999999969E-2</v>
      </c>
      <c r="R259" s="50">
        <f t="shared" si="56"/>
        <v>2.1978021978021976E-2</v>
      </c>
      <c r="S259" s="50">
        <f t="shared" si="57"/>
        <v>3.2967032967032968E-2</v>
      </c>
      <c r="T259" s="50">
        <f t="shared" si="58"/>
        <v>3.2967032967032968E-2</v>
      </c>
      <c r="U259" s="50">
        <f t="shared" si="59"/>
        <v>0.10989010989010989</v>
      </c>
      <c r="V259" s="50">
        <f t="shared" si="60"/>
        <v>0.23076923076923075</v>
      </c>
      <c r="W259" s="50">
        <f t="shared" si="61"/>
        <v>5.4945054945054944E-2</v>
      </c>
      <c r="X259" s="50">
        <f t="shared" si="62"/>
        <v>0.26373626373626374</v>
      </c>
      <c r="Y259" s="50">
        <f t="shared" si="63"/>
        <v>0</v>
      </c>
      <c r="Z259" s="50">
        <f t="shared" si="64"/>
        <v>0</v>
      </c>
      <c r="AA259" s="50">
        <f t="shared" si="65"/>
        <v>6.5934065934065936E-2</v>
      </c>
      <c r="AB259" s="50">
        <f t="shared" si="66"/>
        <v>8.7912087912087905E-2</v>
      </c>
      <c r="AC259" s="50">
        <f t="shared" si="67"/>
        <v>5.4945054945054944E-2</v>
      </c>
      <c r="AD259" s="50">
        <f t="shared" si="68"/>
        <v>2.1978021978021976E-2</v>
      </c>
      <c r="AE259" s="50">
        <f t="shared" si="69"/>
        <v>2.1978021978021976E-2</v>
      </c>
      <c r="AF259" s="47">
        <f t="shared" si="71"/>
        <v>1</v>
      </c>
      <c r="AG259" s="50">
        <f>IF('Resultado da inspeção'!F259='Resultado da inspeção'!$W$3,0%,Ranking!R259)</f>
        <v>2.1978021978021976E-2</v>
      </c>
      <c r="AH259" s="50">
        <f>IF('Resultado da inspeção'!G259='Resultado da inspeção'!$W$3,0%,Ranking!S259)</f>
        <v>3.2967032967032968E-2</v>
      </c>
      <c r="AI259" s="50">
        <f>IF('Resultado da inspeção'!H259='Resultado da inspeção'!$W$3,0%,Ranking!T259)</f>
        <v>3.2967032967032968E-2</v>
      </c>
      <c r="AJ259" s="50">
        <f>IF('Resultado da inspeção'!I259='Resultado da inspeção'!$W$3,0%,Ranking!U259)</f>
        <v>0.10989010989010989</v>
      </c>
      <c r="AK259" s="50">
        <f>IF('Resultado da inspeção'!J259='Resultado da inspeção'!$W$3,0%,Ranking!V259)</f>
        <v>0.23076923076923075</v>
      </c>
      <c r="AL259" s="50">
        <f>IF('Resultado da inspeção'!K259='Resultado da inspeção'!$W$3,0%,Ranking!W259)</f>
        <v>5.4945054945054944E-2</v>
      </c>
      <c r="AM259" s="50">
        <f>IF('Resultado da inspeção'!L259='Resultado da inspeção'!$W$3,0%,Ranking!X259)</f>
        <v>0.26373626373626374</v>
      </c>
      <c r="AN259" s="50">
        <f>IF('Resultado da inspeção'!M259='Resultado da inspeção'!$W$3,0%,Ranking!Y259)</f>
        <v>0</v>
      </c>
      <c r="AO259" s="50">
        <f>IF('Resultado da inspeção'!N259='Resultado da inspeção'!$W$3,0%,Ranking!Z259)</f>
        <v>0</v>
      </c>
      <c r="AP259" s="50">
        <f>IF('Resultado da inspeção'!O259='Resultado da inspeção'!$W$3,0%,Ranking!AA259)</f>
        <v>6.5934065934065936E-2</v>
      </c>
      <c r="AQ259" s="50">
        <f>IF('Resultado da inspeção'!P259='Resultado da inspeção'!$W$3,0%,Ranking!AB259)</f>
        <v>8.7912087912087905E-2</v>
      </c>
      <c r="AR259" s="50">
        <f>IF('Resultado da inspeção'!Q259='Resultado da inspeção'!$W$3,0%,Ranking!AC259)</f>
        <v>5.4945054945054944E-2</v>
      </c>
      <c r="AS259" s="50">
        <f>IF('Resultado da inspeção'!R259='Resultado da inspeção'!$W$3,0%,Ranking!AD259)</f>
        <v>2.1978021978021976E-2</v>
      </c>
      <c r="AT259" s="50">
        <f>IF('Resultado da inspeção'!S259='Resultado da inspeção'!$W$3,0%,Ranking!AE259)</f>
        <v>2.1978021978021976E-2</v>
      </c>
      <c r="AU259" s="49">
        <f t="shared" si="72"/>
        <v>1</v>
      </c>
    </row>
    <row r="260" spans="2:47" x14ac:dyDescent="0.25">
      <c r="B260" s="48">
        <f>IF('Resultado da inspeção'!F260='Resultado da inspeção'!$W$4,0%,Ranking!B$5)</f>
        <v>0.02</v>
      </c>
      <c r="C260" s="48">
        <f>IF('Resultado da inspeção'!G260='Resultado da inspeção'!$W$4,0%,Ranking!C$5)</f>
        <v>0.03</v>
      </c>
      <c r="D260" s="48">
        <f>IF('Resultado da inspeção'!H260='Resultado da inspeção'!$W$4,0%,Ranking!D$5)</f>
        <v>0.03</v>
      </c>
      <c r="E260" s="48">
        <f>IF('Resultado da inspeção'!I260='Resultado da inspeção'!$W$4,0%,Ranking!E$5)</f>
        <v>0.1</v>
      </c>
      <c r="F260" s="48">
        <f>IF('Resultado da inspeção'!J260='Resultado da inspeção'!$W$4,0%,Ranking!F$5)</f>
        <v>0.21</v>
      </c>
      <c r="G260" s="48">
        <f>IF('Resultado da inspeção'!K260='Resultado da inspeção'!$W$4,0%,Ranking!G$5)</f>
        <v>0.05</v>
      </c>
      <c r="H260" s="48">
        <f>IF('Resultado da inspeção'!L260='Resultado da inspeção'!$W$4,0%,Ranking!H$5)</f>
        <v>0</v>
      </c>
      <c r="I260" s="48">
        <f>IF('Resultado da inspeção'!M260='Resultado da inspeção'!$W$4,0%,Ranking!I$5)</f>
        <v>0</v>
      </c>
      <c r="J260" s="48">
        <f>IF('Resultado da inspeção'!N260='Resultado da inspeção'!$W$4,0%,Ranking!J$5)</f>
        <v>0</v>
      </c>
      <c r="K260" s="48">
        <f>IF('Resultado da inspeção'!O260='Resultado da inspeção'!$W$4,0%,Ranking!K$5)</f>
        <v>0.06</v>
      </c>
      <c r="L260" s="48">
        <f>IF('Resultado da inspeção'!P260='Resultado da inspeção'!$W$4,0%,Ranking!L$5)</f>
        <v>0.08</v>
      </c>
      <c r="M260" s="48">
        <f>IF('Resultado da inspeção'!Q260='Resultado da inspeção'!$W$4,0%,Ranking!M$5)</f>
        <v>0.05</v>
      </c>
      <c r="N260" s="48">
        <f>IF('Resultado da inspeção'!R260='Resultado da inspeção'!$W$4,0%,Ranking!N$5)</f>
        <v>0.02</v>
      </c>
      <c r="O260" s="48">
        <f>IF('Resultado da inspeção'!S260='Resultado da inspeção'!$W$4,0%,Ranking!O$5)</f>
        <v>0.02</v>
      </c>
      <c r="P260" s="47">
        <f t="shared" si="55"/>
        <v>0.67</v>
      </c>
      <c r="Q260" s="49">
        <f t="shared" si="70"/>
        <v>0.32999999999999996</v>
      </c>
      <c r="R260" s="50">
        <f t="shared" si="56"/>
        <v>2.9850746268656716E-2</v>
      </c>
      <c r="S260" s="50">
        <f t="shared" si="57"/>
        <v>4.4776119402985072E-2</v>
      </c>
      <c r="T260" s="50">
        <f t="shared" si="58"/>
        <v>4.4776119402985072E-2</v>
      </c>
      <c r="U260" s="50">
        <f t="shared" si="59"/>
        <v>0.14925373134328357</v>
      </c>
      <c r="V260" s="50">
        <f t="shared" si="60"/>
        <v>0.31343283582089548</v>
      </c>
      <c r="W260" s="50">
        <f t="shared" si="61"/>
        <v>7.4626865671641784E-2</v>
      </c>
      <c r="X260" s="50">
        <f t="shared" si="62"/>
        <v>0</v>
      </c>
      <c r="Y260" s="50">
        <f t="shared" si="63"/>
        <v>0</v>
      </c>
      <c r="Z260" s="50">
        <f t="shared" si="64"/>
        <v>0</v>
      </c>
      <c r="AA260" s="50">
        <f t="shared" si="65"/>
        <v>8.9552238805970144E-2</v>
      </c>
      <c r="AB260" s="50">
        <f t="shared" si="66"/>
        <v>0.11940298507462686</v>
      </c>
      <c r="AC260" s="50">
        <f t="shared" si="67"/>
        <v>7.4626865671641784E-2</v>
      </c>
      <c r="AD260" s="50">
        <f t="shared" si="68"/>
        <v>2.9850746268656716E-2</v>
      </c>
      <c r="AE260" s="50">
        <f t="shared" si="69"/>
        <v>2.9850746268656716E-2</v>
      </c>
      <c r="AF260" s="47">
        <f t="shared" si="71"/>
        <v>0.99999999999999989</v>
      </c>
      <c r="AG260" s="50">
        <f>IF('Resultado da inspeção'!F260='Resultado da inspeção'!$W$3,0%,Ranking!R260)</f>
        <v>2.9850746268656716E-2</v>
      </c>
      <c r="AH260" s="50">
        <f>IF('Resultado da inspeção'!G260='Resultado da inspeção'!$W$3,0%,Ranking!S260)</f>
        <v>4.4776119402985072E-2</v>
      </c>
      <c r="AI260" s="50">
        <f>IF('Resultado da inspeção'!H260='Resultado da inspeção'!$W$3,0%,Ranking!T260)</f>
        <v>4.4776119402985072E-2</v>
      </c>
      <c r="AJ260" s="50">
        <f>IF('Resultado da inspeção'!I260='Resultado da inspeção'!$W$3,0%,Ranking!U260)</f>
        <v>0</v>
      </c>
      <c r="AK260" s="50">
        <f>IF('Resultado da inspeção'!J260='Resultado da inspeção'!$W$3,0%,Ranking!V260)</f>
        <v>0</v>
      </c>
      <c r="AL260" s="50">
        <f>IF('Resultado da inspeção'!K260='Resultado da inspeção'!$W$3,0%,Ranking!W260)</f>
        <v>7.4626865671641784E-2</v>
      </c>
      <c r="AM260" s="50">
        <f>IF('Resultado da inspeção'!L260='Resultado da inspeção'!$W$3,0%,Ranking!X260)</f>
        <v>0</v>
      </c>
      <c r="AN260" s="50">
        <f>IF('Resultado da inspeção'!M260='Resultado da inspeção'!$W$3,0%,Ranking!Y260)</f>
        <v>0</v>
      </c>
      <c r="AO260" s="50">
        <f>IF('Resultado da inspeção'!N260='Resultado da inspeção'!$W$3,0%,Ranking!Z260)</f>
        <v>0</v>
      </c>
      <c r="AP260" s="50">
        <f>IF('Resultado da inspeção'!O260='Resultado da inspeção'!$W$3,0%,Ranking!AA260)</f>
        <v>8.9552238805970144E-2</v>
      </c>
      <c r="AQ260" s="50">
        <f>IF('Resultado da inspeção'!P260='Resultado da inspeção'!$W$3,0%,Ranking!AB260)</f>
        <v>0.11940298507462686</v>
      </c>
      <c r="AR260" s="50">
        <f>IF('Resultado da inspeção'!Q260='Resultado da inspeção'!$W$3,0%,Ranking!AC260)</f>
        <v>7.4626865671641784E-2</v>
      </c>
      <c r="AS260" s="50">
        <f>IF('Resultado da inspeção'!R260='Resultado da inspeção'!$W$3,0%,Ranking!AD260)</f>
        <v>2.9850746268656716E-2</v>
      </c>
      <c r="AT260" s="50">
        <f>IF('Resultado da inspeção'!S260='Resultado da inspeção'!$W$3,0%,Ranking!AE260)</f>
        <v>2.9850746268656716E-2</v>
      </c>
      <c r="AU260" s="49">
        <f t="shared" si="72"/>
        <v>0.53731343283582089</v>
      </c>
    </row>
    <row r="261" spans="2:47" x14ac:dyDescent="0.25">
      <c r="B261" s="48">
        <f>IF('Resultado da inspeção'!F261='Resultado da inspeção'!$W$4,0%,Ranking!B$5)</f>
        <v>0.02</v>
      </c>
      <c r="C261" s="48">
        <f>IF('Resultado da inspeção'!G261='Resultado da inspeção'!$W$4,0%,Ranking!C$5)</f>
        <v>0.03</v>
      </c>
      <c r="D261" s="48">
        <f>IF('Resultado da inspeção'!H261='Resultado da inspeção'!$W$4,0%,Ranking!D$5)</f>
        <v>0.03</v>
      </c>
      <c r="E261" s="48">
        <f>IF('Resultado da inspeção'!I261='Resultado da inspeção'!$W$4,0%,Ranking!E$5)</f>
        <v>0.1</v>
      </c>
      <c r="F261" s="48">
        <f>IF('Resultado da inspeção'!J261='Resultado da inspeção'!$W$4,0%,Ranking!F$5)</f>
        <v>0.21</v>
      </c>
      <c r="G261" s="48">
        <f>IF('Resultado da inspeção'!K261='Resultado da inspeção'!$W$4,0%,Ranking!G$5)</f>
        <v>0.05</v>
      </c>
      <c r="H261" s="48">
        <f>IF('Resultado da inspeção'!L261='Resultado da inspeção'!$W$4,0%,Ranking!H$5)</f>
        <v>0</v>
      </c>
      <c r="I261" s="48">
        <f>IF('Resultado da inspeção'!M261='Resultado da inspeção'!$W$4,0%,Ranking!I$5)</f>
        <v>0</v>
      </c>
      <c r="J261" s="48">
        <f>IF('Resultado da inspeção'!N261='Resultado da inspeção'!$W$4,0%,Ranking!J$5)</f>
        <v>0</v>
      </c>
      <c r="K261" s="48">
        <f>IF('Resultado da inspeção'!O261='Resultado da inspeção'!$W$4,0%,Ranking!K$5)</f>
        <v>0.06</v>
      </c>
      <c r="L261" s="48">
        <f>IF('Resultado da inspeção'!P261='Resultado da inspeção'!$W$4,0%,Ranking!L$5)</f>
        <v>0.08</v>
      </c>
      <c r="M261" s="48">
        <f>IF('Resultado da inspeção'!Q261='Resultado da inspeção'!$W$4,0%,Ranking!M$5)</f>
        <v>0.05</v>
      </c>
      <c r="N261" s="48">
        <f>IF('Resultado da inspeção'!R261='Resultado da inspeção'!$W$4,0%,Ranking!N$5)</f>
        <v>0.02</v>
      </c>
      <c r="O261" s="48">
        <f>IF('Resultado da inspeção'!S261='Resultado da inspeção'!$W$4,0%,Ranking!O$5)</f>
        <v>0.02</v>
      </c>
      <c r="P261" s="47">
        <f t="shared" ref="P261:P324" si="73">SUM(B261:O261)</f>
        <v>0.67</v>
      </c>
      <c r="Q261" s="49">
        <f t="shared" si="70"/>
        <v>0.32999999999999996</v>
      </c>
      <c r="R261" s="50">
        <f t="shared" si="56"/>
        <v>2.9850746268656716E-2</v>
      </c>
      <c r="S261" s="50">
        <f t="shared" si="57"/>
        <v>4.4776119402985072E-2</v>
      </c>
      <c r="T261" s="50">
        <f t="shared" si="58"/>
        <v>4.4776119402985072E-2</v>
      </c>
      <c r="U261" s="50">
        <f t="shared" si="59"/>
        <v>0.14925373134328357</v>
      </c>
      <c r="V261" s="50">
        <f t="shared" si="60"/>
        <v>0.31343283582089548</v>
      </c>
      <c r="W261" s="50">
        <f t="shared" si="61"/>
        <v>7.4626865671641784E-2</v>
      </c>
      <c r="X261" s="50">
        <f t="shared" si="62"/>
        <v>0</v>
      </c>
      <c r="Y261" s="50">
        <f t="shared" si="63"/>
        <v>0</v>
      </c>
      <c r="Z261" s="50">
        <f t="shared" si="64"/>
        <v>0</v>
      </c>
      <c r="AA261" s="50">
        <f t="shared" si="65"/>
        <v>8.9552238805970144E-2</v>
      </c>
      <c r="AB261" s="50">
        <f t="shared" si="66"/>
        <v>0.11940298507462686</v>
      </c>
      <c r="AC261" s="50">
        <f t="shared" si="67"/>
        <v>7.4626865671641784E-2</v>
      </c>
      <c r="AD261" s="50">
        <f t="shared" si="68"/>
        <v>2.9850746268656716E-2</v>
      </c>
      <c r="AE261" s="50">
        <f t="shared" si="69"/>
        <v>2.9850746268656716E-2</v>
      </c>
      <c r="AF261" s="47">
        <f t="shared" si="71"/>
        <v>0.99999999999999989</v>
      </c>
      <c r="AG261" s="50">
        <f>IF('Resultado da inspeção'!F261='Resultado da inspeção'!$W$3,0%,Ranking!R261)</f>
        <v>2.9850746268656716E-2</v>
      </c>
      <c r="AH261" s="50">
        <f>IF('Resultado da inspeção'!G261='Resultado da inspeção'!$W$3,0%,Ranking!S261)</f>
        <v>4.4776119402985072E-2</v>
      </c>
      <c r="AI261" s="50">
        <f>IF('Resultado da inspeção'!H261='Resultado da inspeção'!$W$3,0%,Ranking!T261)</f>
        <v>4.4776119402985072E-2</v>
      </c>
      <c r="AJ261" s="50">
        <f>IF('Resultado da inspeção'!I261='Resultado da inspeção'!$W$3,0%,Ranking!U261)</f>
        <v>0.14925373134328357</v>
      </c>
      <c r="AK261" s="50">
        <f>IF('Resultado da inspeção'!J261='Resultado da inspeção'!$W$3,0%,Ranking!V261)</f>
        <v>0.31343283582089548</v>
      </c>
      <c r="AL261" s="50">
        <f>IF('Resultado da inspeção'!K261='Resultado da inspeção'!$W$3,0%,Ranking!W261)</f>
        <v>7.4626865671641784E-2</v>
      </c>
      <c r="AM261" s="50">
        <f>IF('Resultado da inspeção'!L261='Resultado da inspeção'!$W$3,0%,Ranking!X261)</f>
        <v>0</v>
      </c>
      <c r="AN261" s="50">
        <f>IF('Resultado da inspeção'!M261='Resultado da inspeção'!$W$3,0%,Ranking!Y261)</f>
        <v>0</v>
      </c>
      <c r="AO261" s="50">
        <f>IF('Resultado da inspeção'!N261='Resultado da inspeção'!$W$3,0%,Ranking!Z261)</f>
        <v>0</v>
      </c>
      <c r="AP261" s="50">
        <f>IF('Resultado da inspeção'!O261='Resultado da inspeção'!$W$3,0%,Ranking!AA261)</f>
        <v>8.9552238805970144E-2</v>
      </c>
      <c r="AQ261" s="50">
        <f>IF('Resultado da inspeção'!P261='Resultado da inspeção'!$W$3,0%,Ranking!AB261)</f>
        <v>0.11940298507462686</v>
      </c>
      <c r="AR261" s="50">
        <f>IF('Resultado da inspeção'!Q261='Resultado da inspeção'!$W$3,0%,Ranking!AC261)</f>
        <v>7.4626865671641784E-2</v>
      </c>
      <c r="AS261" s="50">
        <f>IF('Resultado da inspeção'!R261='Resultado da inspeção'!$W$3,0%,Ranking!AD261)</f>
        <v>2.9850746268656716E-2</v>
      </c>
      <c r="AT261" s="50">
        <f>IF('Resultado da inspeção'!S261='Resultado da inspeção'!$W$3,0%,Ranking!AE261)</f>
        <v>2.9850746268656716E-2</v>
      </c>
      <c r="AU261" s="49">
        <f t="shared" si="72"/>
        <v>0.99999999999999989</v>
      </c>
    </row>
    <row r="262" spans="2:47" x14ac:dyDescent="0.25">
      <c r="B262" s="48">
        <f>IF('Resultado da inspeção'!F262='Resultado da inspeção'!$W$4,0%,Ranking!B$5)</f>
        <v>0.02</v>
      </c>
      <c r="C262" s="48">
        <f>IF('Resultado da inspeção'!G262='Resultado da inspeção'!$W$4,0%,Ranking!C$5)</f>
        <v>0.03</v>
      </c>
      <c r="D262" s="48">
        <f>IF('Resultado da inspeção'!H262='Resultado da inspeção'!$W$4,0%,Ranking!D$5)</f>
        <v>0.03</v>
      </c>
      <c r="E262" s="48">
        <f>IF('Resultado da inspeção'!I262='Resultado da inspeção'!$W$4,0%,Ranking!E$5)</f>
        <v>0.1</v>
      </c>
      <c r="F262" s="48">
        <f>IF('Resultado da inspeção'!J262='Resultado da inspeção'!$W$4,0%,Ranking!F$5)</f>
        <v>0.21</v>
      </c>
      <c r="G262" s="48">
        <f>IF('Resultado da inspeção'!K262='Resultado da inspeção'!$W$4,0%,Ranking!G$5)</f>
        <v>0.05</v>
      </c>
      <c r="H262" s="48">
        <f>IF('Resultado da inspeção'!L262='Resultado da inspeção'!$W$4,0%,Ranking!H$5)</f>
        <v>0</v>
      </c>
      <c r="I262" s="48">
        <f>IF('Resultado da inspeção'!M262='Resultado da inspeção'!$W$4,0%,Ranking!I$5)</f>
        <v>0</v>
      </c>
      <c r="J262" s="48">
        <f>IF('Resultado da inspeção'!N262='Resultado da inspeção'!$W$4,0%,Ranking!J$5)</f>
        <v>0</v>
      </c>
      <c r="K262" s="48">
        <f>IF('Resultado da inspeção'!O262='Resultado da inspeção'!$W$4,0%,Ranking!K$5)</f>
        <v>0.06</v>
      </c>
      <c r="L262" s="48">
        <f>IF('Resultado da inspeção'!P262='Resultado da inspeção'!$W$4,0%,Ranking!L$5)</f>
        <v>0.08</v>
      </c>
      <c r="M262" s="48">
        <f>IF('Resultado da inspeção'!Q262='Resultado da inspeção'!$W$4,0%,Ranking!M$5)</f>
        <v>0.05</v>
      </c>
      <c r="N262" s="48">
        <f>IF('Resultado da inspeção'!R262='Resultado da inspeção'!$W$4,0%,Ranking!N$5)</f>
        <v>0.02</v>
      </c>
      <c r="O262" s="48">
        <f>IF('Resultado da inspeção'!S262='Resultado da inspeção'!$W$4,0%,Ranking!O$5)</f>
        <v>0.02</v>
      </c>
      <c r="P262" s="47">
        <f t="shared" si="73"/>
        <v>0.67</v>
      </c>
      <c r="Q262" s="49">
        <f t="shared" si="70"/>
        <v>0.32999999999999996</v>
      </c>
      <c r="R262" s="50">
        <f t="shared" ref="R262:R325" si="74">B262/$P262</f>
        <v>2.9850746268656716E-2</v>
      </c>
      <c r="S262" s="50">
        <f t="shared" ref="S262:S325" si="75">C262/$P262</f>
        <v>4.4776119402985072E-2</v>
      </c>
      <c r="T262" s="50">
        <f t="shared" ref="T262:T325" si="76">D262/$P262</f>
        <v>4.4776119402985072E-2</v>
      </c>
      <c r="U262" s="50">
        <f t="shared" ref="U262:U325" si="77">E262/$P262</f>
        <v>0.14925373134328357</v>
      </c>
      <c r="V262" s="50">
        <f t="shared" ref="V262:V325" si="78">F262/$P262</f>
        <v>0.31343283582089548</v>
      </c>
      <c r="W262" s="50">
        <f t="shared" ref="W262:W325" si="79">G262/$P262</f>
        <v>7.4626865671641784E-2</v>
      </c>
      <c r="X262" s="50">
        <f t="shared" ref="X262:X325" si="80">H262/$P262</f>
        <v>0</v>
      </c>
      <c r="Y262" s="50">
        <f t="shared" ref="Y262:Y325" si="81">I262/$P262</f>
        <v>0</v>
      </c>
      <c r="Z262" s="50">
        <f t="shared" ref="Z262:Z325" si="82">J262/$P262</f>
        <v>0</v>
      </c>
      <c r="AA262" s="50">
        <f t="shared" ref="AA262:AA325" si="83">K262/$P262</f>
        <v>8.9552238805970144E-2</v>
      </c>
      <c r="AB262" s="50">
        <f t="shared" ref="AB262:AB325" si="84">L262/$P262</f>
        <v>0.11940298507462686</v>
      </c>
      <c r="AC262" s="50">
        <f t="shared" ref="AC262:AC325" si="85">M262/$P262</f>
        <v>7.4626865671641784E-2</v>
      </c>
      <c r="AD262" s="50">
        <f t="shared" ref="AD262:AD325" si="86">N262/$P262</f>
        <v>2.9850746268656716E-2</v>
      </c>
      <c r="AE262" s="50">
        <f t="shared" ref="AE262:AE325" si="87">O262/$P262</f>
        <v>2.9850746268656716E-2</v>
      </c>
      <c r="AF262" s="47">
        <f t="shared" si="71"/>
        <v>0.99999999999999989</v>
      </c>
      <c r="AG262" s="50">
        <f>IF('Resultado da inspeção'!F262='Resultado da inspeção'!$W$3,0%,Ranking!R262)</f>
        <v>2.9850746268656716E-2</v>
      </c>
      <c r="AH262" s="50">
        <f>IF('Resultado da inspeção'!G262='Resultado da inspeção'!$W$3,0%,Ranking!S262)</f>
        <v>4.4776119402985072E-2</v>
      </c>
      <c r="AI262" s="50">
        <f>IF('Resultado da inspeção'!H262='Resultado da inspeção'!$W$3,0%,Ranking!T262)</f>
        <v>4.4776119402985072E-2</v>
      </c>
      <c r="AJ262" s="50">
        <f>IF('Resultado da inspeção'!I262='Resultado da inspeção'!$W$3,0%,Ranking!U262)</f>
        <v>0.14925373134328357</v>
      </c>
      <c r="AK262" s="50">
        <f>IF('Resultado da inspeção'!J262='Resultado da inspeção'!$W$3,0%,Ranking!V262)</f>
        <v>0.31343283582089548</v>
      </c>
      <c r="AL262" s="50">
        <f>IF('Resultado da inspeção'!K262='Resultado da inspeção'!$W$3,0%,Ranking!W262)</f>
        <v>7.4626865671641784E-2</v>
      </c>
      <c r="AM262" s="50">
        <f>IF('Resultado da inspeção'!L262='Resultado da inspeção'!$W$3,0%,Ranking!X262)</f>
        <v>0</v>
      </c>
      <c r="AN262" s="50">
        <f>IF('Resultado da inspeção'!M262='Resultado da inspeção'!$W$3,0%,Ranking!Y262)</f>
        <v>0</v>
      </c>
      <c r="AO262" s="50">
        <f>IF('Resultado da inspeção'!N262='Resultado da inspeção'!$W$3,0%,Ranking!Z262)</f>
        <v>0</v>
      </c>
      <c r="AP262" s="50">
        <f>IF('Resultado da inspeção'!O262='Resultado da inspeção'!$W$3,0%,Ranking!AA262)</f>
        <v>8.9552238805970144E-2</v>
      </c>
      <c r="AQ262" s="50">
        <f>IF('Resultado da inspeção'!P262='Resultado da inspeção'!$W$3,0%,Ranking!AB262)</f>
        <v>0.11940298507462686</v>
      </c>
      <c r="AR262" s="50">
        <f>IF('Resultado da inspeção'!Q262='Resultado da inspeção'!$W$3,0%,Ranking!AC262)</f>
        <v>7.4626865671641784E-2</v>
      </c>
      <c r="AS262" s="50">
        <f>IF('Resultado da inspeção'!R262='Resultado da inspeção'!$W$3,0%,Ranking!AD262)</f>
        <v>2.9850746268656716E-2</v>
      </c>
      <c r="AT262" s="50">
        <f>IF('Resultado da inspeção'!S262='Resultado da inspeção'!$W$3,0%,Ranking!AE262)</f>
        <v>2.9850746268656716E-2</v>
      </c>
      <c r="AU262" s="49">
        <f t="shared" si="72"/>
        <v>0.99999999999999989</v>
      </c>
    </row>
    <row r="263" spans="2:47" x14ac:dyDescent="0.25">
      <c r="B263" s="48">
        <f>IF('Resultado da inspeção'!F263='Resultado da inspeção'!$W$4,0%,Ranking!B$5)</f>
        <v>0.02</v>
      </c>
      <c r="C263" s="48">
        <f>IF('Resultado da inspeção'!G263='Resultado da inspeção'!$W$4,0%,Ranking!C$5)</f>
        <v>0.03</v>
      </c>
      <c r="D263" s="48">
        <f>IF('Resultado da inspeção'!H263='Resultado da inspeção'!$W$4,0%,Ranking!D$5)</f>
        <v>0.03</v>
      </c>
      <c r="E263" s="48">
        <f>IF('Resultado da inspeção'!I263='Resultado da inspeção'!$W$4,0%,Ranking!E$5)</f>
        <v>0.1</v>
      </c>
      <c r="F263" s="48">
        <f>IF('Resultado da inspeção'!J263='Resultado da inspeção'!$W$4,0%,Ranking!F$5)</f>
        <v>0.21</v>
      </c>
      <c r="G263" s="48">
        <f>IF('Resultado da inspeção'!K263='Resultado da inspeção'!$W$4,0%,Ranking!G$5)</f>
        <v>0.05</v>
      </c>
      <c r="H263" s="48">
        <f>IF('Resultado da inspeção'!L263='Resultado da inspeção'!$W$4,0%,Ranking!H$5)</f>
        <v>0</v>
      </c>
      <c r="I263" s="48">
        <f>IF('Resultado da inspeção'!M263='Resultado da inspeção'!$W$4,0%,Ranking!I$5)</f>
        <v>0</v>
      </c>
      <c r="J263" s="48">
        <f>IF('Resultado da inspeção'!N263='Resultado da inspeção'!$W$4,0%,Ranking!J$5)</f>
        <v>0</v>
      </c>
      <c r="K263" s="48">
        <f>IF('Resultado da inspeção'!O263='Resultado da inspeção'!$W$4,0%,Ranking!K$5)</f>
        <v>0.06</v>
      </c>
      <c r="L263" s="48">
        <f>IF('Resultado da inspeção'!P263='Resultado da inspeção'!$W$4,0%,Ranking!L$5)</f>
        <v>0.08</v>
      </c>
      <c r="M263" s="48">
        <f>IF('Resultado da inspeção'!Q263='Resultado da inspeção'!$W$4,0%,Ranking!M$5)</f>
        <v>0.05</v>
      </c>
      <c r="N263" s="48">
        <f>IF('Resultado da inspeção'!R263='Resultado da inspeção'!$W$4,0%,Ranking!N$5)</f>
        <v>0.02</v>
      </c>
      <c r="O263" s="48">
        <f>IF('Resultado da inspeção'!S263='Resultado da inspeção'!$W$4,0%,Ranking!O$5)</f>
        <v>0.02</v>
      </c>
      <c r="P263" s="47">
        <f t="shared" si="73"/>
        <v>0.67</v>
      </c>
      <c r="Q263" s="49">
        <f t="shared" ref="Q263:Q326" si="88">100%-P263</f>
        <v>0.32999999999999996</v>
      </c>
      <c r="R263" s="50">
        <f t="shared" si="74"/>
        <v>2.9850746268656716E-2</v>
      </c>
      <c r="S263" s="50">
        <f t="shared" si="75"/>
        <v>4.4776119402985072E-2</v>
      </c>
      <c r="T263" s="50">
        <f t="shared" si="76"/>
        <v>4.4776119402985072E-2</v>
      </c>
      <c r="U263" s="50">
        <f t="shared" si="77"/>
        <v>0.14925373134328357</v>
      </c>
      <c r="V263" s="50">
        <f t="shared" si="78"/>
        <v>0.31343283582089548</v>
      </c>
      <c r="W263" s="50">
        <f t="shared" si="79"/>
        <v>7.4626865671641784E-2</v>
      </c>
      <c r="X263" s="50">
        <f t="shared" si="80"/>
        <v>0</v>
      </c>
      <c r="Y263" s="50">
        <f t="shared" si="81"/>
        <v>0</v>
      </c>
      <c r="Z263" s="50">
        <f t="shared" si="82"/>
        <v>0</v>
      </c>
      <c r="AA263" s="50">
        <f t="shared" si="83"/>
        <v>8.9552238805970144E-2</v>
      </c>
      <c r="AB263" s="50">
        <f t="shared" si="84"/>
        <v>0.11940298507462686</v>
      </c>
      <c r="AC263" s="50">
        <f t="shared" si="85"/>
        <v>7.4626865671641784E-2</v>
      </c>
      <c r="AD263" s="50">
        <f t="shared" si="86"/>
        <v>2.9850746268656716E-2</v>
      </c>
      <c r="AE263" s="50">
        <f t="shared" si="87"/>
        <v>2.9850746268656716E-2</v>
      </c>
      <c r="AF263" s="47">
        <f t="shared" ref="AF263:AF326" si="89">SUM(R263:AE263)</f>
        <v>0.99999999999999989</v>
      </c>
      <c r="AG263" s="50">
        <f>IF('Resultado da inspeção'!F263='Resultado da inspeção'!$W$3,0%,Ranking!R263)</f>
        <v>0</v>
      </c>
      <c r="AH263" s="50">
        <f>IF('Resultado da inspeção'!G263='Resultado da inspeção'!$W$3,0%,Ranking!S263)</f>
        <v>0</v>
      </c>
      <c r="AI263" s="50">
        <f>IF('Resultado da inspeção'!H263='Resultado da inspeção'!$W$3,0%,Ranking!T263)</f>
        <v>0</v>
      </c>
      <c r="AJ263" s="50">
        <f>IF('Resultado da inspeção'!I263='Resultado da inspeção'!$W$3,0%,Ranking!U263)</f>
        <v>0</v>
      </c>
      <c r="AK263" s="50">
        <f>IF('Resultado da inspeção'!J263='Resultado da inspeção'!$W$3,0%,Ranking!V263)</f>
        <v>0</v>
      </c>
      <c r="AL263" s="50">
        <f>IF('Resultado da inspeção'!K263='Resultado da inspeção'!$W$3,0%,Ranking!W263)</f>
        <v>0</v>
      </c>
      <c r="AM263" s="50">
        <f>IF('Resultado da inspeção'!L263='Resultado da inspeção'!$W$3,0%,Ranking!X263)</f>
        <v>0</v>
      </c>
      <c r="AN263" s="50">
        <f>IF('Resultado da inspeção'!M263='Resultado da inspeção'!$W$3,0%,Ranking!Y263)</f>
        <v>0</v>
      </c>
      <c r="AO263" s="50">
        <f>IF('Resultado da inspeção'!N263='Resultado da inspeção'!$W$3,0%,Ranking!Z263)</f>
        <v>0</v>
      </c>
      <c r="AP263" s="50">
        <f>IF('Resultado da inspeção'!O263='Resultado da inspeção'!$W$3,0%,Ranking!AA263)</f>
        <v>8.9552238805970144E-2</v>
      </c>
      <c r="AQ263" s="50">
        <f>IF('Resultado da inspeção'!P263='Resultado da inspeção'!$W$3,0%,Ranking!AB263)</f>
        <v>0.11940298507462686</v>
      </c>
      <c r="AR263" s="50">
        <f>IF('Resultado da inspeção'!Q263='Resultado da inspeção'!$W$3,0%,Ranking!AC263)</f>
        <v>7.4626865671641784E-2</v>
      </c>
      <c r="AS263" s="50">
        <f>IF('Resultado da inspeção'!R263='Resultado da inspeção'!$W$3,0%,Ranking!AD263)</f>
        <v>2.9850746268656716E-2</v>
      </c>
      <c r="AT263" s="50">
        <f>IF('Resultado da inspeção'!S263='Resultado da inspeção'!$W$3,0%,Ranking!AE263)</f>
        <v>2.9850746268656716E-2</v>
      </c>
      <c r="AU263" s="49">
        <f t="shared" ref="AU263:AU326" si="90">SUM(AG263:AT263)</f>
        <v>0.34328358208955218</v>
      </c>
    </row>
    <row r="264" spans="2:47" x14ac:dyDescent="0.25">
      <c r="B264" s="48">
        <f>IF('Resultado da inspeção'!F264='Resultado da inspeção'!$W$4,0%,Ranking!B$5)</f>
        <v>0.02</v>
      </c>
      <c r="C264" s="48">
        <f>IF('Resultado da inspeção'!G264='Resultado da inspeção'!$W$4,0%,Ranking!C$5)</f>
        <v>0.03</v>
      </c>
      <c r="D264" s="48">
        <f>IF('Resultado da inspeção'!H264='Resultado da inspeção'!$W$4,0%,Ranking!D$5)</f>
        <v>0.03</v>
      </c>
      <c r="E264" s="48">
        <f>IF('Resultado da inspeção'!I264='Resultado da inspeção'!$W$4,0%,Ranking!E$5)</f>
        <v>0.1</v>
      </c>
      <c r="F264" s="48">
        <f>IF('Resultado da inspeção'!J264='Resultado da inspeção'!$W$4,0%,Ranking!F$5)</f>
        <v>0.21</v>
      </c>
      <c r="G264" s="48">
        <f>IF('Resultado da inspeção'!K264='Resultado da inspeção'!$W$4,0%,Ranking!G$5)</f>
        <v>0.05</v>
      </c>
      <c r="H264" s="48">
        <f>IF('Resultado da inspeção'!L264='Resultado da inspeção'!$W$4,0%,Ranking!H$5)</f>
        <v>0.24</v>
      </c>
      <c r="I264" s="48">
        <f>IF('Resultado da inspeção'!M264='Resultado da inspeção'!$W$4,0%,Ranking!I$5)</f>
        <v>0</v>
      </c>
      <c r="J264" s="48">
        <f>IF('Resultado da inspeção'!N264='Resultado da inspeção'!$W$4,0%,Ranking!J$5)</f>
        <v>0</v>
      </c>
      <c r="K264" s="48">
        <f>IF('Resultado da inspeção'!O264='Resultado da inspeção'!$W$4,0%,Ranking!K$5)</f>
        <v>0.06</v>
      </c>
      <c r="L264" s="48">
        <f>IF('Resultado da inspeção'!P264='Resultado da inspeção'!$W$4,0%,Ranking!L$5)</f>
        <v>0.08</v>
      </c>
      <c r="M264" s="48">
        <f>IF('Resultado da inspeção'!Q264='Resultado da inspeção'!$W$4,0%,Ranking!M$5)</f>
        <v>0.05</v>
      </c>
      <c r="N264" s="48">
        <f>IF('Resultado da inspeção'!R264='Resultado da inspeção'!$W$4,0%,Ranking!N$5)</f>
        <v>0.02</v>
      </c>
      <c r="O264" s="48">
        <f>IF('Resultado da inspeção'!S264='Resultado da inspeção'!$W$4,0%,Ranking!O$5)</f>
        <v>0.02</v>
      </c>
      <c r="P264" s="47">
        <f t="shared" si="73"/>
        <v>0.91</v>
      </c>
      <c r="Q264" s="49">
        <f t="shared" si="88"/>
        <v>8.9999999999999969E-2</v>
      </c>
      <c r="R264" s="50">
        <f t="shared" si="74"/>
        <v>2.1978021978021976E-2</v>
      </c>
      <c r="S264" s="50">
        <f t="shared" si="75"/>
        <v>3.2967032967032968E-2</v>
      </c>
      <c r="T264" s="50">
        <f t="shared" si="76"/>
        <v>3.2967032967032968E-2</v>
      </c>
      <c r="U264" s="50">
        <f t="shared" si="77"/>
        <v>0.10989010989010989</v>
      </c>
      <c r="V264" s="50">
        <f t="shared" si="78"/>
        <v>0.23076923076923075</v>
      </c>
      <c r="W264" s="50">
        <f t="shared" si="79"/>
        <v>5.4945054945054944E-2</v>
      </c>
      <c r="X264" s="50">
        <f t="shared" si="80"/>
        <v>0.26373626373626374</v>
      </c>
      <c r="Y264" s="50">
        <f t="shared" si="81"/>
        <v>0</v>
      </c>
      <c r="Z264" s="50">
        <f t="shared" si="82"/>
        <v>0</v>
      </c>
      <c r="AA264" s="50">
        <f t="shared" si="83"/>
        <v>6.5934065934065936E-2</v>
      </c>
      <c r="AB264" s="50">
        <f t="shared" si="84"/>
        <v>8.7912087912087905E-2</v>
      </c>
      <c r="AC264" s="50">
        <f t="shared" si="85"/>
        <v>5.4945054945054944E-2</v>
      </c>
      <c r="AD264" s="50">
        <f t="shared" si="86"/>
        <v>2.1978021978021976E-2</v>
      </c>
      <c r="AE264" s="50">
        <f t="shared" si="87"/>
        <v>2.1978021978021976E-2</v>
      </c>
      <c r="AF264" s="47">
        <f t="shared" si="89"/>
        <v>1</v>
      </c>
      <c r="AG264" s="50">
        <f>IF('Resultado da inspeção'!F264='Resultado da inspeção'!$W$3,0%,Ranking!R264)</f>
        <v>0</v>
      </c>
      <c r="AH264" s="50">
        <f>IF('Resultado da inspeção'!G264='Resultado da inspeção'!$W$3,0%,Ranking!S264)</f>
        <v>3.2967032967032968E-2</v>
      </c>
      <c r="AI264" s="50">
        <f>IF('Resultado da inspeção'!H264='Resultado da inspeção'!$W$3,0%,Ranking!T264)</f>
        <v>3.2967032967032968E-2</v>
      </c>
      <c r="AJ264" s="50">
        <f>IF('Resultado da inspeção'!I264='Resultado da inspeção'!$W$3,0%,Ranking!U264)</f>
        <v>0</v>
      </c>
      <c r="AK264" s="50">
        <f>IF('Resultado da inspeção'!J264='Resultado da inspeção'!$W$3,0%,Ranking!V264)</f>
        <v>0.23076923076923075</v>
      </c>
      <c r="AL264" s="50">
        <f>IF('Resultado da inspeção'!K264='Resultado da inspeção'!$W$3,0%,Ranking!W264)</f>
        <v>5.4945054945054944E-2</v>
      </c>
      <c r="AM264" s="50">
        <f>IF('Resultado da inspeção'!L264='Resultado da inspeção'!$W$3,0%,Ranking!X264)</f>
        <v>0</v>
      </c>
      <c r="AN264" s="50">
        <f>IF('Resultado da inspeção'!M264='Resultado da inspeção'!$W$3,0%,Ranking!Y264)</f>
        <v>0</v>
      </c>
      <c r="AO264" s="50">
        <f>IF('Resultado da inspeção'!N264='Resultado da inspeção'!$W$3,0%,Ranking!Z264)</f>
        <v>0</v>
      </c>
      <c r="AP264" s="50">
        <f>IF('Resultado da inspeção'!O264='Resultado da inspeção'!$W$3,0%,Ranking!AA264)</f>
        <v>6.5934065934065936E-2</v>
      </c>
      <c r="AQ264" s="50">
        <f>IF('Resultado da inspeção'!P264='Resultado da inspeção'!$W$3,0%,Ranking!AB264)</f>
        <v>8.7912087912087905E-2</v>
      </c>
      <c r="AR264" s="50">
        <f>IF('Resultado da inspeção'!Q264='Resultado da inspeção'!$W$3,0%,Ranking!AC264)</f>
        <v>5.4945054945054944E-2</v>
      </c>
      <c r="AS264" s="50">
        <f>IF('Resultado da inspeção'!R264='Resultado da inspeção'!$W$3,0%,Ranking!AD264)</f>
        <v>2.1978021978021976E-2</v>
      </c>
      <c r="AT264" s="50">
        <f>IF('Resultado da inspeção'!S264='Resultado da inspeção'!$W$3,0%,Ranking!AE264)</f>
        <v>2.1978021978021976E-2</v>
      </c>
      <c r="AU264" s="49">
        <f t="shared" si="90"/>
        <v>0.60439560439560447</v>
      </c>
    </row>
    <row r="265" spans="2:47" x14ac:dyDescent="0.25">
      <c r="B265" s="48">
        <f>IF('Resultado da inspeção'!F265='Resultado da inspeção'!$W$4,0%,Ranking!B$5)</f>
        <v>0.02</v>
      </c>
      <c r="C265" s="48">
        <f>IF('Resultado da inspeção'!G265='Resultado da inspeção'!$W$4,0%,Ranking!C$5)</f>
        <v>0.03</v>
      </c>
      <c r="D265" s="48">
        <f>IF('Resultado da inspeção'!H265='Resultado da inspeção'!$W$4,0%,Ranking!D$5)</f>
        <v>0.03</v>
      </c>
      <c r="E265" s="48">
        <f>IF('Resultado da inspeção'!I265='Resultado da inspeção'!$W$4,0%,Ranking!E$5)</f>
        <v>0.1</v>
      </c>
      <c r="F265" s="48">
        <f>IF('Resultado da inspeção'!J265='Resultado da inspeção'!$W$4,0%,Ranking!F$5)</f>
        <v>0.21</v>
      </c>
      <c r="G265" s="48">
        <f>IF('Resultado da inspeção'!K265='Resultado da inspeção'!$W$4,0%,Ranking!G$5)</f>
        <v>0.05</v>
      </c>
      <c r="H265" s="48">
        <f>IF('Resultado da inspeção'!L265='Resultado da inspeção'!$W$4,0%,Ranking!H$5)</f>
        <v>0.24</v>
      </c>
      <c r="I265" s="48">
        <f>IF('Resultado da inspeção'!M265='Resultado da inspeção'!$W$4,0%,Ranking!I$5)</f>
        <v>0.05</v>
      </c>
      <c r="J265" s="48">
        <f>IF('Resultado da inspeção'!N265='Resultado da inspeção'!$W$4,0%,Ranking!J$5)</f>
        <v>0.04</v>
      </c>
      <c r="K265" s="48">
        <f>IF('Resultado da inspeção'!O265='Resultado da inspeção'!$W$4,0%,Ranking!K$5)</f>
        <v>0.06</v>
      </c>
      <c r="L265" s="48">
        <f>IF('Resultado da inspeção'!P265='Resultado da inspeção'!$W$4,0%,Ranking!L$5)</f>
        <v>0.08</v>
      </c>
      <c r="M265" s="48">
        <f>IF('Resultado da inspeção'!Q265='Resultado da inspeção'!$W$4,0%,Ranking!M$5)</f>
        <v>0.05</v>
      </c>
      <c r="N265" s="48">
        <f>IF('Resultado da inspeção'!R265='Resultado da inspeção'!$W$4,0%,Ranking!N$5)</f>
        <v>0.02</v>
      </c>
      <c r="O265" s="48">
        <f>IF('Resultado da inspeção'!S265='Resultado da inspeção'!$W$4,0%,Ranking!O$5)</f>
        <v>0.02</v>
      </c>
      <c r="P265" s="47">
        <f t="shared" si="73"/>
        <v>1</v>
      </c>
      <c r="Q265" s="49">
        <f t="shared" si="88"/>
        <v>0</v>
      </c>
      <c r="R265" s="50">
        <f t="shared" si="74"/>
        <v>0.02</v>
      </c>
      <c r="S265" s="50">
        <f t="shared" si="75"/>
        <v>0.03</v>
      </c>
      <c r="T265" s="50">
        <f t="shared" si="76"/>
        <v>0.03</v>
      </c>
      <c r="U265" s="50">
        <f t="shared" si="77"/>
        <v>0.1</v>
      </c>
      <c r="V265" s="50">
        <f t="shared" si="78"/>
        <v>0.21</v>
      </c>
      <c r="W265" s="50">
        <f t="shared" si="79"/>
        <v>0.05</v>
      </c>
      <c r="X265" s="50">
        <f t="shared" si="80"/>
        <v>0.24</v>
      </c>
      <c r="Y265" s="50">
        <f t="shared" si="81"/>
        <v>0.05</v>
      </c>
      <c r="Z265" s="50">
        <f t="shared" si="82"/>
        <v>0.04</v>
      </c>
      <c r="AA265" s="50">
        <f t="shared" si="83"/>
        <v>0.06</v>
      </c>
      <c r="AB265" s="50">
        <f t="shared" si="84"/>
        <v>0.08</v>
      </c>
      <c r="AC265" s="50">
        <f t="shared" si="85"/>
        <v>0.05</v>
      </c>
      <c r="AD265" s="50">
        <f t="shared" si="86"/>
        <v>0.02</v>
      </c>
      <c r="AE265" s="50">
        <f t="shared" si="87"/>
        <v>0.02</v>
      </c>
      <c r="AF265" s="47">
        <f t="shared" si="89"/>
        <v>1</v>
      </c>
      <c r="AG265" s="50">
        <f>IF('Resultado da inspeção'!F265='Resultado da inspeção'!$W$3,0%,Ranking!R265)</f>
        <v>0.02</v>
      </c>
      <c r="AH265" s="50">
        <f>IF('Resultado da inspeção'!G265='Resultado da inspeção'!$W$3,0%,Ranking!S265)</f>
        <v>0.03</v>
      </c>
      <c r="AI265" s="50">
        <f>IF('Resultado da inspeção'!H265='Resultado da inspeção'!$W$3,0%,Ranking!T265)</f>
        <v>0.03</v>
      </c>
      <c r="AJ265" s="50">
        <f>IF('Resultado da inspeção'!I265='Resultado da inspeção'!$W$3,0%,Ranking!U265)</f>
        <v>0</v>
      </c>
      <c r="AK265" s="50">
        <f>IF('Resultado da inspeção'!J265='Resultado da inspeção'!$W$3,0%,Ranking!V265)</f>
        <v>0.21</v>
      </c>
      <c r="AL265" s="50">
        <f>IF('Resultado da inspeção'!K265='Resultado da inspeção'!$W$3,0%,Ranking!W265)</f>
        <v>0.05</v>
      </c>
      <c r="AM265" s="50">
        <f>IF('Resultado da inspeção'!L265='Resultado da inspeção'!$W$3,0%,Ranking!X265)</f>
        <v>0</v>
      </c>
      <c r="AN265" s="50">
        <f>IF('Resultado da inspeção'!M265='Resultado da inspeção'!$W$3,0%,Ranking!Y265)</f>
        <v>0</v>
      </c>
      <c r="AO265" s="50">
        <f>IF('Resultado da inspeção'!N265='Resultado da inspeção'!$W$3,0%,Ranking!Z265)</f>
        <v>0</v>
      </c>
      <c r="AP265" s="50">
        <f>IF('Resultado da inspeção'!O265='Resultado da inspeção'!$W$3,0%,Ranking!AA265)</f>
        <v>0.06</v>
      </c>
      <c r="AQ265" s="50">
        <f>IF('Resultado da inspeção'!P265='Resultado da inspeção'!$W$3,0%,Ranking!AB265)</f>
        <v>0.08</v>
      </c>
      <c r="AR265" s="50">
        <f>IF('Resultado da inspeção'!Q265='Resultado da inspeção'!$W$3,0%,Ranking!AC265)</f>
        <v>0.05</v>
      </c>
      <c r="AS265" s="50">
        <f>IF('Resultado da inspeção'!R265='Resultado da inspeção'!$W$3,0%,Ranking!AD265)</f>
        <v>0.02</v>
      </c>
      <c r="AT265" s="50">
        <f>IF('Resultado da inspeção'!S265='Resultado da inspeção'!$W$3,0%,Ranking!AE265)</f>
        <v>0.02</v>
      </c>
      <c r="AU265" s="49">
        <f t="shared" si="90"/>
        <v>0.57000000000000006</v>
      </c>
    </row>
    <row r="266" spans="2:47" x14ac:dyDescent="0.25">
      <c r="B266" s="48">
        <f>IF('Resultado da inspeção'!F266='Resultado da inspeção'!$W$4,0%,Ranking!B$5)</f>
        <v>0.02</v>
      </c>
      <c r="C266" s="48">
        <f>IF('Resultado da inspeção'!G266='Resultado da inspeção'!$W$4,0%,Ranking!C$5)</f>
        <v>0.03</v>
      </c>
      <c r="D266" s="48">
        <f>IF('Resultado da inspeção'!H266='Resultado da inspeção'!$W$4,0%,Ranking!D$5)</f>
        <v>0.03</v>
      </c>
      <c r="E266" s="48">
        <f>IF('Resultado da inspeção'!I266='Resultado da inspeção'!$W$4,0%,Ranking!E$5)</f>
        <v>0.1</v>
      </c>
      <c r="F266" s="48">
        <f>IF('Resultado da inspeção'!J266='Resultado da inspeção'!$W$4,0%,Ranking!F$5)</f>
        <v>0.21</v>
      </c>
      <c r="G266" s="48">
        <f>IF('Resultado da inspeção'!K266='Resultado da inspeção'!$W$4,0%,Ranking!G$5)</f>
        <v>0.05</v>
      </c>
      <c r="H266" s="48">
        <f>IF('Resultado da inspeção'!L266='Resultado da inspeção'!$W$4,0%,Ranking!H$5)</f>
        <v>0.24</v>
      </c>
      <c r="I266" s="48">
        <f>IF('Resultado da inspeção'!M266='Resultado da inspeção'!$W$4,0%,Ranking!I$5)</f>
        <v>0</v>
      </c>
      <c r="J266" s="48">
        <f>IF('Resultado da inspeção'!N266='Resultado da inspeção'!$W$4,0%,Ranking!J$5)</f>
        <v>0</v>
      </c>
      <c r="K266" s="48">
        <f>IF('Resultado da inspeção'!O266='Resultado da inspeção'!$W$4,0%,Ranking!K$5)</f>
        <v>0.06</v>
      </c>
      <c r="L266" s="48">
        <f>IF('Resultado da inspeção'!P266='Resultado da inspeção'!$W$4,0%,Ranking!L$5)</f>
        <v>0.08</v>
      </c>
      <c r="M266" s="48">
        <f>IF('Resultado da inspeção'!Q266='Resultado da inspeção'!$W$4,0%,Ranking!M$5)</f>
        <v>0.05</v>
      </c>
      <c r="N266" s="48">
        <f>IF('Resultado da inspeção'!R266='Resultado da inspeção'!$W$4,0%,Ranking!N$5)</f>
        <v>0.02</v>
      </c>
      <c r="O266" s="48">
        <f>IF('Resultado da inspeção'!S266='Resultado da inspeção'!$W$4,0%,Ranking!O$5)</f>
        <v>0.02</v>
      </c>
      <c r="P266" s="47">
        <f t="shared" si="73"/>
        <v>0.91</v>
      </c>
      <c r="Q266" s="49">
        <f t="shared" si="88"/>
        <v>8.9999999999999969E-2</v>
      </c>
      <c r="R266" s="50">
        <f t="shared" si="74"/>
        <v>2.1978021978021976E-2</v>
      </c>
      <c r="S266" s="50">
        <f t="shared" si="75"/>
        <v>3.2967032967032968E-2</v>
      </c>
      <c r="T266" s="50">
        <f t="shared" si="76"/>
        <v>3.2967032967032968E-2</v>
      </c>
      <c r="U266" s="50">
        <f t="shared" si="77"/>
        <v>0.10989010989010989</v>
      </c>
      <c r="V266" s="50">
        <f t="shared" si="78"/>
        <v>0.23076923076923075</v>
      </c>
      <c r="W266" s="50">
        <f t="shared" si="79"/>
        <v>5.4945054945054944E-2</v>
      </c>
      <c r="X266" s="50">
        <f t="shared" si="80"/>
        <v>0.26373626373626374</v>
      </c>
      <c r="Y266" s="50">
        <f t="shared" si="81"/>
        <v>0</v>
      </c>
      <c r="Z266" s="50">
        <f t="shared" si="82"/>
        <v>0</v>
      </c>
      <c r="AA266" s="50">
        <f t="shared" si="83"/>
        <v>6.5934065934065936E-2</v>
      </c>
      <c r="AB266" s="50">
        <f t="shared" si="84"/>
        <v>8.7912087912087905E-2</v>
      </c>
      <c r="AC266" s="50">
        <f t="shared" si="85"/>
        <v>5.4945054945054944E-2</v>
      </c>
      <c r="AD266" s="50">
        <f t="shared" si="86"/>
        <v>2.1978021978021976E-2</v>
      </c>
      <c r="AE266" s="50">
        <f t="shared" si="87"/>
        <v>2.1978021978021976E-2</v>
      </c>
      <c r="AF266" s="47">
        <f t="shared" si="89"/>
        <v>1</v>
      </c>
      <c r="AG266" s="50">
        <f>IF('Resultado da inspeção'!F266='Resultado da inspeção'!$W$3,0%,Ranking!R266)</f>
        <v>2.1978021978021976E-2</v>
      </c>
      <c r="AH266" s="50">
        <f>IF('Resultado da inspeção'!G266='Resultado da inspeção'!$W$3,0%,Ranking!S266)</f>
        <v>3.2967032967032968E-2</v>
      </c>
      <c r="AI266" s="50">
        <f>IF('Resultado da inspeção'!H266='Resultado da inspeção'!$W$3,0%,Ranking!T266)</f>
        <v>3.2967032967032968E-2</v>
      </c>
      <c r="AJ266" s="50">
        <f>IF('Resultado da inspeção'!I266='Resultado da inspeção'!$W$3,0%,Ranking!U266)</f>
        <v>0.10989010989010989</v>
      </c>
      <c r="AK266" s="50">
        <f>IF('Resultado da inspeção'!J266='Resultado da inspeção'!$W$3,0%,Ranking!V266)</f>
        <v>0.23076923076923075</v>
      </c>
      <c r="AL266" s="50">
        <f>IF('Resultado da inspeção'!K266='Resultado da inspeção'!$W$3,0%,Ranking!W266)</f>
        <v>5.4945054945054944E-2</v>
      </c>
      <c r="AM266" s="50">
        <f>IF('Resultado da inspeção'!L266='Resultado da inspeção'!$W$3,0%,Ranking!X266)</f>
        <v>0</v>
      </c>
      <c r="AN266" s="50">
        <f>IF('Resultado da inspeção'!M266='Resultado da inspeção'!$W$3,0%,Ranking!Y266)</f>
        <v>0</v>
      </c>
      <c r="AO266" s="50">
        <f>IF('Resultado da inspeção'!N266='Resultado da inspeção'!$W$3,0%,Ranking!Z266)</f>
        <v>0</v>
      </c>
      <c r="AP266" s="50">
        <f>IF('Resultado da inspeção'!O266='Resultado da inspeção'!$W$3,0%,Ranking!AA266)</f>
        <v>6.5934065934065936E-2</v>
      </c>
      <c r="AQ266" s="50">
        <f>IF('Resultado da inspeção'!P266='Resultado da inspeção'!$W$3,0%,Ranking!AB266)</f>
        <v>8.7912087912087905E-2</v>
      </c>
      <c r="AR266" s="50">
        <f>IF('Resultado da inspeção'!Q266='Resultado da inspeção'!$W$3,0%,Ranking!AC266)</f>
        <v>5.4945054945054944E-2</v>
      </c>
      <c r="AS266" s="50">
        <f>IF('Resultado da inspeção'!R266='Resultado da inspeção'!$W$3,0%,Ranking!AD266)</f>
        <v>2.1978021978021976E-2</v>
      </c>
      <c r="AT266" s="50">
        <f>IF('Resultado da inspeção'!S266='Resultado da inspeção'!$W$3,0%,Ranking!AE266)</f>
        <v>2.1978021978021976E-2</v>
      </c>
      <c r="AU266" s="49">
        <f t="shared" si="90"/>
        <v>0.73626373626373631</v>
      </c>
    </row>
    <row r="267" spans="2:47" x14ac:dyDescent="0.25">
      <c r="B267" s="48">
        <f>IF('Resultado da inspeção'!F267='Resultado da inspeção'!$W$4,0%,Ranking!B$5)</f>
        <v>0.02</v>
      </c>
      <c r="C267" s="48">
        <f>IF('Resultado da inspeção'!G267='Resultado da inspeção'!$W$4,0%,Ranking!C$5)</f>
        <v>0.03</v>
      </c>
      <c r="D267" s="48">
        <f>IF('Resultado da inspeção'!H267='Resultado da inspeção'!$W$4,0%,Ranking!D$5)</f>
        <v>0.03</v>
      </c>
      <c r="E267" s="48">
        <f>IF('Resultado da inspeção'!I267='Resultado da inspeção'!$W$4,0%,Ranking!E$5)</f>
        <v>0.1</v>
      </c>
      <c r="F267" s="48">
        <f>IF('Resultado da inspeção'!J267='Resultado da inspeção'!$W$4,0%,Ranking!F$5)</f>
        <v>0.21</v>
      </c>
      <c r="G267" s="48">
        <f>IF('Resultado da inspeção'!K267='Resultado da inspeção'!$W$4,0%,Ranking!G$5)</f>
        <v>0.05</v>
      </c>
      <c r="H267" s="48">
        <f>IF('Resultado da inspeção'!L267='Resultado da inspeção'!$W$4,0%,Ranking!H$5)</f>
        <v>0.24</v>
      </c>
      <c r="I267" s="48">
        <f>IF('Resultado da inspeção'!M267='Resultado da inspeção'!$W$4,0%,Ranking!I$5)</f>
        <v>0</v>
      </c>
      <c r="J267" s="48">
        <f>IF('Resultado da inspeção'!N267='Resultado da inspeção'!$W$4,0%,Ranking!J$5)</f>
        <v>0</v>
      </c>
      <c r="K267" s="48">
        <f>IF('Resultado da inspeção'!O267='Resultado da inspeção'!$W$4,0%,Ranking!K$5)</f>
        <v>0.06</v>
      </c>
      <c r="L267" s="48">
        <f>IF('Resultado da inspeção'!P267='Resultado da inspeção'!$W$4,0%,Ranking!L$5)</f>
        <v>0.08</v>
      </c>
      <c r="M267" s="48">
        <f>IF('Resultado da inspeção'!Q267='Resultado da inspeção'!$W$4,0%,Ranking!M$5)</f>
        <v>0.05</v>
      </c>
      <c r="N267" s="48">
        <f>IF('Resultado da inspeção'!R267='Resultado da inspeção'!$W$4,0%,Ranking!N$5)</f>
        <v>0.02</v>
      </c>
      <c r="O267" s="48">
        <f>IF('Resultado da inspeção'!S267='Resultado da inspeção'!$W$4,0%,Ranking!O$5)</f>
        <v>0.02</v>
      </c>
      <c r="P267" s="47">
        <f t="shared" si="73"/>
        <v>0.91</v>
      </c>
      <c r="Q267" s="49">
        <f t="shared" si="88"/>
        <v>8.9999999999999969E-2</v>
      </c>
      <c r="R267" s="50">
        <f t="shared" si="74"/>
        <v>2.1978021978021976E-2</v>
      </c>
      <c r="S267" s="50">
        <f t="shared" si="75"/>
        <v>3.2967032967032968E-2</v>
      </c>
      <c r="T267" s="50">
        <f t="shared" si="76"/>
        <v>3.2967032967032968E-2</v>
      </c>
      <c r="U267" s="50">
        <f t="shared" si="77"/>
        <v>0.10989010989010989</v>
      </c>
      <c r="V267" s="50">
        <f t="shared" si="78"/>
        <v>0.23076923076923075</v>
      </c>
      <c r="W267" s="50">
        <f t="shared" si="79"/>
        <v>5.4945054945054944E-2</v>
      </c>
      <c r="X267" s="50">
        <f t="shared" si="80"/>
        <v>0.26373626373626374</v>
      </c>
      <c r="Y267" s="50">
        <f t="shared" si="81"/>
        <v>0</v>
      </c>
      <c r="Z267" s="50">
        <f t="shared" si="82"/>
        <v>0</v>
      </c>
      <c r="AA267" s="50">
        <f t="shared" si="83"/>
        <v>6.5934065934065936E-2</v>
      </c>
      <c r="AB267" s="50">
        <f t="shared" si="84"/>
        <v>8.7912087912087905E-2</v>
      </c>
      <c r="AC267" s="50">
        <f t="shared" si="85"/>
        <v>5.4945054945054944E-2</v>
      </c>
      <c r="AD267" s="50">
        <f t="shared" si="86"/>
        <v>2.1978021978021976E-2</v>
      </c>
      <c r="AE267" s="50">
        <f t="shared" si="87"/>
        <v>2.1978021978021976E-2</v>
      </c>
      <c r="AF267" s="47">
        <f t="shared" si="89"/>
        <v>1</v>
      </c>
      <c r="AG267" s="50">
        <f>IF('Resultado da inspeção'!F267='Resultado da inspeção'!$W$3,0%,Ranking!R267)</f>
        <v>2.1978021978021976E-2</v>
      </c>
      <c r="AH267" s="50">
        <f>IF('Resultado da inspeção'!G267='Resultado da inspeção'!$W$3,0%,Ranking!S267)</f>
        <v>3.2967032967032968E-2</v>
      </c>
      <c r="AI267" s="50">
        <f>IF('Resultado da inspeção'!H267='Resultado da inspeção'!$W$3,0%,Ranking!T267)</f>
        <v>3.2967032967032968E-2</v>
      </c>
      <c r="AJ267" s="50">
        <f>IF('Resultado da inspeção'!I267='Resultado da inspeção'!$W$3,0%,Ranking!U267)</f>
        <v>0.10989010989010989</v>
      </c>
      <c r="AK267" s="50">
        <f>IF('Resultado da inspeção'!J267='Resultado da inspeção'!$W$3,0%,Ranking!V267)</f>
        <v>0.23076923076923075</v>
      </c>
      <c r="AL267" s="50">
        <f>IF('Resultado da inspeção'!K267='Resultado da inspeção'!$W$3,0%,Ranking!W267)</f>
        <v>5.4945054945054944E-2</v>
      </c>
      <c r="AM267" s="50">
        <f>IF('Resultado da inspeção'!L267='Resultado da inspeção'!$W$3,0%,Ranking!X267)</f>
        <v>0</v>
      </c>
      <c r="AN267" s="50">
        <f>IF('Resultado da inspeção'!M267='Resultado da inspeção'!$W$3,0%,Ranking!Y267)</f>
        <v>0</v>
      </c>
      <c r="AO267" s="50">
        <f>IF('Resultado da inspeção'!N267='Resultado da inspeção'!$W$3,0%,Ranking!Z267)</f>
        <v>0</v>
      </c>
      <c r="AP267" s="50">
        <f>IF('Resultado da inspeção'!O267='Resultado da inspeção'!$W$3,0%,Ranking!AA267)</f>
        <v>6.5934065934065936E-2</v>
      </c>
      <c r="AQ267" s="50">
        <f>IF('Resultado da inspeção'!P267='Resultado da inspeção'!$W$3,0%,Ranking!AB267)</f>
        <v>8.7912087912087905E-2</v>
      </c>
      <c r="AR267" s="50">
        <f>IF('Resultado da inspeção'!Q267='Resultado da inspeção'!$W$3,0%,Ranking!AC267)</f>
        <v>5.4945054945054944E-2</v>
      </c>
      <c r="AS267" s="50">
        <f>IF('Resultado da inspeção'!R267='Resultado da inspeção'!$W$3,0%,Ranking!AD267)</f>
        <v>2.1978021978021976E-2</v>
      </c>
      <c r="AT267" s="50">
        <f>IF('Resultado da inspeção'!S267='Resultado da inspeção'!$W$3,0%,Ranking!AE267)</f>
        <v>2.1978021978021976E-2</v>
      </c>
      <c r="AU267" s="49">
        <f t="shared" si="90"/>
        <v>0.73626373626373631</v>
      </c>
    </row>
    <row r="268" spans="2:47" x14ac:dyDescent="0.25">
      <c r="B268" s="48">
        <f>IF('Resultado da inspeção'!F268='Resultado da inspeção'!$W$4,0%,Ranking!B$5)</f>
        <v>0.02</v>
      </c>
      <c r="C268" s="48">
        <f>IF('Resultado da inspeção'!G268='Resultado da inspeção'!$W$4,0%,Ranking!C$5)</f>
        <v>0.03</v>
      </c>
      <c r="D268" s="48">
        <f>IF('Resultado da inspeção'!H268='Resultado da inspeção'!$W$4,0%,Ranking!D$5)</f>
        <v>0.03</v>
      </c>
      <c r="E268" s="48">
        <f>IF('Resultado da inspeção'!I268='Resultado da inspeção'!$W$4,0%,Ranking!E$5)</f>
        <v>0.1</v>
      </c>
      <c r="F268" s="48">
        <f>IF('Resultado da inspeção'!J268='Resultado da inspeção'!$W$4,0%,Ranking!F$5)</f>
        <v>0.21</v>
      </c>
      <c r="G268" s="48">
        <f>IF('Resultado da inspeção'!K268='Resultado da inspeção'!$W$4,0%,Ranking!G$5)</f>
        <v>0.05</v>
      </c>
      <c r="H268" s="48">
        <f>IF('Resultado da inspeção'!L268='Resultado da inspeção'!$W$4,0%,Ranking!H$5)</f>
        <v>0.24</v>
      </c>
      <c r="I268" s="48">
        <f>IF('Resultado da inspeção'!M268='Resultado da inspeção'!$W$4,0%,Ranking!I$5)</f>
        <v>0</v>
      </c>
      <c r="J268" s="48">
        <f>IF('Resultado da inspeção'!N268='Resultado da inspeção'!$W$4,0%,Ranking!J$5)</f>
        <v>0</v>
      </c>
      <c r="K268" s="48">
        <f>IF('Resultado da inspeção'!O268='Resultado da inspeção'!$W$4,0%,Ranking!K$5)</f>
        <v>0.06</v>
      </c>
      <c r="L268" s="48">
        <f>IF('Resultado da inspeção'!P268='Resultado da inspeção'!$W$4,0%,Ranking!L$5)</f>
        <v>0.08</v>
      </c>
      <c r="M268" s="48">
        <f>IF('Resultado da inspeção'!Q268='Resultado da inspeção'!$W$4,0%,Ranking!M$5)</f>
        <v>0.05</v>
      </c>
      <c r="N268" s="48">
        <f>IF('Resultado da inspeção'!R268='Resultado da inspeção'!$W$4,0%,Ranking!N$5)</f>
        <v>0.02</v>
      </c>
      <c r="O268" s="48">
        <f>IF('Resultado da inspeção'!S268='Resultado da inspeção'!$W$4,0%,Ranking!O$5)</f>
        <v>0.02</v>
      </c>
      <c r="P268" s="47">
        <f t="shared" si="73"/>
        <v>0.91</v>
      </c>
      <c r="Q268" s="49">
        <f t="shared" si="88"/>
        <v>8.9999999999999969E-2</v>
      </c>
      <c r="R268" s="50">
        <f t="shared" si="74"/>
        <v>2.1978021978021976E-2</v>
      </c>
      <c r="S268" s="50">
        <f t="shared" si="75"/>
        <v>3.2967032967032968E-2</v>
      </c>
      <c r="T268" s="50">
        <f t="shared" si="76"/>
        <v>3.2967032967032968E-2</v>
      </c>
      <c r="U268" s="50">
        <f t="shared" si="77"/>
        <v>0.10989010989010989</v>
      </c>
      <c r="V268" s="50">
        <f t="shared" si="78"/>
        <v>0.23076923076923075</v>
      </c>
      <c r="W268" s="50">
        <f t="shared" si="79"/>
        <v>5.4945054945054944E-2</v>
      </c>
      <c r="X268" s="50">
        <f t="shared" si="80"/>
        <v>0.26373626373626374</v>
      </c>
      <c r="Y268" s="50">
        <f t="shared" si="81"/>
        <v>0</v>
      </c>
      <c r="Z268" s="50">
        <f t="shared" si="82"/>
        <v>0</v>
      </c>
      <c r="AA268" s="50">
        <f t="shared" si="83"/>
        <v>6.5934065934065936E-2</v>
      </c>
      <c r="AB268" s="50">
        <f t="shared" si="84"/>
        <v>8.7912087912087905E-2</v>
      </c>
      <c r="AC268" s="50">
        <f t="shared" si="85"/>
        <v>5.4945054945054944E-2</v>
      </c>
      <c r="AD268" s="50">
        <f t="shared" si="86"/>
        <v>2.1978021978021976E-2</v>
      </c>
      <c r="AE268" s="50">
        <f t="shared" si="87"/>
        <v>2.1978021978021976E-2</v>
      </c>
      <c r="AF268" s="47">
        <f t="shared" si="89"/>
        <v>1</v>
      </c>
      <c r="AG268" s="50">
        <f>IF('Resultado da inspeção'!F268='Resultado da inspeção'!$W$3,0%,Ranking!R268)</f>
        <v>2.1978021978021976E-2</v>
      </c>
      <c r="AH268" s="50">
        <f>IF('Resultado da inspeção'!G268='Resultado da inspeção'!$W$3,0%,Ranking!S268)</f>
        <v>3.2967032967032968E-2</v>
      </c>
      <c r="AI268" s="50">
        <f>IF('Resultado da inspeção'!H268='Resultado da inspeção'!$W$3,0%,Ranking!T268)</f>
        <v>3.2967032967032968E-2</v>
      </c>
      <c r="AJ268" s="50">
        <f>IF('Resultado da inspeção'!I268='Resultado da inspeção'!$W$3,0%,Ranking!U268)</f>
        <v>0.10989010989010989</v>
      </c>
      <c r="AK268" s="50">
        <f>IF('Resultado da inspeção'!J268='Resultado da inspeção'!$W$3,0%,Ranking!V268)</f>
        <v>0.23076923076923075</v>
      </c>
      <c r="AL268" s="50">
        <f>IF('Resultado da inspeção'!K268='Resultado da inspeção'!$W$3,0%,Ranking!W268)</f>
        <v>5.4945054945054944E-2</v>
      </c>
      <c r="AM268" s="50">
        <f>IF('Resultado da inspeção'!L268='Resultado da inspeção'!$W$3,0%,Ranking!X268)</f>
        <v>0.26373626373626374</v>
      </c>
      <c r="AN268" s="50">
        <f>IF('Resultado da inspeção'!M268='Resultado da inspeção'!$W$3,0%,Ranking!Y268)</f>
        <v>0</v>
      </c>
      <c r="AO268" s="50">
        <f>IF('Resultado da inspeção'!N268='Resultado da inspeção'!$W$3,0%,Ranking!Z268)</f>
        <v>0</v>
      </c>
      <c r="AP268" s="50">
        <f>IF('Resultado da inspeção'!O268='Resultado da inspeção'!$W$3,0%,Ranking!AA268)</f>
        <v>6.5934065934065936E-2</v>
      </c>
      <c r="AQ268" s="50">
        <f>IF('Resultado da inspeção'!P268='Resultado da inspeção'!$W$3,0%,Ranking!AB268)</f>
        <v>8.7912087912087905E-2</v>
      </c>
      <c r="AR268" s="50">
        <f>IF('Resultado da inspeção'!Q268='Resultado da inspeção'!$W$3,0%,Ranking!AC268)</f>
        <v>5.4945054945054944E-2</v>
      </c>
      <c r="AS268" s="50">
        <f>IF('Resultado da inspeção'!R268='Resultado da inspeção'!$W$3,0%,Ranking!AD268)</f>
        <v>2.1978021978021976E-2</v>
      </c>
      <c r="AT268" s="50">
        <f>IF('Resultado da inspeção'!S268='Resultado da inspeção'!$W$3,0%,Ranking!AE268)</f>
        <v>2.1978021978021976E-2</v>
      </c>
      <c r="AU268" s="49">
        <f t="shared" si="90"/>
        <v>1</v>
      </c>
    </row>
    <row r="269" spans="2:47" x14ac:dyDescent="0.25">
      <c r="B269" s="48">
        <f>IF('Resultado da inspeção'!F269='Resultado da inspeção'!$W$4,0%,Ranking!B$5)</f>
        <v>0.02</v>
      </c>
      <c r="C269" s="48">
        <f>IF('Resultado da inspeção'!G269='Resultado da inspeção'!$W$4,0%,Ranking!C$5)</f>
        <v>0.03</v>
      </c>
      <c r="D269" s="48">
        <f>IF('Resultado da inspeção'!H269='Resultado da inspeção'!$W$4,0%,Ranking!D$5)</f>
        <v>0.03</v>
      </c>
      <c r="E269" s="48">
        <f>IF('Resultado da inspeção'!I269='Resultado da inspeção'!$W$4,0%,Ranking!E$5)</f>
        <v>0.1</v>
      </c>
      <c r="F269" s="48">
        <f>IF('Resultado da inspeção'!J269='Resultado da inspeção'!$W$4,0%,Ranking!F$5)</f>
        <v>0.21</v>
      </c>
      <c r="G269" s="48">
        <f>IF('Resultado da inspeção'!K269='Resultado da inspeção'!$W$4,0%,Ranking!G$5)</f>
        <v>0.05</v>
      </c>
      <c r="H269" s="48">
        <f>IF('Resultado da inspeção'!L269='Resultado da inspeção'!$W$4,0%,Ranking!H$5)</f>
        <v>0</v>
      </c>
      <c r="I269" s="48">
        <f>IF('Resultado da inspeção'!M269='Resultado da inspeção'!$W$4,0%,Ranking!I$5)</f>
        <v>0</v>
      </c>
      <c r="J269" s="48">
        <f>IF('Resultado da inspeção'!N269='Resultado da inspeção'!$W$4,0%,Ranking!J$5)</f>
        <v>0</v>
      </c>
      <c r="K269" s="48">
        <f>IF('Resultado da inspeção'!O269='Resultado da inspeção'!$W$4,0%,Ranking!K$5)</f>
        <v>0.06</v>
      </c>
      <c r="L269" s="48">
        <f>IF('Resultado da inspeção'!P269='Resultado da inspeção'!$W$4,0%,Ranking!L$5)</f>
        <v>0.08</v>
      </c>
      <c r="M269" s="48">
        <f>IF('Resultado da inspeção'!Q269='Resultado da inspeção'!$W$4,0%,Ranking!M$5)</f>
        <v>0.05</v>
      </c>
      <c r="N269" s="48">
        <f>IF('Resultado da inspeção'!R269='Resultado da inspeção'!$W$4,0%,Ranking!N$5)</f>
        <v>0.02</v>
      </c>
      <c r="O269" s="48">
        <f>IF('Resultado da inspeção'!S269='Resultado da inspeção'!$W$4,0%,Ranking!O$5)</f>
        <v>0.02</v>
      </c>
      <c r="P269" s="47">
        <f t="shared" si="73"/>
        <v>0.67</v>
      </c>
      <c r="Q269" s="49">
        <f t="shared" si="88"/>
        <v>0.32999999999999996</v>
      </c>
      <c r="R269" s="50">
        <f t="shared" si="74"/>
        <v>2.9850746268656716E-2</v>
      </c>
      <c r="S269" s="50">
        <f t="shared" si="75"/>
        <v>4.4776119402985072E-2</v>
      </c>
      <c r="T269" s="50">
        <f t="shared" si="76"/>
        <v>4.4776119402985072E-2</v>
      </c>
      <c r="U269" s="50">
        <f t="shared" si="77"/>
        <v>0.14925373134328357</v>
      </c>
      <c r="V269" s="50">
        <f t="shared" si="78"/>
        <v>0.31343283582089548</v>
      </c>
      <c r="W269" s="50">
        <f t="shared" si="79"/>
        <v>7.4626865671641784E-2</v>
      </c>
      <c r="X269" s="50">
        <f t="shared" si="80"/>
        <v>0</v>
      </c>
      <c r="Y269" s="50">
        <f t="shared" si="81"/>
        <v>0</v>
      </c>
      <c r="Z269" s="50">
        <f t="shared" si="82"/>
        <v>0</v>
      </c>
      <c r="AA269" s="50">
        <f t="shared" si="83"/>
        <v>8.9552238805970144E-2</v>
      </c>
      <c r="AB269" s="50">
        <f t="shared" si="84"/>
        <v>0.11940298507462686</v>
      </c>
      <c r="AC269" s="50">
        <f t="shared" si="85"/>
        <v>7.4626865671641784E-2</v>
      </c>
      <c r="AD269" s="50">
        <f t="shared" si="86"/>
        <v>2.9850746268656716E-2</v>
      </c>
      <c r="AE269" s="50">
        <f t="shared" si="87"/>
        <v>2.9850746268656716E-2</v>
      </c>
      <c r="AF269" s="47">
        <f t="shared" si="89"/>
        <v>0.99999999999999989</v>
      </c>
      <c r="AG269" s="50">
        <f>IF('Resultado da inspeção'!F269='Resultado da inspeção'!$W$3,0%,Ranking!R269)</f>
        <v>2.9850746268656716E-2</v>
      </c>
      <c r="AH269" s="50">
        <f>IF('Resultado da inspeção'!G269='Resultado da inspeção'!$W$3,0%,Ranking!S269)</f>
        <v>4.4776119402985072E-2</v>
      </c>
      <c r="AI269" s="50">
        <f>IF('Resultado da inspeção'!H269='Resultado da inspeção'!$W$3,0%,Ranking!T269)</f>
        <v>4.4776119402985072E-2</v>
      </c>
      <c r="AJ269" s="50">
        <f>IF('Resultado da inspeção'!I269='Resultado da inspeção'!$W$3,0%,Ranking!U269)</f>
        <v>0.14925373134328357</v>
      </c>
      <c r="AK269" s="50">
        <f>IF('Resultado da inspeção'!J269='Resultado da inspeção'!$W$3,0%,Ranking!V269)</f>
        <v>0.31343283582089548</v>
      </c>
      <c r="AL269" s="50">
        <f>IF('Resultado da inspeção'!K269='Resultado da inspeção'!$W$3,0%,Ranking!W269)</f>
        <v>7.4626865671641784E-2</v>
      </c>
      <c r="AM269" s="50">
        <f>IF('Resultado da inspeção'!L269='Resultado da inspeção'!$W$3,0%,Ranking!X269)</f>
        <v>0</v>
      </c>
      <c r="AN269" s="50">
        <f>IF('Resultado da inspeção'!M269='Resultado da inspeção'!$W$3,0%,Ranking!Y269)</f>
        <v>0</v>
      </c>
      <c r="AO269" s="50">
        <f>IF('Resultado da inspeção'!N269='Resultado da inspeção'!$W$3,0%,Ranking!Z269)</f>
        <v>0</v>
      </c>
      <c r="AP269" s="50">
        <f>IF('Resultado da inspeção'!O269='Resultado da inspeção'!$W$3,0%,Ranking!AA269)</f>
        <v>8.9552238805970144E-2</v>
      </c>
      <c r="AQ269" s="50">
        <f>IF('Resultado da inspeção'!P269='Resultado da inspeção'!$W$3,0%,Ranking!AB269)</f>
        <v>0.11940298507462686</v>
      </c>
      <c r="AR269" s="50">
        <f>IF('Resultado da inspeção'!Q269='Resultado da inspeção'!$W$3,0%,Ranking!AC269)</f>
        <v>7.4626865671641784E-2</v>
      </c>
      <c r="AS269" s="50">
        <f>IF('Resultado da inspeção'!R269='Resultado da inspeção'!$W$3,0%,Ranking!AD269)</f>
        <v>2.9850746268656716E-2</v>
      </c>
      <c r="AT269" s="50">
        <f>IF('Resultado da inspeção'!S269='Resultado da inspeção'!$W$3,0%,Ranking!AE269)</f>
        <v>2.9850746268656716E-2</v>
      </c>
      <c r="AU269" s="49">
        <f t="shared" si="90"/>
        <v>0.99999999999999989</v>
      </c>
    </row>
    <row r="270" spans="2:47" x14ac:dyDescent="0.25">
      <c r="B270" s="48">
        <f>IF('Resultado da inspeção'!F270='Resultado da inspeção'!$W$4,0%,Ranking!B$5)</f>
        <v>0.02</v>
      </c>
      <c r="C270" s="48">
        <f>IF('Resultado da inspeção'!G270='Resultado da inspeção'!$W$4,0%,Ranking!C$5)</f>
        <v>0.03</v>
      </c>
      <c r="D270" s="48">
        <f>IF('Resultado da inspeção'!H270='Resultado da inspeção'!$W$4,0%,Ranking!D$5)</f>
        <v>0.03</v>
      </c>
      <c r="E270" s="48">
        <f>IF('Resultado da inspeção'!I270='Resultado da inspeção'!$W$4,0%,Ranking!E$5)</f>
        <v>0.1</v>
      </c>
      <c r="F270" s="48">
        <f>IF('Resultado da inspeção'!J270='Resultado da inspeção'!$W$4,0%,Ranking!F$5)</f>
        <v>0.21</v>
      </c>
      <c r="G270" s="48">
        <f>IF('Resultado da inspeção'!K270='Resultado da inspeção'!$W$4,0%,Ranking!G$5)</f>
        <v>0.05</v>
      </c>
      <c r="H270" s="48">
        <f>IF('Resultado da inspeção'!L270='Resultado da inspeção'!$W$4,0%,Ranking!H$5)</f>
        <v>0</v>
      </c>
      <c r="I270" s="48">
        <f>IF('Resultado da inspeção'!M270='Resultado da inspeção'!$W$4,0%,Ranking!I$5)</f>
        <v>0</v>
      </c>
      <c r="J270" s="48">
        <f>IF('Resultado da inspeção'!N270='Resultado da inspeção'!$W$4,0%,Ranking!J$5)</f>
        <v>0</v>
      </c>
      <c r="K270" s="48">
        <f>IF('Resultado da inspeção'!O270='Resultado da inspeção'!$W$4,0%,Ranking!K$5)</f>
        <v>0.06</v>
      </c>
      <c r="L270" s="48">
        <f>IF('Resultado da inspeção'!P270='Resultado da inspeção'!$W$4,0%,Ranking!L$5)</f>
        <v>0.08</v>
      </c>
      <c r="M270" s="48">
        <f>IF('Resultado da inspeção'!Q270='Resultado da inspeção'!$W$4,0%,Ranking!M$5)</f>
        <v>0.05</v>
      </c>
      <c r="N270" s="48">
        <f>IF('Resultado da inspeção'!R270='Resultado da inspeção'!$W$4,0%,Ranking!N$5)</f>
        <v>0.02</v>
      </c>
      <c r="O270" s="48">
        <f>IF('Resultado da inspeção'!S270='Resultado da inspeção'!$W$4,0%,Ranking!O$5)</f>
        <v>0.02</v>
      </c>
      <c r="P270" s="47">
        <f t="shared" si="73"/>
        <v>0.67</v>
      </c>
      <c r="Q270" s="49">
        <f t="shared" si="88"/>
        <v>0.32999999999999996</v>
      </c>
      <c r="R270" s="50">
        <f t="shared" si="74"/>
        <v>2.9850746268656716E-2</v>
      </c>
      <c r="S270" s="50">
        <f t="shared" si="75"/>
        <v>4.4776119402985072E-2</v>
      </c>
      <c r="T270" s="50">
        <f t="shared" si="76"/>
        <v>4.4776119402985072E-2</v>
      </c>
      <c r="U270" s="50">
        <f t="shared" si="77"/>
        <v>0.14925373134328357</v>
      </c>
      <c r="V270" s="50">
        <f t="shared" si="78"/>
        <v>0.31343283582089548</v>
      </c>
      <c r="W270" s="50">
        <f t="shared" si="79"/>
        <v>7.4626865671641784E-2</v>
      </c>
      <c r="X270" s="50">
        <f t="shared" si="80"/>
        <v>0</v>
      </c>
      <c r="Y270" s="50">
        <f t="shared" si="81"/>
        <v>0</v>
      </c>
      <c r="Z270" s="50">
        <f t="shared" si="82"/>
        <v>0</v>
      </c>
      <c r="AA270" s="50">
        <f t="shared" si="83"/>
        <v>8.9552238805970144E-2</v>
      </c>
      <c r="AB270" s="50">
        <f t="shared" si="84"/>
        <v>0.11940298507462686</v>
      </c>
      <c r="AC270" s="50">
        <f t="shared" si="85"/>
        <v>7.4626865671641784E-2</v>
      </c>
      <c r="AD270" s="50">
        <f t="shared" si="86"/>
        <v>2.9850746268656716E-2</v>
      </c>
      <c r="AE270" s="50">
        <f t="shared" si="87"/>
        <v>2.9850746268656716E-2</v>
      </c>
      <c r="AF270" s="47">
        <f t="shared" si="89"/>
        <v>0.99999999999999989</v>
      </c>
      <c r="AG270" s="50">
        <f>IF('Resultado da inspeção'!F270='Resultado da inspeção'!$W$3,0%,Ranking!R270)</f>
        <v>2.9850746268656716E-2</v>
      </c>
      <c r="AH270" s="50">
        <f>IF('Resultado da inspeção'!G270='Resultado da inspeção'!$W$3,0%,Ranking!S270)</f>
        <v>4.4776119402985072E-2</v>
      </c>
      <c r="AI270" s="50">
        <f>IF('Resultado da inspeção'!H270='Resultado da inspeção'!$W$3,0%,Ranking!T270)</f>
        <v>4.4776119402985072E-2</v>
      </c>
      <c r="AJ270" s="50">
        <f>IF('Resultado da inspeção'!I270='Resultado da inspeção'!$W$3,0%,Ranking!U270)</f>
        <v>0.14925373134328357</v>
      </c>
      <c r="AK270" s="50">
        <f>IF('Resultado da inspeção'!J270='Resultado da inspeção'!$W$3,0%,Ranking!V270)</f>
        <v>0.31343283582089548</v>
      </c>
      <c r="AL270" s="50">
        <f>IF('Resultado da inspeção'!K270='Resultado da inspeção'!$W$3,0%,Ranking!W270)</f>
        <v>7.4626865671641784E-2</v>
      </c>
      <c r="AM270" s="50">
        <f>IF('Resultado da inspeção'!L270='Resultado da inspeção'!$W$3,0%,Ranking!X270)</f>
        <v>0</v>
      </c>
      <c r="AN270" s="50">
        <f>IF('Resultado da inspeção'!M270='Resultado da inspeção'!$W$3,0%,Ranking!Y270)</f>
        <v>0</v>
      </c>
      <c r="AO270" s="50">
        <f>IF('Resultado da inspeção'!N270='Resultado da inspeção'!$W$3,0%,Ranking!Z270)</f>
        <v>0</v>
      </c>
      <c r="AP270" s="50">
        <f>IF('Resultado da inspeção'!O270='Resultado da inspeção'!$W$3,0%,Ranking!AA270)</f>
        <v>8.9552238805970144E-2</v>
      </c>
      <c r="AQ270" s="50">
        <f>IF('Resultado da inspeção'!P270='Resultado da inspeção'!$W$3,0%,Ranking!AB270)</f>
        <v>0.11940298507462686</v>
      </c>
      <c r="AR270" s="50">
        <f>IF('Resultado da inspeção'!Q270='Resultado da inspeção'!$W$3,0%,Ranking!AC270)</f>
        <v>7.4626865671641784E-2</v>
      </c>
      <c r="AS270" s="50">
        <f>IF('Resultado da inspeção'!R270='Resultado da inspeção'!$W$3,0%,Ranking!AD270)</f>
        <v>2.9850746268656716E-2</v>
      </c>
      <c r="AT270" s="50">
        <f>IF('Resultado da inspeção'!S270='Resultado da inspeção'!$W$3,0%,Ranking!AE270)</f>
        <v>2.9850746268656716E-2</v>
      </c>
      <c r="AU270" s="49">
        <f t="shared" si="90"/>
        <v>0.99999999999999989</v>
      </c>
    </row>
    <row r="271" spans="2:47" x14ac:dyDescent="0.25">
      <c r="B271" s="48">
        <f>IF('Resultado da inspeção'!F271='Resultado da inspeção'!$W$4,0%,Ranking!B$5)</f>
        <v>0.02</v>
      </c>
      <c r="C271" s="48">
        <f>IF('Resultado da inspeção'!G271='Resultado da inspeção'!$W$4,0%,Ranking!C$5)</f>
        <v>0.03</v>
      </c>
      <c r="D271" s="48">
        <f>IF('Resultado da inspeção'!H271='Resultado da inspeção'!$W$4,0%,Ranking!D$5)</f>
        <v>0.03</v>
      </c>
      <c r="E271" s="48">
        <f>IF('Resultado da inspeção'!I271='Resultado da inspeção'!$W$4,0%,Ranking!E$5)</f>
        <v>0.1</v>
      </c>
      <c r="F271" s="48">
        <f>IF('Resultado da inspeção'!J271='Resultado da inspeção'!$W$4,0%,Ranking!F$5)</f>
        <v>0.21</v>
      </c>
      <c r="G271" s="48">
        <f>IF('Resultado da inspeção'!K271='Resultado da inspeção'!$W$4,0%,Ranking!G$5)</f>
        <v>0.05</v>
      </c>
      <c r="H271" s="48">
        <f>IF('Resultado da inspeção'!L271='Resultado da inspeção'!$W$4,0%,Ranking!H$5)</f>
        <v>0.24</v>
      </c>
      <c r="I271" s="48">
        <f>IF('Resultado da inspeção'!M271='Resultado da inspeção'!$W$4,0%,Ranking!I$5)</f>
        <v>0.05</v>
      </c>
      <c r="J271" s="48">
        <f>IF('Resultado da inspeção'!N271='Resultado da inspeção'!$W$4,0%,Ranking!J$5)</f>
        <v>0.04</v>
      </c>
      <c r="K271" s="48">
        <f>IF('Resultado da inspeção'!O271='Resultado da inspeção'!$W$4,0%,Ranking!K$5)</f>
        <v>0.06</v>
      </c>
      <c r="L271" s="48">
        <f>IF('Resultado da inspeção'!P271='Resultado da inspeção'!$W$4,0%,Ranking!L$5)</f>
        <v>0.08</v>
      </c>
      <c r="M271" s="48">
        <f>IF('Resultado da inspeção'!Q271='Resultado da inspeção'!$W$4,0%,Ranking!M$5)</f>
        <v>0.05</v>
      </c>
      <c r="N271" s="48">
        <f>IF('Resultado da inspeção'!R271='Resultado da inspeção'!$W$4,0%,Ranking!N$5)</f>
        <v>0.02</v>
      </c>
      <c r="O271" s="48">
        <f>IF('Resultado da inspeção'!S271='Resultado da inspeção'!$W$4,0%,Ranking!O$5)</f>
        <v>0.02</v>
      </c>
      <c r="P271" s="47">
        <f t="shared" si="73"/>
        <v>1</v>
      </c>
      <c r="Q271" s="49">
        <f t="shared" si="88"/>
        <v>0</v>
      </c>
      <c r="R271" s="50">
        <f t="shared" si="74"/>
        <v>0.02</v>
      </c>
      <c r="S271" s="50">
        <f t="shared" si="75"/>
        <v>0.03</v>
      </c>
      <c r="T271" s="50">
        <f t="shared" si="76"/>
        <v>0.03</v>
      </c>
      <c r="U271" s="50">
        <f t="shared" si="77"/>
        <v>0.1</v>
      </c>
      <c r="V271" s="50">
        <f t="shared" si="78"/>
        <v>0.21</v>
      </c>
      <c r="W271" s="50">
        <f t="shared" si="79"/>
        <v>0.05</v>
      </c>
      <c r="X271" s="50">
        <f t="shared" si="80"/>
        <v>0.24</v>
      </c>
      <c r="Y271" s="50">
        <f t="shared" si="81"/>
        <v>0.05</v>
      </c>
      <c r="Z271" s="50">
        <f t="shared" si="82"/>
        <v>0.04</v>
      </c>
      <c r="AA271" s="50">
        <f t="shared" si="83"/>
        <v>0.06</v>
      </c>
      <c r="AB271" s="50">
        <f t="shared" si="84"/>
        <v>0.08</v>
      </c>
      <c r="AC271" s="50">
        <f t="shared" si="85"/>
        <v>0.05</v>
      </c>
      <c r="AD271" s="50">
        <f t="shared" si="86"/>
        <v>0.02</v>
      </c>
      <c r="AE271" s="50">
        <f t="shared" si="87"/>
        <v>0.02</v>
      </c>
      <c r="AF271" s="47">
        <f t="shared" si="89"/>
        <v>1</v>
      </c>
      <c r="AG271" s="50">
        <f>IF('Resultado da inspeção'!F271='Resultado da inspeção'!$W$3,0%,Ranking!R271)</f>
        <v>0</v>
      </c>
      <c r="AH271" s="50">
        <f>IF('Resultado da inspeção'!G271='Resultado da inspeção'!$W$3,0%,Ranking!S271)</f>
        <v>0</v>
      </c>
      <c r="AI271" s="50">
        <f>IF('Resultado da inspeção'!H271='Resultado da inspeção'!$W$3,0%,Ranking!T271)</f>
        <v>0</v>
      </c>
      <c r="AJ271" s="50">
        <f>IF('Resultado da inspeção'!I271='Resultado da inspeção'!$W$3,0%,Ranking!U271)</f>
        <v>0</v>
      </c>
      <c r="AK271" s="50">
        <f>IF('Resultado da inspeção'!J271='Resultado da inspeção'!$W$3,0%,Ranking!V271)</f>
        <v>0.21</v>
      </c>
      <c r="AL271" s="50">
        <f>IF('Resultado da inspeção'!K271='Resultado da inspeção'!$W$3,0%,Ranking!W271)</f>
        <v>0.05</v>
      </c>
      <c r="AM271" s="50">
        <f>IF('Resultado da inspeção'!L271='Resultado da inspeção'!$W$3,0%,Ranking!X271)</f>
        <v>0.24</v>
      </c>
      <c r="AN271" s="50">
        <f>IF('Resultado da inspeção'!M271='Resultado da inspeção'!$W$3,0%,Ranking!Y271)</f>
        <v>0</v>
      </c>
      <c r="AO271" s="50">
        <f>IF('Resultado da inspeção'!N271='Resultado da inspeção'!$W$3,0%,Ranking!Z271)</f>
        <v>0</v>
      </c>
      <c r="AP271" s="50">
        <f>IF('Resultado da inspeção'!O271='Resultado da inspeção'!$W$3,0%,Ranking!AA271)</f>
        <v>0.06</v>
      </c>
      <c r="AQ271" s="50">
        <f>IF('Resultado da inspeção'!P271='Resultado da inspeção'!$W$3,0%,Ranking!AB271)</f>
        <v>0.08</v>
      </c>
      <c r="AR271" s="50">
        <f>IF('Resultado da inspeção'!Q271='Resultado da inspeção'!$W$3,0%,Ranking!AC271)</f>
        <v>0.05</v>
      </c>
      <c r="AS271" s="50">
        <f>IF('Resultado da inspeção'!R271='Resultado da inspeção'!$W$3,0%,Ranking!AD271)</f>
        <v>0.02</v>
      </c>
      <c r="AT271" s="50">
        <f>IF('Resultado da inspeção'!S271='Resultado da inspeção'!$W$3,0%,Ranking!AE271)</f>
        <v>0.02</v>
      </c>
      <c r="AU271" s="49">
        <f t="shared" si="90"/>
        <v>0.73000000000000009</v>
      </c>
    </row>
    <row r="272" spans="2:47" x14ac:dyDescent="0.25">
      <c r="B272" s="48">
        <f>IF('Resultado da inspeção'!F272='Resultado da inspeção'!$W$4,0%,Ranking!B$5)</f>
        <v>0.02</v>
      </c>
      <c r="C272" s="48">
        <f>IF('Resultado da inspeção'!G272='Resultado da inspeção'!$W$4,0%,Ranking!C$5)</f>
        <v>0.03</v>
      </c>
      <c r="D272" s="48">
        <f>IF('Resultado da inspeção'!H272='Resultado da inspeção'!$W$4,0%,Ranking!D$5)</f>
        <v>0.03</v>
      </c>
      <c r="E272" s="48">
        <f>IF('Resultado da inspeção'!I272='Resultado da inspeção'!$W$4,0%,Ranking!E$5)</f>
        <v>0.1</v>
      </c>
      <c r="F272" s="48">
        <f>IF('Resultado da inspeção'!J272='Resultado da inspeção'!$W$4,0%,Ranking!F$5)</f>
        <v>0.21</v>
      </c>
      <c r="G272" s="48">
        <f>IF('Resultado da inspeção'!K272='Resultado da inspeção'!$W$4,0%,Ranking!G$5)</f>
        <v>0.05</v>
      </c>
      <c r="H272" s="48">
        <f>IF('Resultado da inspeção'!L272='Resultado da inspeção'!$W$4,0%,Ranking!H$5)</f>
        <v>0.24</v>
      </c>
      <c r="I272" s="48">
        <f>IF('Resultado da inspeção'!M272='Resultado da inspeção'!$W$4,0%,Ranking!I$5)</f>
        <v>0</v>
      </c>
      <c r="J272" s="48">
        <f>IF('Resultado da inspeção'!N272='Resultado da inspeção'!$W$4,0%,Ranking!J$5)</f>
        <v>0</v>
      </c>
      <c r="K272" s="48">
        <f>IF('Resultado da inspeção'!O272='Resultado da inspeção'!$W$4,0%,Ranking!K$5)</f>
        <v>0.06</v>
      </c>
      <c r="L272" s="48">
        <f>IF('Resultado da inspeção'!P272='Resultado da inspeção'!$W$4,0%,Ranking!L$5)</f>
        <v>0.08</v>
      </c>
      <c r="M272" s="48">
        <f>IF('Resultado da inspeção'!Q272='Resultado da inspeção'!$W$4,0%,Ranking!M$5)</f>
        <v>0.05</v>
      </c>
      <c r="N272" s="48">
        <f>IF('Resultado da inspeção'!R272='Resultado da inspeção'!$W$4,0%,Ranking!N$5)</f>
        <v>0.02</v>
      </c>
      <c r="O272" s="48">
        <f>IF('Resultado da inspeção'!S272='Resultado da inspeção'!$W$4,0%,Ranking!O$5)</f>
        <v>0.02</v>
      </c>
      <c r="P272" s="47">
        <f t="shared" si="73"/>
        <v>0.91</v>
      </c>
      <c r="Q272" s="49">
        <f t="shared" si="88"/>
        <v>8.9999999999999969E-2</v>
      </c>
      <c r="R272" s="50">
        <f t="shared" si="74"/>
        <v>2.1978021978021976E-2</v>
      </c>
      <c r="S272" s="50">
        <f t="shared" si="75"/>
        <v>3.2967032967032968E-2</v>
      </c>
      <c r="T272" s="50">
        <f t="shared" si="76"/>
        <v>3.2967032967032968E-2</v>
      </c>
      <c r="U272" s="50">
        <f t="shared" si="77"/>
        <v>0.10989010989010989</v>
      </c>
      <c r="V272" s="50">
        <f t="shared" si="78"/>
        <v>0.23076923076923075</v>
      </c>
      <c r="W272" s="50">
        <f t="shared" si="79"/>
        <v>5.4945054945054944E-2</v>
      </c>
      <c r="X272" s="50">
        <f t="shared" si="80"/>
        <v>0.26373626373626374</v>
      </c>
      <c r="Y272" s="50">
        <f t="shared" si="81"/>
        <v>0</v>
      </c>
      <c r="Z272" s="50">
        <f t="shared" si="82"/>
        <v>0</v>
      </c>
      <c r="AA272" s="50">
        <f t="shared" si="83"/>
        <v>6.5934065934065936E-2</v>
      </c>
      <c r="AB272" s="50">
        <f t="shared" si="84"/>
        <v>8.7912087912087905E-2</v>
      </c>
      <c r="AC272" s="50">
        <f t="shared" si="85"/>
        <v>5.4945054945054944E-2</v>
      </c>
      <c r="AD272" s="50">
        <f t="shared" si="86"/>
        <v>2.1978021978021976E-2</v>
      </c>
      <c r="AE272" s="50">
        <f t="shared" si="87"/>
        <v>2.1978021978021976E-2</v>
      </c>
      <c r="AF272" s="47">
        <f t="shared" si="89"/>
        <v>1</v>
      </c>
      <c r="AG272" s="50">
        <f>IF('Resultado da inspeção'!F272='Resultado da inspeção'!$W$3,0%,Ranking!R272)</f>
        <v>0</v>
      </c>
      <c r="AH272" s="50">
        <f>IF('Resultado da inspeção'!G272='Resultado da inspeção'!$W$3,0%,Ranking!S272)</f>
        <v>3.2967032967032968E-2</v>
      </c>
      <c r="AI272" s="50">
        <f>IF('Resultado da inspeção'!H272='Resultado da inspeção'!$W$3,0%,Ranking!T272)</f>
        <v>3.2967032967032968E-2</v>
      </c>
      <c r="AJ272" s="50">
        <f>IF('Resultado da inspeção'!I272='Resultado da inspeção'!$W$3,0%,Ranking!U272)</f>
        <v>0.10989010989010989</v>
      </c>
      <c r="AK272" s="50">
        <f>IF('Resultado da inspeção'!J272='Resultado da inspeção'!$W$3,0%,Ranking!V272)</f>
        <v>0.23076923076923075</v>
      </c>
      <c r="AL272" s="50">
        <f>IF('Resultado da inspeção'!K272='Resultado da inspeção'!$W$3,0%,Ranking!W272)</f>
        <v>5.4945054945054944E-2</v>
      </c>
      <c r="AM272" s="50">
        <f>IF('Resultado da inspeção'!L272='Resultado da inspeção'!$W$3,0%,Ranking!X272)</f>
        <v>0</v>
      </c>
      <c r="AN272" s="50">
        <f>IF('Resultado da inspeção'!M272='Resultado da inspeção'!$W$3,0%,Ranking!Y272)</f>
        <v>0</v>
      </c>
      <c r="AO272" s="50">
        <f>IF('Resultado da inspeção'!N272='Resultado da inspeção'!$W$3,0%,Ranking!Z272)</f>
        <v>0</v>
      </c>
      <c r="AP272" s="50">
        <f>IF('Resultado da inspeção'!O272='Resultado da inspeção'!$W$3,0%,Ranking!AA272)</f>
        <v>6.5934065934065936E-2</v>
      </c>
      <c r="AQ272" s="50">
        <f>IF('Resultado da inspeção'!P272='Resultado da inspeção'!$W$3,0%,Ranking!AB272)</f>
        <v>8.7912087912087905E-2</v>
      </c>
      <c r="AR272" s="50">
        <f>IF('Resultado da inspeção'!Q272='Resultado da inspeção'!$W$3,0%,Ranking!AC272)</f>
        <v>5.4945054945054944E-2</v>
      </c>
      <c r="AS272" s="50">
        <f>IF('Resultado da inspeção'!R272='Resultado da inspeção'!$W$3,0%,Ranking!AD272)</f>
        <v>2.1978021978021976E-2</v>
      </c>
      <c r="AT272" s="50">
        <f>IF('Resultado da inspeção'!S272='Resultado da inspeção'!$W$3,0%,Ranking!AE272)</f>
        <v>2.1978021978021976E-2</v>
      </c>
      <c r="AU272" s="49">
        <f t="shared" si="90"/>
        <v>0.71428571428571441</v>
      </c>
    </row>
    <row r="273" spans="2:47" x14ac:dyDescent="0.25">
      <c r="B273" s="48">
        <f>IF('Resultado da inspeção'!F273='Resultado da inspeção'!$W$4,0%,Ranking!B$5)</f>
        <v>0.02</v>
      </c>
      <c r="C273" s="48">
        <f>IF('Resultado da inspeção'!G273='Resultado da inspeção'!$W$4,0%,Ranking!C$5)</f>
        <v>0.03</v>
      </c>
      <c r="D273" s="48">
        <f>IF('Resultado da inspeção'!H273='Resultado da inspeção'!$W$4,0%,Ranking!D$5)</f>
        <v>0.03</v>
      </c>
      <c r="E273" s="48">
        <f>IF('Resultado da inspeção'!I273='Resultado da inspeção'!$W$4,0%,Ranking!E$5)</f>
        <v>0.1</v>
      </c>
      <c r="F273" s="48">
        <f>IF('Resultado da inspeção'!J273='Resultado da inspeção'!$W$4,0%,Ranking!F$5)</f>
        <v>0.21</v>
      </c>
      <c r="G273" s="48">
        <f>IF('Resultado da inspeção'!K273='Resultado da inspeção'!$W$4,0%,Ranking!G$5)</f>
        <v>0.05</v>
      </c>
      <c r="H273" s="48">
        <f>IF('Resultado da inspeção'!L273='Resultado da inspeção'!$W$4,0%,Ranking!H$5)</f>
        <v>0</v>
      </c>
      <c r="I273" s="48">
        <f>IF('Resultado da inspeção'!M273='Resultado da inspeção'!$W$4,0%,Ranking!I$5)</f>
        <v>0.05</v>
      </c>
      <c r="J273" s="48">
        <f>IF('Resultado da inspeção'!N273='Resultado da inspeção'!$W$4,0%,Ranking!J$5)</f>
        <v>0.04</v>
      </c>
      <c r="K273" s="48">
        <f>IF('Resultado da inspeção'!O273='Resultado da inspeção'!$W$4,0%,Ranking!K$5)</f>
        <v>0.06</v>
      </c>
      <c r="L273" s="48">
        <f>IF('Resultado da inspeção'!P273='Resultado da inspeção'!$W$4,0%,Ranking!L$5)</f>
        <v>0.08</v>
      </c>
      <c r="M273" s="48">
        <f>IF('Resultado da inspeção'!Q273='Resultado da inspeção'!$W$4,0%,Ranking!M$5)</f>
        <v>0.05</v>
      </c>
      <c r="N273" s="48">
        <f>IF('Resultado da inspeção'!R273='Resultado da inspeção'!$W$4,0%,Ranking!N$5)</f>
        <v>0.02</v>
      </c>
      <c r="O273" s="48">
        <f>IF('Resultado da inspeção'!S273='Resultado da inspeção'!$W$4,0%,Ranking!O$5)</f>
        <v>0.02</v>
      </c>
      <c r="P273" s="47">
        <f t="shared" si="73"/>
        <v>0.76000000000000012</v>
      </c>
      <c r="Q273" s="49">
        <f t="shared" si="88"/>
        <v>0.23999999999999988</v>
      </c>
      <c r="R273" s="50">
        <f t="shared" si="74"/>
        <v>2.6315789473684206E-2</v>
      </c>
      <c r="S273" s="50">
        <f t="shared" si="75"/>
        <v>3.9473684210526307E-2</v>
      </c>
      <c r="T273" s="50">
        <f t="shared" si="76"/>
        <v>3.9473684210526307E-2</v>
      </c>
      <c r="U273" s="50">
        <f t="shared" si="77"/>
        <v>0.13157894736842105</v>
      </c>
      <c r="V273" s="50">
        <f t="shared" si="78"/>
        <v>0.27631578947368418</v>
      </c>
      <c r="W273" s="50">
        <f t="shared" si="79"/>
        <v>6.5789473684210523E-2</v>
      </c>
      <c r="X273" s="50">
        <f t="shared" si="80"/>
        <v>0</v>
      </c>
      <c r="Y273" s="50">
        <f t="shared" si="81"/>
        <v>6.5789473684210523E-2</v>
      </c>
      <c r="Z273" s="50">
        <f t="shared" si="82"/>
        <v>5.2631578947368411E-2</v>
      </c>
      <c r="AA273" s="50">
        <f t="shared" si="83"/>
        <v>7.8947368421052613E-2</v>
      </c>
      <c r="AB273" s="50">
        <f t="shared" si="84"/>
        <v>0.10526315789473682</v>
      </c>
      <c r="AC273" s="50">
        <f t="shared" si="85"/>
        <v>6.5789473684210523E-2</v>
      </c>
      <c r="AD273" s="50">
        <f t="shared" si="86"/>
        <v>2.6315789473684206E-2</v>
      </c>
      <c r="AE273" s="50">
        <f t="shared" si="87"/>
        <v>2.6315789473684206E-2</v>
      </c>
      <c r="AF273" s="47">
        <f t="shared" si="89"/>
        <v>0.99999999999999978</v>
      </c>
      <c r="AG273" s="50">
        <f>IF('Resultado da inspeção'!F273='Resultado da inspeção'!$W$3,0%,Ranking!R273)</f>
        <v>0</v>
      </c>
      <c r="AH273" s="50">
        <f>IF('Resultado da inspeção'!G273='Resultado da inspeção'!$W$3,0%,Ranking!S273)</f>
        <v>0</v>
      </c>
      <c r="AI273" s="50">
        <f>IF('Resultado da inspeção'!H273='Resultado da inspeção'!$W$3,0%,Ranking!T273)</f>
        <v>0</v>
      </c>
      <c r="AJ273" s="50">
        <f>IF('Resultado da inspeção'!I273='Resultado da inspeção'!$W$3,0%,Ranking!U273)</f>
        <v>0</v>
      </c>
      <c r="AK273" s="50">
        <f>IF('Resultado da inspeção'!J273='Resultado da inspeção'!$W$3,0%,Ranking!V273)</f>
        <v>0</v>
      </c>
      <c r="AL273" s="50">
        <f>IF('Resultado da inspeção'!K273='Resultado da inspeção'!$W$3,0%,Ranking!W273)</f>
        <v>6.5789473684210523E-2</v>
      </c>
      <c r="AM273" s="50">
        <f>IF('Resultado da inspeção'!L273='Resultado da inspeção'!$W$3,0%,Ranking!X273)</f>
        <v>0</v>
      </c>
      <c r="AN273" s="50">
        <f>IF('Resultado da inspeção'!M273='Resultado da inspeção'!$W$3,0%,Ranking!Y273)</f>
        <v>0</v>
      </c>
      <c r="AO273" s="50">
        <f>IF('Resultado da inspeção'!N273='Resultado da inspeção'!$W$3,0%,Ranking!Z273)</f>
        <v>0</v>
      </c>
      <c r="AP273" s="50">
        <f>IF('Resultado da inspeção'!O273='Resultado da inspeção'!$W$3,0%,Ranking!AA273)</f>
        <v>7.8947368421052613E-2</v>
      </c>
      <c r="AQ273" s="50">
        <f>IF('Resultado da inspeção'!P273='Resultado da inspeção'!$W$3,0%,Ranking!AB273)</f>
        <v>0.10526315789473682</v>
      </c>
      <c r="AR273" s="50">
        <f>IF('Resultado da inspeção'!Q273='Resultado da inspeção'!$W$3,0%,Ranking!AC273)</f>
        <v>6.5789473684210523E-2</v>
      </c>
      <c r="AS273" s="50">
        <f>IF('Resultado da inspeção'!R273='Resultado da inspeção'!$W$3,0%,Ranking!AD273)</f>
        <v>2.6315789473684206E-2</v>
      </c>
      <c r="AT273" s="50">
        <f>IF('Resultado da inspeção'!S273='Resultado da inspeção'!$W$3,0%,Ranking!AE273)</f>
        <v>2.6315789473684206E-2</v>
      </c>
      <c r="AU273" s="49">
        <f t="shared" si="90"/>
        <v>0.36842105263157882</v>
      </c>
    </row>
    <row r="274" spans="2:47" x14ac:dyDescent="0.25">
      <c r="B274" s="48">
        <f>IF('Resultado da inspeção'!F274='Resultado da inspeção'!$W$4,0%,Ranking!B$5)</f>
        <v>0.02</v>
      </c>
      <c r="C274" s="48">
        <f>IF('Resultado da inspeção'!G274='Resultado da inspeção'!$W$4,0%,Ranking!C$5)</f>
        <v>0.03</v>
      </c>
      <c r="D274" s="48">
        <f>IF('Resultado da inspeção'!H274='Resultado da inspeção'!$W$4,0%,Ranking!D$5)</f>
        <v>0.03</v>
      </c>
      <c r="E274" s="48">
        <f>IF('Resultado da inspeção'!I274='Resultado da inspeção'!$W$4,0%,Ranking!E$5)</f>
        <v>0.1</v>
      </c>
      <c r="F274" s="48">
        <f>IF('Resultado da inspeção'!J274='Resultado da inspeção'!$W$4,0%,Ranking!F$5)</f>
        <v>0.21</v>
      </c>
      <c r="G274" s="48">
        <f>IF('Resultado da inspeção'!K274='Resultado da inspeção'!$W$4,0%,Ranking!G$5)</f>
        <v>0.05</v>
      </c>
      <c r="H274" s="48">
        <f>IF('Resultado da inspeção'!L274='Resultado da inspeção'!$W$4,0%,Ranking!H$5)</f>
        <v>0.24</v>
      </c>
      <c r="I274" s="48">
        <f>IF('Resultado da inspeção'!M274='Resultado da inspeção'!$W$4,0%,Ranking!I$5)</f>
        <v>0.05</v>
      </c>
      <c r="J274" s="48">
        <f>IF('Resultado da inspeção'!N274='Resultado da inspeção'!$W$4,0%,Ranking!J$5)</f>
        <v>0.04</v>
      </c>
      <c r="K274" s="48">
        <f>IF('Resultado da inspeção'!O274='Resultado da inspeção'!$W$4,0%,Ranking!K$5)</f>
        <v>0.06</v>
      </c>
      <c r="L274" s="48">
        <f>IF('Resultado da inspeção'!P274='Resultado da inspeção'!$W$4,0%,Ranking!L$5)</f>
        <v>0.08</v>
      </c>
      <c r="M274" s="48">
        <f>IF('Resultado da inspeção'!Q274='Resultado da inspeção'!$W$4,0%,Ranking!M$5)</f>
        <v>0.05</v>
      </c>
      <c r="N274" s="48">
        <f>IF('Resultado da inspeção'!R274='Resultado da inspeção'!$W$4,0%,Ranking!N$5)</f>
        <v>0.02</v>
      </c>
      <c r="O274" s="48">
        <f>IF('Resultado da inspeção'!S274='Resultado da inspeção'!$W$4,0%,Ranking!O$5)</f>
        <v>0.02</v>
      </c>
      <c r="P274" s="47">
        <f t="shared" si="73"/>
        <v>1</v>
      </c>
      <c r="Q274" s="49">
        <f t="shared" si="88"/>
        <v>0</v>
      </c>
      <c r="R274" s="50">
        <f t="shared" si="74"/>
        <v>0.02</v>
      </c>
      <c r="S274" s="50">
        <f t="shared" si="75"/>
        <v>0.03</v>
      </c>
      <c r="T274" s="50">
        <f t="shared" si="76"/>
        <v>0.03</v>
      </c>
      <c r="U274" s="50">
        <f t="shared" si="77"/>
        <v>0.1</v>
      </c>
      <c r="V274" s="50">
        <f t="shared" si="78"/>
        <v>0.21</v>
      </c>
      <c r="W274" s="50">
        <f t="shared" si="79"/>
        <v>0.05</v>
      </c>
      <c r="X274" s="50">
        <f t="shared" si="80"/>
        <v>0.24</v>
      </c>
      <c r="Y274" s="50">
        <f t="shared" si="81"/>
        <v>0.05</v>
      </c>
      <c r="Z274" s="50">
        <f t="shared" si="82"/>
        <v>0.04</v>
      </c>
      <c r="AA274" s="50">
        <f t="shared" si="83"/>
        <v>0.06</v>
      </c>
      <c r="AB274" s="50">
        <f t="shared" si="84"/>
        <v>0.08</v>
      </c>
      <c r="AC274" s="50">
        <f t="shared" si="85"/>
        <v>0.05</v>
      </c>
      <c r="AD274" s="50">
        <f t="shared" si="86"/>
        <v>0.02</v>
      </c>
      <c r="AE274" s="50">
        <f t="shared" si="87"/>
        <v>0.02</v>
      </c>
      <c r="AF274" s="47">
        <f t="shared" si="89"/>
        <v>1</v>
      </c>
      <c r="AG274" s="50">
        <f>IF('Resultado da inspeção'!F274='Resultado da inspeção'!$W$3,0%,Ranking!R274)</f>
        <v>0</v>
      </c>
      <c r="AH274" s="50">
        <f>IF('Resultado da inspeção'!G274='Resultado da inspeção'!$W$3,0%,Ranking!S274)</f>
        <v>0</v>
      </c>
      <c r="AI274" s="50">
        <f>IF('Resultado da inspeção'!H274='Resultado da inspeção'!$W$3,0%,Ranking!T274)</f>
        <v>0</v>
      </c>
      <c r="AJ274" s="50">
        <f>IF('Resultado da inspeção'!I274='Resultado da inspeção'!$W$3,0%,Ranking!U274)</f>
        <v>0</v>
      </c>
      <c r="AK274" s="50">
        <f>IF('Resultado da inspeção'!J274='Resultado da inspeção'!$W$3,0%,Ranking!V274)</f>
        <v>0</v>
      </c>
      <c r="AL274" s="50">
        <f>IF('Resultado da inspeção'!K274='Resultado da inspeção'!$W$3,0%,Ranking!W274)</f>
        <v>0</v>
      </c>
      <c r="AM274" s="50">
        <f>IF('Resultado da inspeção'!L274='Resultado da inspeção'!$W$3,0%,Ranking!X274)</f>
        <v>0</v>
      </c>
      <c r="AN274" s="50">
        <f>IF('Resultado da inspeção'!M274='Resultado da inspeção'!$W$3,0%,Ranking!Y274)</f>
        <v>0</v>
      </c>
      <c r="AO274" s="50">
        <f>IF('Resultado da inspeção'!N274='Resultado da inspeção'!$W$3,0%,Ranking!Z274)</f>
        <v>0</v>
      </c>
      <c r="AP274" s="50">
        <f>IF('Resultado da inspeção'!O274='Resultado da inspeção'!$W$3,0%,Ranking!AA274)</f>
        <v>0.06</v>
      </c>
      <c r="AQ274" s="50">
        <f>IF('Resultado da inspeção'!P274='Resultado da inspeção'!$W$3,0%,Ranking!AB274)</f>
        <v>0.08</v>
      </c>
      <c r="AR274" s="50">
        <f>IF('Resultado da inspeção'!Q274='Resultado da inspeção'!$W$3,0%,Ranking!AC274)</f>
        <v>0.05</v>
      </c>
      <c r="AS274" s="50">
        <f>IF('Resultado da inspeção'!R274='Resultado da inspeção'!$W$3,0%,Ranking!AD274)</f>
        <v>0.02</v>
      </c>
      <c r="AT274" s="50">
        <f>IF('Resultado da inspeção'!S274='Resultado da inspeção'!$W$3,0%,Ranking!AE274)</f>
        <v>0.02</v>
      </c>
      <c r="AU274" s="49">
        <f t="shared" si="90"/>
        <v>0.22999999999999998</v>
      </c>
    </row>
    <row r="275" spans="2:47" x14ac:dyDescent="0.25">
      <c r="B275" s="48">
        <f>IF('Resultado da inspeção'!F275='Resultado da inspeção'!$W$4,0%,Ranking!B$5)</f>
        <v>0.02</v>
      </c>
      <c r="C275" s="48">
        <f>IF('Resultado da inspeção'!G275='Resultado da inspeção'!$W$4,0%,Ranking!C$5)</f>
        <v>0.03</v>
      </c>
      <c r="D275" s="48">
        <f>IF('Resultado da inspeção'!H275='Resultado da inspeção'!$W$4,0%,Ranking!D$5)</f>
        <v>0.03</v>
      </c>
      <c r="E275" s="48">
        <f>IF('Resultado da inspeção'!I275='Resultado da inspeção'!$W$4,0%,Ranking!E$5)</f>
        <v>0</v>
      </c>
      <c r="F275" s="48">
        <f>IF('Resultado da inspeção'!J275='Resultado da inspeção'!$W$4,0%,Ranking!F$5)</f>
        <v>0.21</v>
      </c>
      <c r="G275" s="48">
        <f>IF('Resultado da inspeção'!K275='Resultado da inspeção'!$W$4,0%,Ranking!G$5)</f>
        <v>0.05</v>
      </c>
      <c r="H275" s="48">
        <f>IF('Resultado da inspeção'!L275='Resultado da inspeção'!$W$4,0%,Ranking!H$5)</f>
        <v>0</v>
      </c>
      <c r="I275" s="48">
        <f>IF('Resultado da inspeção'!M275='Resultado da inspeção'!$W$4,0%,Ranking!I$5)</f>
        <v>0</v>
      </c>
      <c r="J275" s="48">
        <f>IF('Resultado da inspeção'!N275='Resultado da inspeção'!$W$4,0%,Ranking!J$5)</f>
        <v>0</v>
      </c>
      <c r="K275" s="48">
        <f>IF('Resultado da inspeção'!O275='Resultado da inspeção'!$W$4,0%,Ranking!K$5)</f>
        <v>0.06</v>
      </c>
      <c r="L275" s="48">
        <f>IF('Resultado da inspeção'!P275='Resultado da inspeção'!$W$4,0%,Ranking!L$5)</f>
        <v>0.08</v>
      </c>
      <c r="M275" s="48">
        <f>IF('Resultado da inspeção'!Q275='Resultado da inspeção'!$W$4,0%,Ranking!M$5)</f>
        <v>0.05</v>
      </c>
      <c r="N275" s="48">
        <f>IF('Resultado da inspeção'!R275='Resultado da inspeção'!$W$4,0%,Ranking!N$5)</f>
        <v>0.02</v>
      </c>
      <c r="O275" s="48">
        <f>IF('Resultado da inspeção'!S275='Resultado da inspeção'!$W$4,0%,Ranking!O$5)</f>
        <v>0.02</v>
      </c>
      <c r="P275" s="47">
        <f t="shared" si="73"/>
        <v>0.57000000000000006</v>
      </c>
      <c r="Q275" s="49">
        <f t="shared" si="88"/>
        <v>0.42999999999999994</v>
      </c>
      <c r="R275" s="50">
        <f t="shared" si="74"/>
        <v>3.5087719298245612E-2</v>
      </c>
      <c r="S275" s="50">
        <f t="shared" si="75"/>
        <v>5.2631578947368411E-2</v>
      </c>
      <c r="T275" s="50">
        <f t="shared" si="76"/>
        <v>5.2631578947368411E-2</v>
      </c>
      <c r="U275" s="50">
        <f t="shared" si="77"/>
        <v>0</v>
      </c>
      <c r="V275" s="50">
        <f t="shared" si="78"/>
        <v>0.36842105263157887</v>
      </c>
      <c r="W275" s="50">
        <f t="shared" si="79"/>
        <v>8.771929824561403E-2</v>
      </c>
      <c r="X275" s="50">
        <f t="shared" si="80"/>
        <v>0</v>
      </c>
      <c r="Y275" s="50">
        <f t="shared" si="81"/>
        <v>0</v>
      </c>
      <c r="Z275" s="50">
        <f t="shared" si="82"/>
        <v>0</v>
      </c>
      <c r="AA275" s="50">
        <f t="shared" si="83"/>
        <v>0.10526315789473682</v>
      </c>
      <c r="AB275" s="50">
        <f t="shared" si="84"/>
        <v>0.14035087719298245</v>
      </c>
      <c r="AC275" s="50">
        <f t="shared" si="85"/>
        <v>8.771929824561403E-2</v>
      </c>
      <c r="AD275" s="50">
        <f t="shared" si="86"/>
        <v>3.5087719298245612E-2</v>
      </c>
      <c r="AE275" s="50">
        <f t="shared" si="87"/>
        <v>3.5087719298245612E-2</v>
      </c>
      <c r="AF275" s="47">
        <f t="shared" si="89"/>
        <v>0.99999999999999978</v>
      </c>
      <c r="AG275" s="50">
        <f>IF('Resultado da inspeção'!F275='Resultado da inspeção'!$W$3,0%,Ranking!R275)</f>
        <v>3.5087719298245612E-2</v>
      </c>
      <c r="AH275" s="50">
        <f>IF('Resultado da inspeção'!G275='Resultado da inspeção'!$W$3,0%,Ranking!S275)</f>
        <v>0</v>
      </c>
      <c r="AI275" s="50">
        <f>IF('Resultado da inspeção'!H275='Resultado da inspeção'!$W$3,0%,Ranking!T275)</f>
        <v>0</v>
      </c>
      <c r="AJ275" s="50">
        <f>IF('Resultado da inspeção'!I275='Resultado da inspeção'!$W$3,0%,Ranking!U275)</f>
        <v>0</v>
      </c>
      <c r="AK275" s="50">
        <f>IF('Resultado da inspeção'!J275='Resultado da inspeção'!$W$3,0%,Ranking!V275)</f>
        <v>0</v>
      </c>
      <c r="AL275" s="50">
        <f>IF('Resultado da inspeção'!K275='Resultado da inspeção'!$W$3,0%,Ranking!W275)</f>
        <v>8.771929824561403E-2</v>
      </c>
      <c r="AM275" s="50">
        <f>IF('Resultado da inspeção'!L275='Resultado da inspeção'!$W$3,0%,Ranking!X275)</f>
        <v>0</v>
      </c>
      <c r="AN275" s="50">
        <f>IF('Resultado da inspeção'!M275='Resultado da inspeção'!$W$3,0%,Ranking!Y275)</f>
        <v>0</v>
      </c>
      <c r="AO275" s="50">
        <f>IF('Resultado da inspeção'!N275='Resultado da inspeção'!$W$3,0%,Ranking!Z275)</f>
        <v>0</v>
      </c>
      <c r="AP275" s="50">
        <f>IF('Resultado da inspeção'!O275='Resultado da inspeção'!$W$3,0%,Ranking!AA275)</f>
        <v>0.10526315789473682</v>
      </c>
      <c r="AQ275" s="50">
        <f>IF('Resultado da inspeção'!P275='Resultado da inspeção'!$W$3,0%,Ranking!AB275)</f>
        <v>0.14035087719298245</v>
      </c>
      <c r="AR275" s="50">
        <f>IF('Resultado da inspeção'!Q275='Resultado da inspeção'!$W$3,0%,Ranking!AC275)</f>
        <v>8.771929824561403E-2</v>
      </c>
      <c r="AS275" s="50">
        <f>IF('Resultado da inspeção'!R275='Resultado da inspeção'!$W$3,0%,Ranking!AD275)</f>
        <v>3.5087719298245612E-2</v>
      </c>
      <c r="AT275" s="50">
        <f>IF('Resultado da inspeção'!S275='Resultado da inspeção'!$W$3,0%,Ranking!AE275)</f>
        <v>3.5087719298245612E-2</v>
      </c>
      <c r="AU275" s="49">
        <f t="shared" si="90"/>
        <v>0.52631578947368418</v>
      </c>
    </row>
    <row r="276" spans="2:47" x14ac:dyDescent="0.25">
      <c r="B276" s="48">
        <f>IF('Resultado da inspeção'!F276='Resultado da inspeção'!$W$4,0%,Ranking!B$5)</f>
        <v>0.02</v>
      </c>
      <c r="C276" s="48">
        <f>IF('Resultado da inspeção'!G276='Resultado da inspeção'!$W$4,0%,Ranking!C$5)</f>
        <v>0.03</v>
      </c>
      <c r="D276" s="48">
        <f>IF('Resultado da inspeção'!H276='Resultado da inspeção'!$W$4,0%,Ranking!D$5)</f>
        <v>0.03</v>
      </c>
      <c r="E276" s="48">
        <f>IF('Resultado da inspeção'!I276='Resultado da inspeção'!$W$4,0%,Ranking!E$5)</f>
        <v>0</v>
      </c>
      <c r="F276" s="48">
        <f>IF('Resultado da inspeção'!J276='Resultado da inspeção'!$W$4,0%,Ranking!F$5)</f>
        <v>0.21</v>
      </c>
      <c r="G276" s="48">
        <f>IF('Resultado da inspeção'!K276='Resultado da inspeção'!$W$4,0%,Ranking!G$5)</f>
        <v>0.05</v>
      </c>
      <c r="H276" s="48">
        <f>IF('Resultado da inspeção'!L276='Resultado da inspeção'!$W$4,0%,Ranking!H$5)</f>
        <v>0</v>
      </c>
      <c r="I276" s="48">
        <f>IF('Resultado da inspeção'!M276='Resultado da inspeção'!$W$4,0%,Ranking!I$5)</f>
        <v>0</v>
      </c>
      <c r="J276" s="48">
        <f>IF('Resultado da inspeção'!N276='Resultado da inspeção'!$W$4,0%,Ranking!J$5)</f>
        <v>0</v>
      </c>
      <c r="K276" s="48">
        <f>IF('Resultado da inspeção'!O276='Resultado da inspeção'!$W$4,0%,Ranking!K$5)</f>
        <v>0.06</v>
      </c>
      <c r="L276" s="48">
        <f>IF('Resultado da inspeção'!P276='Resultado da inspeção'!$W$4,0%,Ranking!L$5)</f>
        <v>0.08</v>
      </c>
      <c r="M276" s="48">
        <f>IF('Resultado da inspeção'!Q276='Resultado da inspeção'!$W$4,0%,Ranking!M$5)</f>
        <v>0.05</v>
      </c>
      <c r="N276" s="48">
        <f>IF('Resultado da inspeção'!R276='Resultado da inspeção'!$W$4,0%,Ranking!N$5)</f>
        <v>0.02</v>
      </c>
      <c r="O276" s="48">
        <f>IF('Resultado da inspeção'!S276='Resultado da inspeção'!$W$4,0%,Ranking!O$5)</f>
        <v>0.02</v>
      </c>
      <c r="P276" s="47">
        <f t="shared" si="73"/>
        <v>0.57000000000000006</v>
      </c>
      <c r="Q276" s="49">
        <f t="shared" si="88"/>
        <v>0.42999999999999994</v>
      </c>
      <c r="R276" s="50">
        <f t="shared" si="74"/>
        <v>3.5087719298245612E-2</v>
      </c>
      <c r="S276" s="50">
        <f t="shared" si="75"/>
        <v>5.2631578947368411E-2</v>
      </c>
      <c r="T276" s="50">
        <f t="shared" si="76"/>
        <v>5.2631578947368411E-2</v>
      </c>
      <c r="U276" s="50">
        <f t="shared" si="77"/>
        <v>0</v>
      </c>
      <c r="V276" s="50">
        <f t="shared" si="78"/>
        <v>0.36842105263157887</v>
      </c>
      <c r="W276" s="50">
        <f t="shared" si="79"/>
        <v>8.771929824561403E-2</v>
      </c>
      <c r="X276" s="50">
        <f t="shared" si="80"/>
        <v>0</v>
      </c>
      <c r="Y276" s="50">
        <f t="shared" si="81"/>
        <v>0</v>
      </c>
      <c r="Z276" s="50">
        <f t="shared" si="82"/>
        <v>0</v>
      </c>
      <c r="AA276" s="50">
        <f t="shared" si="83"/>
        <v>0.10526315789473682</v>
      </c>
      <c r="AB276" s="50">
        <f t="shared" si="84"/>
        <v>0.14035087719298245</v>
      </c>
      <c r="AC276" s="50">
        <f t="shared" si="85"/>
        <v>8.771929824561403E-2</v>
      </c>
      <c r="AD276" s="50">
        <f t="shared" si="86"/>
        <v>3.5087719298245612E-2</v>
      </c>
      <c r="AE276" s="50">
        <f t="shared" si="87"/>
        <v>3.5087719298245612E-2</v>
      </c>
      <c r="AF276" s="47">
        <f t="shared" si="89"/>
        <v>0.99999999999999978</v>
      </c>
      <c r="AG276" s="50">
        <f>IF('Resultado da inspeção'!F276='Resultado da inspeção'!$W$3,0%,Ranking!R276)</f>
        <v>0</v>
      </c>
      <c r="AH276" s="50">
        <f>IF('Resultado da inspeção'!G276='Resultado da inspeção'!$W$3,0%,Ranking!S276)</f>
        <v>0</v>
      </c>
      <c r="AI276" s="50">
        <f>IF('Resultado da inspeção'!H276='Resultado da inspeção'!$W$3,0%,Ranking!T276)</f>
        <v>0</v>
      </c>
      <c r="AJ276" s="50">
        <f>IF('Resultado da inspeção'!I276='Resultado da inspeção'!$W$3,0%,Ranking!U276)</f>
        <v>0</v>
      </c>
      <c r="AK276" s="50">
        <f>IF('Resultado da inspeção'!J276='Resultado da inspeção'!$W$3,0%,Ranking!V276)</f>
        <v>0</v>
      </c>
      <c r="AL276" s="50">
        <f>IF('Resultado da inspeção'!K276='Resultado da inspeção'!$W$3,0%,Ranking!W276)</f>
        <v>0</v>
      </c>
      <c r="AM276" s="50">
        <f>IF('Resultado da inspeção'!L276='Resultado da inspeção'!$W$3,0%,Ranking!X276)</f>
        <v>0</v>
      </c>
      <c r="AN276" s="50">
        <f>IF('Resultado da inspeção'!M276='Resultado da inspeção'!$W$3,0%,Ranking!Y276)</f>
        <v>0</v>
      </c>
      <c r="AO276" s="50">
        <f>IF('Resultado da inspeção'!N276='Resultado da inspeção'!$W$3,0%,Ranking!Z276)</f>
        <v>0</v>
      </c>
      <c r="AP276" s="50">
        <f>IF('Resultado da inspeção'!O276='Resultado da inspeção'!$W$3,0%,Ranking!AA276)</f>
        <v>0.10526315789473682</v>
      </c>
      <c r="AQ276" s="50">
        <f>IF('Resultado da inspeção'!P276='Resultado da inspeção'!$W$3,0%,Ranking!AB276)</f>
        <v>0.14035087719298245</v>
      </c>
      <c r="AR276" s="50">
        <f>IF('Resultado da inspeção'!Q276='Resultado da inspeção'!$W$3,0%,Ranking!AC276)</f>
        <v>8.771929824561403E-2</v>
      </c>
      <c r="AS276" s="50">
        <f>IF('Resultado da inspeção'!R276='Resultado da inspeção'!$W$3,0%,Ranking!AD276)</f>
        <v>3.5087719298245612E-2</v>
      </c>
      <c r="AT276" s="50">
        <f>IF('Resultado da inspeção'!S276='Resultado da inspeção'!$W$3,0%,Ranking!AE276)</f>
        <v>3.5087719298245612E-2</v>
      </c>
      <c r="AU276" s="49">
        <f t="shared" si="90"/>
        <v>0.40350877192982454</v>
      </c>
    </row>
    <row r="277" spans="2:47" x14ac:dyDescent="0.25">
      <c r="B277" s="48">
        <f>IF('Resultado da inspeção'!F277='Resultado da inspeção'!$W$4,0%,Ranking!B$5)</f>
        <v>0.02</v>
      </c>
      <c r="C277" s="48">
        <f>IF('Resultado da inspeção'!G277='Resultado da inspeção'!$W$4,0%,Ranking!C$5)</f>
        <v>0.03</v>
      </c>
      <c r="D277" s="48">
        <f>IF('Resultado da inspeção'!H277='Resultado da inspeção'!$W$4,0%,Ranking!D$5)</f>
        <v>0.03</v>
      </c>
      <c r="E277" s="48">
        <f>IF('Resultado da inspeção'!I277='Resultado da inspeção'!$W$4,0%,Ranking!E$5)</f>
        <v>0.1</v>
      </c>
      <c r="F277" s="48">
        <f>IF('Resultado da inspeção'!J277='Resultado da inspeção'!$W$4,0%,Ranking!F$5)</f>
        <v>0.21</v>
      </c>
      <c r="G277" s="48">
        <f>IF('Resultado da inspeção'!K277='Resultado da inspeção'!$W$4,0%,Ranking!G$5)</f>
        <v>0.05</v>
      </c>
      <c r="H277" s="48">
        <f>IF('Resultado da inspeção'!L277='Resultado da inspeção'!$W$4,0%,Ranking!H$5)</f>
        <v>0.24</v>
      </c>
      <c r="I277" s="48">
        <f>IF('Resultado da inspeção'!M277='Resultado da inspeção'!$W$4,0%,Ranking!I$5)</f>
        <v>0</v>
      </c>
      <c r="J277" s="48">
        <f>IF('Resultado da inspeção'!N277='Resultado da inspeção'!$W$4,0%,Ranking!J$5)</f>
        <v>0</v>
      </c>
      <c r="K277" s="48">
        <f>IF('Resultado da inspeção'!O277='Resultado da inspeção'!$W$4,0%,Ranking!K$5)</f>
        <v>0.06</v>
      </c>
      <c r="L277" s="48">
        <f>IF('Resultado da inspeção'!P277='Resultado da inspeção'!$W$4,0%,Ranking!L$5)</f>
        <v>0.08</v>
      </c>
      <c r="M277" s="48">
        <f>IF('Resultado da inspeção'!Q277='Resultado da inspeção'!$W$4,0%,Ranking!M$5)</f>
        <v>0.05</v>
      </c>
      <c r="N277" s="48">
        <f>IF('Resultado da inspeção'!R277='Resultado da inspeção'!$W$4,0%,Ranking!N$5)</f>
        <v>0.02</v>
      </c>
      <c r="O277" s="48">
        <f>IF('Resultado da inspeção'!S277='Resultado da inspeção'!$W$4,0%,Ranking!O$5)</f>
        <v>0.02</v>
      </c>
      <c r="P277" s="47">
        <f t="shared" si="73"/>
        <v>0.91</v>
      </c>
      <c r="Q277" s="49">
        <f t="shared" si="88"/>
        <v>8.9999999999999969E-2</v>
      </c>
      <c r="R277" s="50">
        <f t="shared" si="74"/>
        <v>2.1978021978021976E-2</v>
      </c>
      <c r="S277" s="50">
        <f t="shared" si="75"/>
        <v>3.2967032967032968E-2</v>
      </c>
      <c r="T277" s="50">
        <f t="shared" si="76"/>
        <v>3.2967032967032968E-2</v>
      </c>
      <c r="U277" s="50">
        <f t="shared" si="77"/>
        <v>0.10989010989010989</v>
      </c>
      <c r="V277" s="50">
        <f t="shared" si="78"/>
        <v>0.23076923076923075</v>
      </c>
      <c r="W277" s="50">
        <f t="shared" si="79"/>
        <v>5.4945054945054944E-2</v>
      </c>
      <c r="X277" s="50">
        <f t="shared" si="80"/>
        <v>0.26373626373626374</v>
      </c>
      <c r="Y277" s="50">
        <f t="shared" si="81"/>
        <v>0</v>
      </c>
      <c r="Z277" s="50">
        <f t="shared" si="82"/>
        <v>0</v>
      </c>
      <c r="AA277" s="50">
        <f t="shared" si="83"/>
        <v>6.5934065934065936E-2</v>
      </c>
      <c r="AB277" s="50">
        <f t="shared" si="84"/>
        <v>8.7912087912087905E-2</v>
      </c>
      <c r="AC277" s="50">
        <f t="shared" si="85"/>
        <v>5.4945054945054944E-2</v>
      </c>
      <c r="AD277" s="50">
        <f t="shared" si="86"/>
        <v>2.1978021978021976E-2</v>
      </c>
      <c r="AE277" s="50">
        <f t="shared" si="87"/>
        <v>2.1978021978021976E-2</v>
      </c>
      <c r="AF277" s="47">
        <f t="shared" si="89"/>
        <v>1</v>
      </c>
      <c r="AG277" s="50">
        <f>IF('Resultado da inspeção'!F277='Resultado da inspeção'!$W$3,0%,Ranking!R277)</f>
        <v>2.1978021978021976E-2</v>
      </c>
      <c r="AH277" s="50">
        <f>IF('Resultado da inspeção'!G277='Resultado da inspeção'!$W$3,0%,Ranking!S277)</f>
        <v>0</v>
      </c>
      <c r="AI277" s="50">
        <f>IF('Resultado da inspeção'!H277='Resultado da inspeção'!$W$3,0%,Ranking!T277)</f>
        <v>0</v>
      </c>
      <c r="AJ277" s="50">
        <f>IF('Resultado da inspeção'!I277='Resultado da inspeção'!$W$3,0%,Ranking!U277)</f>
        <v>0</v>
      </c>
      <c r="AK277" s="50">
        <f>IF('Resultado da inspeção'!J277='Resultado da inspeção'!$W$3,0%,Ranking!V277)</f>
        <v>0.23076923076923075</v>
      </c>
      <c r="AL277" s="50">
        <f>IF('Resultado da inspeção'!K277='Resultado da inspeção'!$W$3,0%,Ranking!W277)</f>
        <v>0</v>
      </c>
      <c r="AM277" s="50">
        <f>IF('Resultado da inspeção'!L277='Resultado da inspeção'!$W$3,0%,Ranking!X277)</f>
        <v>0.26373626373626374</v>
      </c>
      <c r="AN277" s="50">
        <f>IF('Resultado da inspeção'!M277='Resultado da inspeção'!$W$3,0%,Ranking!Y277)</f>
        <v>0</v>
      </c>
      <c r="AO277" s="50">
        <f>IF('Resultado da inspeção'!N277='Resultado da inspeção'!$W$3,0%,Ranking!Z277)</f>
        <v>0</v>
      </c>
      <c r="AP277" s="50">
        <f>IF('Resultado da inspeção'!O277='Resultado da inspeção'!$W$3,0%,Ranking!AA277)</f>
        <v>6.5934065934065936E-2</v>
      </c>
      <c r="AQ277" s="50">
        <f>IF('Resultado da inspeção'!P277='Resultado da inspeção'!$W$3,0%,Ranking!AB277)</f>
        <v>8.7912087912087905E-2</v>
      </c>
      <c r="AR277" s="50">
        <f>IF('Resultado da inspeção'!Q277='Resultado da inspeção'!$W$3,0%,Ranking!AC277)</f>
        <v>5.4945054945054944E-2</v>
      </c>
      <c r="AS277" s="50">
        <f>IF('Resultado da inspeção'!R277='Resultado da inspeção'!$W$3,0%,Ranking!AD277)</f>
        <v>2.1978021978021976E-2</v>
      </c>
      <c r="AT277" s="50">
        <f>IF('Resultado da inspeção'!S277='Resultado da inspeção'!$W$3,0%,Ranking!AE277)</f>
        <v>2.1978021978021976E-2</v>
      </c>
      <c r="AU277" s="49">
        <f t="shared" si="90"/>
        <v>0.76923076923076927</v>
      </c>
    </row>
    <row r="278" spans="2:47" x14ac:dyDescent="0.25">
      <c r="B278" s="48">
        <f>IF('Resultado da inspeção'!F278='Resultado da inspeção'!$W$4,0%,Ranking!B$5)</f>
        <v>0.02</v>
      </c>
      <c r="C278" s="48">
        <f>IF('Resultado da inspeção'!G278='Resultado da inspeção'!$W$4,0%,Ranking!C$5)</f>
        <v>0.03</v>
      </c>
      <c r="D278" s="48">
        <f>IF('Resultado da inspeção'!H278='Resultado da inspeção'!$W$4,0%,Ranking!D$5)</f>
        <v>0.03</v>
      </c>
      <c r="E278" s="48">
        <f>IF('Resultado da inspeção'!I278='Resultado da inspeção'!$W$4,0%,Ranking!E$5)</f>
        <v>0.1</v>
      </c>
      <c r="F278" s="48">
        <f>IF('Resultado da inspeção'!J278='Resultado da inspeção'!$W$4,0%,Ranking!F$5)</f>
        <v>0.21</v>
      </c>
      <c r="G278" s="48">
        <f>IF('Resultado da inspeção'!K278='Resultado da inspeção'!$W$4,0%,Ranking!G$5)</f>
        <v>0.05</v>
      </c>
      <c r="H278" s="48">
        <f>IF('Resultado da inspeção'!L278='Resultado da inspeção'!$W$4,0%,Ranking!H$5)</f>
        <v>0.24</v>
      </c>
      <c r="I278" s="48">
        <f>IF('Resultado da inspeção'!M278='Resultado da inspeção'!$W$4,0%,Ranking!I$5)</f>
        <v>0</v>
      </c>
      <c r="J278" s="48">
        <f>IF('Resultado da inspeção'!N278='Resultado da inspeção'!$W$4,0%,Ranking!J$5)</f>
        <v>0</v>
      </c>
      <c r="K278" s="48">
        <f>IF('Resultado da inspeção'!O278='Resultado da inspeção'!$W$4,0%,Ranking!K$5)</f>
        <v>0.06</v>
      </c>
      <c r="L278" s="48">
        <f>IF('Resultado da inspeção'!P278='Resultado da inspeção'!$W$4,0%,Ranking!L$5)</f>
        <v>0.08</v>
      </c>
      <c r="M278" s="48">
        <f>IF('Resultado da inspeção'!Q278='Resultado da inspeção'!$W$4,0%,Ranking!M$5)</f>
        <v>0.05</v>
      </c>
      <c r="N278" s="48">
        <f>IF('Resultado da inspeção'!R278='Resultado da inspeção'!$W$4,0%,Ranking!N$5)</f>
        <v>0.02</v>
      </c>
      <c r="O278" s="48">
        <f>IF('Resultado da inspeção'!S278='Resultado da inspeção'!$W$4,0%,Ranking!O$5)</f>
        <v>0.02</v>
      </c>
      <c r="P278" s="47">
        <f t="shared" si="73"/>
        <v>0.91</v>
      </c>
      <c r="Q278" s="49">
        <f t="shared" si="88"/>
        <v>8.9999999999999969E-2</v>
      </c>
      <c r="R278" s="50">
        <f t="shared" si="74"/>
        <v>2.1978021978021976E-2</v>
      </c>
      <c r="S278" s="50">
        <f t="shared" si="75"/>
        <v>3.2967032967032968E-2</v>
      </c>
      <c r="T278" s="50">
        <f t="shared" si="76"/>
        <v>3.2967032967032968E-2</v>
      </c>
      <c r="U278" s="50">
        <f t="shared" si="77"/>
        <v>0.10989010989010989</v>
      </c>
      <c r="V278" s="50">
        <f t="shared" si="78"/>
        <v>0.23076923076923075</v>
      </c>
      <c r="W278" s="50">
        <f t="shared" si="79"/>
        <v>5.4945054945054944E-2</v>
      </c>
      <c r="X278" s="50">
        <f t="shared" si="80"/>
        <v>0.26373626373626374</v>
      </c>
      <c r="Y278" s="50">
        <f t="shared" si="81"/>
        <v>0</v>
      </c>
      <c r="Z278" s="50">
        <f t="shared" si="82"/>
        <v>0</v>
      </c>
      <c r="AA278" s="50">
        <f t="shared" si="83"/>
        <v>6.5934065934065936E-2</v>
      </c>
      <c r="AB278" s="50">
        <f t="shared" si="84"/>
        <v>8.7912087912087905E-2</v>
      </c>
      <c r="AC278" s="50">
        <f t="shared" si="85"/>
        <v>5.4945054945054944E-2</v>
      </c>
      <c r="AD278" s="50">
        <f t="shared" si="86"/>
        <v>2.1978021978021976E-2</v>
      </c>
      <c r="AE278" s="50">
        <f t="shared" si="87"/>
        <v>2.1978021978021976E-2</v>
      </c>
      <c r="AF278" s="47">
        <f t="shared" si="89"/>
        <v>1</v>
      </c>
      <c r="AG278" s="50">
        <f>IF('Resultado da inspeção'!F278='Resultado da inspeção'!$W$3,0%,Ranking!R278)</f>
        <v>2.1978021978021976E-2</v>
      </c>
      <c r="AH278" s="50">
        <f>IF('Resultado da inspeção'!G278='Resultado da inspeção'!$W$3,0%,Ranking!S278)</f>
        <v>0</v>
      </c>
      <c r="AI278" s="50">
        <f>IF('Resultado da inspeção'!H278='Resultado da inspeção'!$W$3,0%,Ranking!T278)</f>
        <v>0</v>
      </c>
      <c r="AJ278" s="50">
        <f>IF('Resultado da inspeção'!I278='Resultado da inspeção'!$W$3,0%,Ranking!U278)</f>
        <v>0</v>
      </c>
      <c r="AK278" s="50">
        <f>IF('Resultado da inspeção'!J278='Resultado da inspeção'!$W$3,0%,Ranking!V278)</f>
        <v>0.23076923076923075</v>
      </c>
      <c r="AL278" s="50">
        <f>IF('Resultado da inspeção'!K278='Resultado da inspeção'!$W$3,0%,Ranking!W278)</f>
        <v>0</v>
      </c>
      <c r="AM278" s="50">
        <f>IF('Resultado da inspeção'!L278='Resultado da inspeção'!$W$3,0%,Ranking!X278)</f>
        <v>0.26373626373626374</v>
      </c>
      <c r="AN278" s="50">
        <f>IF('Resultado da inspeção'!M278='Resultado da inspeção'!$W$3,0%,Ranking!Y278)</f>
        <v>0</v>
      </c>
      <c r="AO278" s="50">
        <f>IF('Resultado da inspeção'!N278='Resultado da inspeção'!$W$3,0%,Ranking!Z278)</f>
        <v>0</v>
      </c>
      <c r="AP278" s="50">
        <f>IF('Resultado da inspeção'!O278='Resultado da inspeção'!$W$3,0%,Ranking!AA278)</f>
        <v>6.5934065934065936E-2</v>
      </c>
      <c r="AQ278" s="50">
        <f>IF('Resultado da inspeção'!P278='Resultado da inspeção'!$W$3,0%,Ranking!AB278)</f>
        <v>8.7912087912087905E-2</v>
      </c>
      <c r="AR278" s="50">
        <f>IF('Resultado da inspeção'!Q278='Resultado da inspeção'!$W$3,0%,Ranking!AC278)</f>
        <v>5.4945054945054944E-2</v>
      </c>
      <c r="AS278" s="50">
        <f>IF('Resultado da inspeção'!R278='Resultado da inspeção'!$W$3,0%,Ranking!AD278)</f>
        <v>2.1978021978021976E-2</v>
      </c>
      <c r="AT278" s="50">
        <f>IF('Resultado da inspeção'!S278='Resultado da inspeção'!$W$3,0%,Ranking!AE278)</f>
        <v>2.1978021978021976E-2</v>
      </c>
      <c r="AU278" s="49">
        <f t="shared" si="90"/>
        <v>0.76923076923076927</v>
      </c>
    </row>
    <row r="279" spans="2:47" x14ac:dyDescent="0.25">
      <c r="B279" s="48">
        <f>IF('Resultado da inspeção'!F279='Resultado da inspeção'!$W$4,0%,Ranking!B$5)</f>
        <v>0.02</v>
      </c>
      <c r="C279" s="48">
        <f>IF('Resultado da inspeção'!G279='Resultado da inspeção'!$W$4,0%,Ranking!C$5)</f>
        <v>0.03</v>
      </c>
      <c r="D279" s="48">
        <f>IF('Resultado da inspeção'!H279='Resultado da inspeção'!$W$4,0%,Ranking!D$5)</f>
        <v>0.03</v>
      </c>
      <c r="E279" s="48">
        <f>IF('Resultado da inspeção'!I279='Resultado da inspeção'!$W$4,0%,Ranking!E$5)</f>
        <v>0.1</v>
      </c>
      <c r="F279" s="48">
        <f>IF('Resultado da inspeção'!J279='Resultado da inspeção'!$W$4,0%,Ranking!F$5)</f>
        <v>0.21</v>
      </c>
      <c r="G279" s="48">
        <f>IF('Resultado da inspeção'!K279='Resultado da inspeção'!$W$4,0%,Ranking!G$5)</f>
        <v>0.05</v>
      </c>
      <c r="H279" s="48">
        <f>IF('Resultado da inspeção'!L279='Resultado da inspeção'!$W$4,0%,Ranking!H$5)</f>
        <v>0.24</v>
      </c>
      <c r="I279" s="48">
        <f>IF('Resultado da inspeção'!M279='Resultado da inspeção'!$W$4,0%,Ranking!I$5)</f>
        <v>0.05</v>
      </c>
      <c r="J279" s="48">
        <f>IF('Resultado da inspeção'!N279='Resultado da inspeção'!$W$4,0%,Ranking!J$5)</f>
        <v>0.04</v>
      </c>
      <c r="K279" s="48">
        <f>IF('Resultado da inspeção'!O279='Resultado da inspeção'!$W$4,0%,Ranking!K$5)</f>
        <v>0.06</v>
      </c>
      <c r="L279" s="48">
        <f>IF('Resultado da inspeção'!P279='Resultado da inspeção'!$W$4,0%,Ranking!L$5)</f>
        <v>0.08</v>
      </c>
      <c r="M279" s="48">
        <f>IF('Resultado da inspeção'!Q279='Resultado da inspeção'!$W$4,0%,Ranking!M$5)</f>
        <v>0.05</v>
      </c>
      <c r="N279" s="48">
        <f>IF('Resultado da inspeção'!R279='Resultado da inspeção'!$W$4,0%,Ranking!N$5)</f>
        <v>0.02</v>
      </c>
      <c r="O279" s="48">
        <f>IF('Resultado da inspeção'!S279='Resultado da inspeção'!$W$4,0%,Ranking!O$5)</f>
        <v>0.02</v>
      </c>
      <c r="P279" s="47">
        <f t="shared" si="73"/>
        <v>1</v>
      </c>
      <c r="Q279" s="49">
        <f t="shared" si="88"/>
        <v>0</v>
      </c>
      <c r="R279" s="50">
        <f t="shared" si="74"/>
        <v>0.02</v>
      </c>
      <c r="S279" s="50">
        <f t="shared" si="75"/>
        <v>0.03</v>
      </c>
      <c r="T279" s="50">
        <f t="shared" si="76"/>
        <v>0.03</v>
      </c>
      <c r="U279" s="50">
        <f t="shared" si="77"/>
        <v>0.1</v>
      </c>
      <c r="V279" s="50">
        <f t="shared" si="78"/>
        <v>0.21</v>
      </c>
      <c r="W279" s="50">
        <f t="shared" si="79"/>
        <v>0.05</v>
      </c>
      <c r="X279" s="50">
        <f t="shared" si="80"/>
        <v>0.24</v>
      </c>
      <c r="Y279" s="50">
        <f t="shared" si="81"/>
        <v>0.05</v>
      </c>
      <c r="Z279" s="50">
        <f t="shared" si="82"/>
        <v>0.04</v>
      </c>
      <c r="AA279" s="50">
        <f t="shared" si="83"/>
        <v>0.06</v>
      </c>
      <c r="AB279" s="50">
        <f t="shared" si="84"/>
        <v>0.08</v>
      </c>
      <c r="AC279" s="50">
        <f t="shared" si="85"/>
        <v>0.05</v>
      </c>
      <c r="AD279" s="50">
        <f t="shared" si="86"/>
        <v>0.02</v>
      </c>
      <c r="AE279" s="50">
        <f t="shared" si="87"/>
        <v>0.02</v>
      </c>
      <c r="AF279" s="47">
        <f t="shared" si="89"/>
        <v>1</v>
      </c>
      <c r="AG279" s="50">
        <f>IF('Resultado da inspeção'!F279='Resultado da inspeção'!$W$3,0%,Ranking!R279)</f>
        <v>0.02</v>
      </c>
      <c r="AH279" s="50">
        <f>IF('Resultado da inspeção'!G279='Resultado da inspeção'!$W$3,0%,Ranking!S279)</f>
        <v>0</v>
      </c>
      <c r="AI279" s="50">
        <f>IF('Resultado da inspeção'!H279='Resultado da inspeção'!$W$3,0%,Ranking!T279)</f>
        <v>0</v>
      </c>
      <c r="AJ279" s="50">
        <f>IF('Resultado da inspeção'!I279='Resultado da inspeção'!$W$3,0%,Ranking!U279)</f>
        <v>0</v>
      </c>
      <c r="AK279" s="50">
        <f>IF('Resultado da inspeção'!J279='Resultado da inspeção'!$W$3,0%,Ranking!V279)</f>
        <v>0.21</v>
      </c>
      <c r="AL279" s="50">
        <f>IF('Resultado da inspeção'!K279='Resultado da inspeção'!$W$3,0%,Ranking!W279)</f>
        <v>0</v>
      </c>
      <c r="AM279" s="50">
        <f>IF('Resultado da inspeção'!L279='Resultado da inspeção'!$W$3,0%,Ranking!X279)</f>
        <v>0</v>
      </c>
      <c r="AN279" s="50">
        <f>IF('Resultado da inspeção'!M279='Resultado da inspeção'!$W$3,0%,Ranking!Y279)</f>
        <v>0</v>
      </c>
      <c r="AO279" s="50">
        <f>IF('Resultado da inspeção'!N279='Resultado da inspeção'!$W$3,0%,Ranking!Z279)</f>
        <v>0</v>
      </c>
      <c r="AP279" s="50">
        <f>IF('Resultado da inspeção'!O279='Resultado da inspeção'!$W$3,0%,Ranking!AA279)</f>
        <v>0.06</v>
      </c>
      <c r="AQ279" s="50">
        <f>IF('Resultado da inspeção'!P279='Resultado da inspeção'!$W$3,0%,Ranking!AB279)</f>
        <v>0.08</v>
      </c>
      <c r="AR279" s="50">
        <f>IF('Resultado da inspeção'!Q279='Resultado da inspeção'!$W$3,0%,Ranking!AC279)</f>
        <v>0.05</v>
      </c>
      <c r="AS279" s="50">
        <f>IF('Resultado da inspeção'!R279='Resultado da inspeção'!$W$3,0%,Ranking!AD279)</f>
        <v>0.02</v>
      </c>
      <c r="AT279" s="50">
        <f>IF('Resultado da inspeção'!S279='Resultado da inspeção'!$W$3,0%,Ranking!AE279)</f>
        <v>0.02</v>
      </c>
      <c r="AU279" s="49">
        <f t="shared" si="90"/>
        <v>0.46</v>
      </c>
    </row>
    <row r="280" spans="2:47" x14ac:dyDescent="0.25">
      <c r="B280" s="48">
        <f>IF('Resultado da inspeção'!F280='Resultado da inspeção'!$W$4,0%,Ranking!B$5)</f>
        <v>0.02</v>
      </c>
      <c r="C280" s="48">
        <f>IF('Resultado da inspeção'!G280='Resultado da inspeção'!$W$4,0%,Ranking!C$5)</f>
        <v>0.03</v>
      </c>
      <c r="D280" s="48">
        <f>IF('Resultado da inspeção'!H280='Resultado da inspeção'!$W$4,0%,Ranking!D$5)</f>
        <v>0.03</v>
      </c>
      <c r="E280" s="48">
        <f>IF('Resultado da inspeção'!I280='Resultado da inspeção'!$W$4,0%,Ranking!E$5)</f>
        <v>0.1</v>
      </c>
      <c r="F280" s="48">
        <f>IF('Resultado da inspeção'!J280='Resultado da inspeção'!$W$4,0%,Ranking!F$5)</f>
        <v>0.21</v>
      </c>
      <c r="G280" s="48">
        <f>IF('Resultado da inspeção'!K280='Resultado da inspeção'!$W$4,0%,Ranking!G$5)</f>
        <v>0.05</v>
      </c>
      <c r="H280" s="48">
        <f>IF('Resultado da inspeção'!L280='Resultado da inspeção'!$W$4,0%,Ranking!H$5)</f>
        <v>0.24</v>
      </c>
      <c r="I280" s="48">
        <f>IF('Resultado da inspeção'!M280='Resultado da inspeção'!$W$4,0%,Ranking!I$5)</f>
        <v>0</v>
      </c>
      <c r="J280" s="48">
        <f>IF('Resultado da inspeção'!N280='Resultado da inspeção'!$W$4,0%,Ranking!J$5)</f>
        <v>0</v>
      </c>
      <c r="K280" s="48">
        <f>IF('Resultado da inspeção'!O280='Resultado da inspeção'!$W$4,0%,Ranking!K$5)</f>
        <v>0.06</v>
      </c>
      <c r="L280" s="48">
        <f>IF('Resultado da inspeção'!P280='Resultado da inspeção'!$W$4,0%,Ranking!L$5)</f>
        <v>0.08</v>
      </c>
      <c r="M280" s="48">
        <f>IF('Resultado da inspeção'!Q280='Resultado da inspeção'!$W$4,0%,Ranking!M$5)</f>
        <v>0.05</v>
      </c>
      <c r="N280" s="48">
        <f>IF('Resultado da inspeção'!R280='Resultado da inspeção'!$W$4,0%,Ranking!N$5)</f>
        <v>0.02</v>
      </c>
      <c r="O280" s="48">
        <f>IF('Resultado da inspeção'!S280='Resultado da inspeção'!$W$4,0%,Ranking!O$5)</f>
        <v>0.02</v>
      </c>
      <c r="P280" s="47">
        <f t="shared" si="73"/>
        <v>0.91</v>
      </c>
      <c r="Q280" s="49">
        <f t="shared" si="88"/>
        <v>8.9999999999999969E-2</v>
      </c>
      <c r="R280" s="50">
        <f t="shared" si="74"/>
        <v>2.1978021978021976E-2</v>
      </c>
      <c r="S280" s="50">
        <f t="shared" si="75"/>
        <v>3.2967032967032968E-2</v>
      </c>
      <c r="T280" s="50">
        <f t="shared" si="76"/>
        <v>3.2967032967032968E-2</v>
      </c>
      <c r="U280" s="50">
        <f t="shared" si="77"/>
        <v>0.10989010989010989</v>
      </c>
      <c r="V280" s="50">
        <f t="shared" si="78"/>
        <v>0.23076923076923075</v>
      </c>
      <c r="W280" s="50">
        <f t="shared" si="79"/>
        <v>5.4945054945054944E-2</v>
      </c>
      <c r="X280" s="50">
        <f t="shared" si="80"/>
        <v>0.26373626373626374</v>
      </c>
      <c r="Y280" s="50">
        <f t="shared" si="81"/>
        <v>0</v>
      </c>
      <c r="Z280" s="50">
        <f t="shared" si="82"/>
        <v>0</v>
      </c>
      <c r="AA280" s="50">
        <f t="shared" si="83"/>
        <v>6.5934065934065936E-2</v>
      </c>
      <c r="AB280" s="50">
        <f t="shared" si="84"/>
        <v>8.7912087912087905E-2</v>
      </c>
      <c r="AC280" s="50">
        <f t="shared" si="85"/>
        <v>5.4945054945054944E-2</v>
      </c>
      <c r="AD280" s="50">
        <f t="shared" si="86"/>
        <v>2.1978021978021976E-2</v>
      </c>
      <c r="AE280" s="50">
        <f t="shared" si="87"/>
        <v>2.1978021978021976E-2</v>
      </c>
      <c r="AF280" s="47">
        <f t="shared" si="89"/>
        <v>1</v>
      </c>
      <c r="AG280" s="50">
        <f>IF('Resultado da inspeção'!F280='Resultado da inspeção'!$W$3,0%,Ranking!R280)</f>
        <v>2.1978021978021976E-2</v>
      </c>
      <c r="AH280" s="50">
        <f>IF('Resultado da inspeção'!G280='Resultado da inspeção'!$W$3,0%,Ranking!S280)</f>
        <v>0</v>
      </c>
      <c r="AI280" s="50">
        <f>IF('Resultado da inspeção'!H280='Resultado da inspeção'!$W$3,0%,Ranking!T280)</f>
        <v>0</v>
      </c>
      <c r="AJ280" s="50">
        <f>IF('Resultado da inspeção'!I280='Resultado da inspeção'!$W$3,0%,Ranking!U280)</f>
        <v>0</v>
      </c>
      <c r="AK280" s="50">
        <f>IF('Resultado da inspeção'!J280='Resultado da inspeção'!$W$3,0%,Ranking!V280)</f>
        <v>0.23076923076923075</v>
      </c>
      <c r="AL280" s="50">
        <f>IF('Resultado da inspeção'!K280='Resultado da inspeção'!$W$3,0%,Ranking!W280)</f>
        <v>0</v>
      </c>
      <c r="AM280" s="50">
        <f>IF('Resultado da inspeção'!L280='Resultado da inspeção'!$W$3,0%,Ranking!X280)</f>
        <v>0</v>
      </c>
      <c r="AN280" s="50">
        <f>IF('Resultado da inspeção'!M280='Resultado da inspeção'!$W$3,0%,Ranking!Y280)</f>
        <v>0</v>
      </c>
      <c r="AO280" s="50">
        <f>IF('Resultado da inspeção'!N280='Resultado da inspeção'!$W$3,0%,Ranking!Z280)</f>
        <v>0</v>
      </c>
      <c r="AP280" s="50">
        <f>IF('Resultado da inspeção'!O280='Resultado da inspeção'!$W$3,0%,Ranking!AA280)</f>
        <v>6.5934065934065936E-2</v>
      </c>
      <c r="AQ280" s="50">
        <f>IF('Resultado da inspeção'!P280='Resultado da inspeção'!$W$3,0%,Ranking!AB280)</f>
        <v>8.7912087912087905E-2</v>
      </c>
      <c r="AR280" s="50">
        <f>IF('Resultado da inspeção'!Q280='Resultado da inspeção'!$W$3,0%,Ranking!AC280)</f>
        <v>5.4945054945054944E-2</v>
      </c>
      <c r="AS280" s="50">
        <f>IF('Resultado da inspeção'!R280='Resultado da inspeção'!$W$3,0%,Ranking!AD280)</f>
        <v>2.1978021978021976E-2</v>
      </c>
      <c r="AT280" s="50">
        <f>IF('Resultado da inspeção'!S280='Resultado da inspeção'!$W$3,0%,Ranking!AE280)</f>
        <v>2.1978021978021976E-2</v>
      </c>
      <c r="AU280" s="49">
        <f t="shared" si="90"/>
        <v>0.50549450549450547</v>
      </c>
    </row>
    <row r="281" spans="2:47" x14ac:dyDescent="0.25">
      <c r="B281" s="48">
        <f>IF('Resultado da inspeção'!F281='Resultado da inspeção'!$W$4,0%,Ranking!B$5)</f>
        <v>0.02</v>
      </c>
      <c r="C281" s="48">
        <f>IF('Resultado da inspeção'!G281='Resultado da inspeção'!$W$4,0%,Ranking!C$5)</f>
        <v>0.03</v>
      </c>
      <c r="D281" s="48">
        <f>IF('Resultado da inspeção'!H281='Resultado da inspeção'!$W$4,0%,Ranking!D$5)</f>
        <v>0.03</v>
      </c>
      <c r="E281" s="48">
        <f>IF('Resultado da inspeção'!I281='Resultado da inspeção'!$W$4,0%,Ranking!E$5)</f>
        <v>0.1</v>
      </c>
      <c r="F281" s="48">
        <f>IF('Resultado da inspeção'!J281='Resultado da inspeção'!$W$4,0%,Ranking!F$5)</f>
        <v>0.21</v>
      </c>
      <c r="G281" s="48">
        <f>IF('Resultado da inspeção'!K281='Resultado da inspeção'!$W$4,0%,Ranking!G$5)</f>
        <v>0.05</v>
      </c>
      <c r="H281" s="48">
        <f>IF('Resultado da inspeção'!L281='Resultado da inspeção'!$W$4,0%,Ranking!H$5)</f>
        <v>0</v>
      </c>
      <c r="I281" s="48">
        <f>IF('Resultado da inspeção'!M281='Resultado da inspeção'!$W$4,0%,Ranking!I$5)</f>
        <v>0</v>
      </c>
      <c r="J281" s="48">
        <f>IF('Resultado da inspeção'!N281='Resultado da inspeção'!$W$4,0%,Ranking!J$5)</f>
        <v>0</v>
      </c>
      <c r="K281" s="48">
        <f>IF('Resultado da inspeção'!O281='Resultado da inspeção'!$W$4,0%,Ranking!K$5)</f>
        <v>0.06</v>
      </c>
      <c r="L281" s="48">
        <f>IF('Resultado da inspeção'!P281='Resultado da inspeção'!$W$4,0%,Ranking!L$5)</f>
        <v>0.08</v>
      </c>
      <c r="M281" s="48">
        <f>IF('Resultado da inspeção'!Q281='Resultado da inspeção'!$W$4,0%,Ranking!M$5)</f>
        <v>0.05</v>
      </c>
      <c r="N281" s="48">
        <f>IF('Resultado da inspeção'!R281='Resultado da inspeção'!$W$4,0%,Ranking!N$5)</f>
        <v>0.02</v>
      </c>
      <c r="O281" s="48">
        <f>IF('Resultado da inspeção'!S281='Resultado da inspeção'!$W$4,0%,Ranking!O$5)</f>
        <v>0.02</v>
      </c>
      <c r="P281" s="47">
        <f t="shared" si="73"/>
        <v>0.67</v>
      </c>
      <c r="Q281" s="49">
        <f t="shared" si="88"/>
        <v>0.32999999999999996</v>
      </c>
      <c r="R281" s="50">
        <f t="shared" si="74"/>
        <v>2.9850746268656716E-2</v>
      </c>
      <c r="S281" s="50">
        <f t="shared" si="75"/>
        <v>4.4776119402985072E-2</v>
      </c>
      <c r="T281" s="50">
        <f t="shared" si="76"/>
        <v>4.4776119402985072E-2</v>
      </c>
      <c r="U281" s="50">
        <f t="shared" si="77"/>
        <v>0.14925373134328357</v>
      </c>
      <c r="V281" s="50">
        <f t="shared" si="78"/>
        <v>0.31343283582089548</v>
      </c>
      <c r="W281" s="50">
        <f t="shared" si="79"/>
        <v>7.4626865671641784E-2</v>
      </c>
      <c r="X281" s="50">
        <f t="shared" si="80"/>
        <v>0</v>
      </c>
      <c r="Y281" s="50">
        <f t="shared" si="81"/>
        <v>0</v>
      </c>
      <c r="Z281" s="50">
        <f t="shared" si="82"/>
        <v>0</v>
      </c>
      <c r="AA281" s="50">
        <f t="shared" si="83"/>
        <v>8.9552238805970144E-2</v>
      </c>
      <c r="AB281" s="50">
        <f t="shared" si="84"/>
        <v>0.11940298507462686</v>
      </c>
      <c r="AC281" s="50">
        <f t="shared" si="85"/>
        <v>7.4626865671641784E-2</v>
      </c>
      <c r="AD281" s="50">
        <f t="shared" si="86"/>
        <v>2.9850746268656716E-2</v>
      </c>
      <c r="AE281" s="50">
        <f t="shared" si="87"/>
        <v>2.9850746268656716E-2</v>
      </c>
      <c r="AF281" s="47">
        <f t="shared" si="89"/>
        <v>0.99999999999999989</v>
      </c>
      <c r="AG281" s="50">
        <f>IF('Resultado da inspeção'!F281='Resultado da inspeção'!$W$3,0%,Ranking!R281)</f>
        <v>2.9850746268656716E-2</v>
      </c>
      <c r="AH281" s="50">
        <f>IF('Resultado da inspeção'!G281='Resultado da inspeção'!$W$3,0%,Ranking!S281)</f>
        <v>0</v>
      </c>
      <c r="AI281" s="50">
        <f>IF('Resultado da inspeção'!H281='Resultado da inspeção'!$W$3,0%,Ranking!T281)</f>
        <v>0</v>
      </c>
      <c r="AJ281" s="50">
        <f>IF('Resultado da inspeção'!I281='Resultado da inspeção'!$W$3,0%,Ranking!U281)</f>
        <v>0</v>
      </c>
      <c r="AK281" s="50">
        <f>IF('Resultado da inspeção'!J281='Resultado da inspeção'!$W$3,0%,Ranking!V281)</f>
        <v>0.31343283582089548</v>
      </c>
      <c r="AL281" s="50">
        <f>IF('Resultado da inspeção'!K281='Resultado da inspeção'!$W$3,0%,Ranking!W281)</f>
        <v>0</v>
      </c>
      <c r="AM281" s="50">
        <f>IF('Resultado da inspeção'!L281='Resultado da inspeção'!$W$3,0%,Ranking!X281)</f>
        <v>0</v>
      </c>
      <c r="AN281" s="50">
        <f>IF('Resultado da inspeção'!M281='Resultado da inspeção'!$W$3,0%,Ranking!Y281)</f>
        <v>0</v>
      </c>
      <c r="AO281" s="50">
        <f>IF('Resultado da inspeção'!N281='Resultado da inspeção'!$W$3,0%,Ranking!Z281)</f>
        <v>0</v>
      </c>
      <c r="AP281" s="50">
        <f>IF('Resultado da inspeção'!O281='Resultado da inspeção'!$W$3,0%,Ranking!AA281)</f>
        <v>8.9552238805970144E-2</v>
      </c>
      <c r="AQ281" s="50">
        <f>IF('Resultado da inspeção'!P281='Resultado da inspeção'!$W$3,0%,Ranking!AB281)</f>
        <v>0.11940298507462686</v>
      </c>
      <c r="AR281" s="50">
        <f>IF('Resultado da inspeção'!Q281='Resultado da inspeção'!$W$3,0%,Ranking!AC281)</f>
        <v>7.4626865671641784E-2</v>
      </c>
      <c r="AS281" s="50">
        <f>IF('Resultado da inspeção'!R281='Resultado da inspeção'!$W$3,0%,Ranking!AD281)</f>
        <v>2.9850746268656716E-2</v>
      </c>
      <c r="AT281" s="50">
        <f>IF('Resultado da inspeção'!S281='Resultado da inspeção'!$W$3,0%,Ranking!AE281)</f>
        <v>2.9850746268656716E-2</v>
      </c>
      <c r="AU281" s="49">
        <f t="shared" si="90"/>
        <v>0.68656716417910435</v>
      </c>
    </row>
    <row r="282" spans="2:47" x14ac:dyDescent="0.25">
      <c r="B282" s="48">
        <f>IF('Resultado da inspeção'!F282='Resultado da inspeção'!$W$4,0%,Ranking!B$5)</f>
        <v>0.02</v>
      </c>
      <c r="C282" s="48">
        <f>IF('Resultado da inspeção'!G282='Resultado da inspeção'!$W$4,0%,Ranking!C$5)</f>
        <v>0.03</v>
      </c>
      <c r="D282" s="48">
        <f>IF('Resultado da inspeção'!H282='Resultado da inspeção'!$W$4,0%,Ranking!D$5)</f>
        <v>0.03</v>
      </c>
      <c r="E282" s="48">
        <f>IF('Resultado da inspeção'!I282='Resultado da inspeção'!$W$4,0%,Ranking!E$5)</f>
        <v>0.1</v>
      </c>
      <c r="F282" s="48">
        <f>IF('Resultado da inspeção'!J282='Resultado da inspeção'!$W$4,0%,Ranking!F$5)</f>
        <v>0.21</v>
      </c>
      <c r="G282" s="48">
        <f>IF('Resultado da inspeção'!K282='Resultado da inspeção'!$W$4,0%,Ranking!G$5)</f>
        <v>0.05</v>
      </c>
      <c r="H282" s="48">
        <f>IF('Resultado da inspeção'!L282='Resultado da inspeção'!$W$4,0%,Ranking!H$5)</f>
        <v>0.24</v>
      </c>
      <c r="I282" s="48">
        <f>IF('Resultado da inspeção'!M282='Resultado da inspeção'!$W$4,0%,Ranking!I$5)</f>
        <v>0</v>
      </c>
      <c r="J282" s="48">
        <f>IF('Resultado da inspeção'!N282='Resultado da inspeção'!$W$4,0%,Ranking!J$5)</f>
        <v>0</v>
      </c>
      <c r="K282" s="48">
        <f>IF('Resultado da inspeção'!O282='Resultado da inspeção'!$W$4,0%,Ranking!K$5)</f>
        <v>0.06</v>
      </c>
      <c r="L282" s="48">
        <f>IF('Resultado da inspeção'!P282='Resultado da inspeção'!$W$4,0%,Ranking!L$5)</f>
        <v>0.08</v>
      </c>
      <c r="M282" s="48">
        <f>IF('Resultado da inspeção'!Q282='Resultado da inspeção'!$W$4,0%,Ranking!M$5)</f>
        <v>0.05</v>
      </c>
      <c r="N282" s="48">
        <f>IF('Resultado da inspeção'!R282='Resultado da inspeção'!$W$4,0%,Ranking!N$5)</f>
        <v>0.02</v>
      </c>
      <c r="O282" s="48">
        <f>IF('Resultado da inspeção'!S282='Resultado da inspeção'!$W$4,0%,Ranking!O$5)</f>
        <v>0.02</v>
      </c>
      <c r="P282" s="47">
        <f t="shared" si="73"/>
        <v>0.91</v>
      </c>
      <c r="Q282" s="49">
        <f t="shared" si="88"/>
        <v>8.9999999999999969E-2</v>
      </c>
      <c r="R282" s="50">
        <f t="shared" si="74"/>
        <v>2.1978021978021976E-2</v>
      </c>
      <c r="S282" s="50">
        <f t="shared" si="75"/>
        <v>3.2967032967032968E-2</v>
      </c>
      <c r="T282" s="50">
        <f t="shared" si="76"/>
        <v>3.2967032967032968E-2</v>
      </c>
      <c r="U282" s="50">
        <f t="shared" si="77"/>
        <v>0.10989010989010989</v>
      </c>
      <c r="V282" s="50">
        <f t="shared" si="78"/>
        <v>0.23076923076923075</v>
      </c>
      <c r="W282" s="50">
        <f t="shared" si="79"/>
        <v>5.4945054945054944E-2</v>
      </c>
      <c r="X282" s="50">
        <f t="shared" si="80"/>
        <v>0.26373626373626374</v>
      </c>
      <c r="Y282" s="50">
        <f t="shared" si="81"/>
        <v>0</v>
      </c>
      <c r="Z282" s="50">
        <f t="shared" si="82"/>
        <v>0</v>
      </c>
      <c r="AA282" s="50">
        <f t="shared" si="83"/>
        <v>6.5934065934065936E-2</v>
      </c>
      <c r="AB282" s="50">
        <f t="shared" si="84"/>
        <v>8.7912087912087905E-2</v>
      </c>
      <c r="AC282" s="50">
        <f t="shared" si="85"/>
        <v>5.4945054945054944E-2</v>
      </c>
      <c r="AD282" s="50">
        <f t="shared" si="86"/>
        <v>2.1978021978021976E-2</v>
      </c>
      <c r="AE282" s="50">
        <f t="shared" si="87"/>
        <v>2.1978021978021976E-2</v>
      </c>
      <c r="AF282" s="47">
        <f t="shared" si="89"/>
        <v>1</v>
      </c>
      <c r="AG282" s="50">
        <f>IF('Resultado da inspeção'!F282='Resultado da inspeção'!$W$3,0%,Ranking!R282)</f>
        <v>0</v>
      </c>
      <c r="AH282" s="50">
        <f>IF('Resultado da inspeção'!G282='Resultado da inspeção'!$W$3,0%,Ranking!S282)</f>
        <v>0</v>
      </c>
      <c r="AI282" s="50">
        <f>IF('Resultado da inspeção'!H282='Resultado da inspeção'!$W$3,0%,Ranking!T282)</f>
        <v>0</v>
      </c>
      <c r="AJ282" s="50">
        <f>IF('Resultado da inspeção'!I282='Resultado da inspeção'!$W$3,0%,Ranking!U282)</f>
        <v>0</v>
      </c>
      <c r="AK282" s="50">
        <f>IF('Resultado da inspeção'!J282='Resultado da inspeção'!$W$3,0%,Ranking!V282)</f>
        <v>0.23076923076923075</v>
      </c>
      <c r="AL282" s="50">
        <f>IF('Resultado da inspeção'!K282='Resultado da inspeção'!$W$3,0%,Ranking!W282)</f>
        <v>5.4945054945054944E-2</v>
      </c>
      <c r="AM282" s="50">
        <f>IF('Resultado da inspeção'!L282='Resultado da inspeção'!$W$3,0%,Ranking!X282)</f>
        <v>0.26373626373626374</v>
      </c>
      <c r="AN282" s="50">
        <f>IF('Resultado da inspeção'!M282='Resultado da inspeção'!$W$3,0%,Ranking!Y282)</f>
        <v>0</v>
      </c>
      <c r="AO282" s="50">
        <f>IF('Resultado da inspeção'!N282='Resultado da inspeção'!$W$3,0%,Ranking!Z282)</f>
        <v>0</v>
      </c>
      <c r="AP282" s="50">
        <f>IF('Resultado da inspeção'!O282='Resultado da inspeção'!$W$3,0%,Ranking!AA282)</f>
        <v>6.5934065934065936E-2</v>
      </c>
      <c r="AQ282" s="50">
        <f>IF('Resultado da inspeção'!P282='Resultado da inspeção'!$W$3,0%,Ranking!AB282)</f>
        <v>8.7912087912087905E-2</v>
      </c>
      <c r="AR282" s="50">
        <f>IF('Resultado da inspeção'!Q282='Resultado da inspeção'!$W$3,0%,Ranking!AC282)</f>
        <v>5.4945054945054944E-2</v>
      </c>
      <c r="AS282" s="50">
        <f>IF('Resultado da inspeção'!R282='Resultado da inspeção'!$W$3,0%,Ranking!AD282)</f>
        <v>2.1978021978021976E-2</v>
      </c>
      <c r="AT282" s="50">
        <f>IF('Resultado da inspeção'!S282='Resultado da inspeção'!$W$3,0%,Ranking!AE282)</f>
        <v>2.1978021978021976E-2</v>
      </c>
      <c r="AU282" s="49">
        <f t="shared" si="90"/>
        <v>0.80219780219780235</v>
      </c>
    </row>
    <row r="283" spans="2:47" x14ac:dyDescent="0.25">
      <c r="B283" s="48">
        <f>IF('Resultado da inspeção'!F283='Resultado da inspeção'!$W$4,0%,Ranking!B$5)</f>
        <v>0.02</v>
      </c>
      <c r="C283" s="48">
        <f>IF('Resultado da inspeção'!G283='Resultado da inspeção'!$W$4,0%,Ranking!C$5)</f>
        <v>0.03</v>
      </c>
      <c r="D283" s="48">
        <f>IF('Resultado da inspeção'!H283='Resultado da inspeção'!$W$4,0%,Ranking!D$5)</f>
        <v>0.03</v>
      </c>
      <c r="E283" s="48">
        <f>IF('Resultado da inspeção'!I283='Resultado da inspeção'!$W$4,0%,Ranking!E$5)</f>
        <v>0.1</v>
      </c>
      <c r="F283" s="48">
        <f>IF('Resultado da inspeção'!J283='Resultado da inspeção'!$W$4,0%,Ranking!F$5)</f>
        <v>0.21</v>
      </c>
      <c r="G283" s="48">
        <f>IF('Resultado da inspeção'!K283='Resultado da inspeção'!$W$4,0%,Ranking!G$5)</f>
        <v>0.05</v>
      </c>
      <c r="H283" s="48">
        <f>IF('Resultado da inspeção'!L283='Resultado da inspeção'!$W$4,0%,Ranking!H$5)</f>
        <v>0</v>
      </c>
      <c r="I283" s="48">
        <f>IF('Resultado da inspeção'!M283='Resultado da inspeção'!$W$4,0%,Ranking!I$5)</f>
        <v>0.05</v>
      </c>
      <c r="J283" s="48">
        <f>IF('Resultado da inspeção'!N283='Resultado da inspeção'!$W$4,0%,Ranking!J$5)</f>
        <v>0.04</v>
      </c>
      <c r="K283" s="48">
        <f>IF('Resultado da inspeção'!O283='Resultado da inspeção'!$W$4,0%,Ranking!K$5)</f>
        <v>0.06</v>
      </c>
      <c r="L283" s="48">
        <f>IF('Resultado da inspeção'!P283='Resultado da inspeção'!$W$4,0%,Ranking!L$5)</f>
        <v>0.08</v>
      </c>
      <c r="M283" s="48">
        <f>IF('Resultado da inspeção'!Q283='Resultado da inspeção'!$W$4,0%,Ranking!M$5)</f>
        <v>0.05</v>
      </c>
      <c r="N283" s="48">
        <f>IF('Resultado da inspeção'!R283='Resultado da inspeção'!$W$4,0%,Ranking!N$5)</f>
        <v>0.02</v>
      </c>
      <c r="O283" s="48">
        <f>IF('Resultado da inspeção'!S283='Resultado da inspeção'!$W$4,0%,Ranking!O$5)</f>
        <v>0.02</v>
      </c>
      <c r="P283" s="47">
        <f t="shared" si="73"/>
        <v>0.76000000000000012</v>
      </c>
      <c r="Q283" s="49">
        <f t="shared" si="88"/>
        <v>0.23999999999999988</v>
      </c>
      <c r="R283" s="50">
        <f t="shared" si="74"/>
        <v>2.6315789473684206E-2</v>
      </c>
      <c r="S283" s="50">
        <f t="shared" si="75"/>
        <v>3.9473684210526307E-2</v>
      </c>
      <c r="T283" s="50">
        <f t="shared" si="76"/>
        <v>3.9473684210526307E-2</v>
      </c>
      <c r="U283" s="50">
        <f t="shared" si="77"/>
        <v>0.13157894736842105</v>
      </c>
      <c r="V283" s="50">
        <f t="shared" si="78"/>
        <v>0.27631578947368418</v>
      </c>
      <c r="W283" s="50">
        <f t="shared" si="79"/>
        <v>6.5789473684210523E-2</v>
      </c>
      <c r="X283" s="50">
        <f t="shared" si="80"/>
        <v>0</v>
      </c>
      <c r="Y283" s="50">
        <f t="shared" si="81"/>
        <v>6.5789473684210523E-2</v>
      </c>
      <c r="Z283" s="50">
        <f t="shared" si="82"/>
        <v>5.2631578947368411E-2</v>
      </c>
      <c r="AA283" s="50">
        <f t="shared" si="83"/>
        <v>7.8947368421052613E-2</v>
      </c>
      <c r="AB283" s="50">
        <f t="shared" si="84"/>
        <v>0.10526315789473682</v>
      </c>
      <c r="AC283" s="50">
        <f t="shared" si="85"/>
        <v>6.5789473684210523E-2</v>
      </c>
      <c r="AD283" s="50">
        <f t="shared" si="86"/>
        <v>2.6315789473684206E-2</v>
      </c>
      <c r="AE283" s="50">
        <f t="shared" si="87"/>
        <v>2.6315789473684206E-2</v>
      </c>
      <c r="AF283" s="47">
        <f t="shared" si="89"/>
        <v>0.99999999999999978</v>
      </c>
      <c r="AG283" s="50">
        <f>IF('Resultado da inspeção'!F283='Resultado da inspeção'!$W$3,0%,Ranking!R283)</f>
        <v>0</v>
      </c>
      <c r="AH283" s="50">
        <f>IF('Resultado da inspeção'!G283='Resultado da inspeção'!$W$3,0%,Ranking!S283)</f>
        <v>0</v>
      </c>
      <c r="AI283" s="50">
        <f>IF('Resultado da inspeção'!H283='Resultado da inspeção'!$W$3,0%,Ranking!T283)</f>
        <v>0</v>
      </c>
      <c r="AJ283" s="50">
        <f>IF('Resultado da inspeção'!I283='Resultado da inspeção'!$W$3,0%,Ranking!U283)</f>
        <v>0</v>
      </c>
      <c r="AK283" s="50">
        <f>IF('Resultado da inspeção'!J283='Resultado da inspeção'!$W$3,0%,Ranking!V283)</f>
        <v>0</v>
      </c>
      <c r="AL283" s="50">
        <f>IF('Resultado da inspeção'!K283='Resultado da inspeção'!$W$3,0%,Ranking!W283)</f>
        <v>0</v>
      </c>
      <c r="AM283" s="50">
        <f>IF('Resultado da inspeção'!L283='Resultado da inspeção'!$W$3,0%,Ranking!X283)</f>
        <v>0</v>
      </c>
      <c r="AN283" s="50">
        <f>IF('Resultado da inspeção'!M283='Resultado da inspeção'!$W$3,0%,Ranking!Y283)</f>
        <v>0</v>
      </c>
      <c r="AO283" s="50">
        <f>IF('Resultado da inspeção'!N283='Resultado da inspeção'!$W$3,0%,Ranking!Z283)</f>
        <v>0</v>
      </c>
      <c r="AP283" s="50">
        <f>IF('Resultado da inspeção'!O283='Resultado da inspeção'!$W$3,0%,Ranking!AA283)</f>
        <v>7.8947368421052613E-2</v>
      </c>
      <c r="AQ283" s="50">
        <f>IF('Resultado da inspeção'!P283='Resultado da inspeção'!$W$3,0%,Ranking!AB283)</f>
        <v>0.10526315789473682</v>
      </c>
      <c r="AR283" s="50">
        <f>IF('Resultado da inspeção'!Q283='Resultado da inspeção'!$W$3,0%,Ranking!AC283)</f>
        <v>6.5789473684210523E-2</v>
      </c>
      <c r="AS283" s="50">
        <f>IF('Resultado da inspeção'!R283='Resultado da inspeção'!$W$3,0%,Ranking!AD283)</f>
        <v>2.6315789473684206E-2</v>
      </c>
      <c r="AT283" s="50">
        <f>IF('Resultado da inspeção'!S283='Resultado da inspeção'!$W$3,0%,Ranking!AE283)</f>
        <v>2.6315789473684206E-2</v>
      </c>
      <c r="AU283" s="49">
        <f t="shared" si="90"/>
        <v>0.30263157894736831</v>
      </c>
    </row>
    <row r="284" spans="2:47" x14ac:dyDescent="0.25">
      <c r="B284" s="48">
        <f>IF('Resultado da inspeção'!F284='Resultado da inspeção'!$W$4,0%,Ranking!B$5)</f>
        <v>0.02</v>
      </c>
      <c r="C284" s="48">
        <f>IF('Resultado da inspeção'!G284='Resultado da inspeção'!$W$4,0%,Ranking!C$5)</f>
        <v>0.03</v>
      </c>
      <c r="D284" s="48">
        <f>IF('Resultado da inspeção'!H284='Resultado da inspeção'!$W$4,0%,Ranking!D$5)</f>
        <v>0.03</v>
      </c>
      <c r="E284" s="48">
        <f>IF('Resultado da inspeção'!I284='Resultado da inspeção'!$W$4,0%,Ranking!E$5)</f>
        <v>0.1</v>
      </c>
      <c r="F284" s="48">
        <f>IF('Resultado da inspeção'!J284='Resultado da inspeção'!$W$4,0%,Ranking!F$5)</f>
        <v>0.21</v>
      </c>
      <c r="G284" s="48">
        <f>IF('Resultado da inspeção'!K284='Resultado da inspeção'!$W$4,0%,Ranking!G$5)</f>
        <v>0.05</v>
      </c>
      <c r="H284" s="48">
        <f>IF('Resultado da inspeção'!L284='Resultado da inspeção'!$W$4,0%,Ranking!H$5)</f>
        <v>0</v>
      </c>
      <c r="I284" s="48">
        <f>IF('Resultado da inspeção'!M284='Resultado da inspeção'!$W$4,0%,Ranking!I$5)</f>
        <v>0</v>
      </c>
      <c r="J284" s="48">
        <f>IF('Resultado da inspeção'!N284='Resultado da inspeção'!$W$4,0%,Ranking!J$5)</f>
        <v>0</v>
      </c>
      <c r="K284" s="48">
        <f>IF('Resultado da inspeção'!O284='Resultado da inspeção'!$W$4,0%,Ranking!K$5)</f>
        <v>0.06</v>
      </c>
      <c r="L284" s="48">
        <f>IF('Resultado da inspeção'!P284='Resultado da inspeção'!$W$4,0%,Ranking!L$5)</f>
        <v>0.08</v>
      </c>
      <c r="M284" s="48">
        <f>IF('Resultado da inspeção'!Q284='Resultado da inspeção'!$W$4,0%,Ranking!M$5)</f>
        <v>0.05</v>
      </c>
      <c r="N284" s="48">
        <f>IF('Resultado da inspeção'!R284='Resultado da inspeção'!$W$4,0%,Ranking!N$5)</f>
        <v>0.02</v>
      </c>
      <c r="O284" s="48">
        <f>IF('Resultado da inspeção'!S284='Resultado da inspeção'!$W$4,0%,Ranking!O$5)</f>
        <v>0.02</v>
      </c>
      <c r="P284" s="47">
        <f t="shared" si="73"/>
        <v>0.67</v>
      </c>
      <c r="Q284" s="49">
        <f t="shared" si="88"/>
        <v>0.32999999999999996</v>
      </c>
      <c r="R284" s="50">
        <f t="shared" si="74"/>
        <v>2.9850746268656716E-2</v>
      </c>
      <c r="S284" s="50">
        <f t="shared" si="75"/>
        <v>4.4776119402985072E-2</v>
      </c>
      <c r="T284" s="50">
        <f t="shared" si="76"/>
        <v>4.4776119402985072E-2</v>
      </c>
      <c r="U284" s="50">
        <f t="shared" si="77"/>
        <v>0.14925373134328357</v>
      </c>
      <c r="V284" s="50">
        <f t="shared" si="78"/>
        <v>0.31343283582089548</v>
      </c>
      <c r="W284" s="50">
        <f t="shared" si="79"/>
        <v>7.4626865671641784E-2</v>
      </c>
      <c r="X284" s="50">
        <f t="shared" si="80"/>
        <v>0</v>
      </c>
      <c r="Y284" s="50">
        <f t="shared" si="81"/>
        <v>0</v>
      </c>
      <c r="Z284" s="50">
        <f t="shared" si="82"/>
        <v>0</v>
      </c>
      <c r="AA284" s="50">
        <f t="shared" si="83"/>
        <v>8.9552238805970144E-2</v>
      </c>
      <c r="AB284" s="50">
        <f t="shared" si="84"/>
        <v>0.11940298507462686</v>
      </c>
      <c r="AC284" s="50">
        <f t="shared" si="85"/>
        <v>7.4626865671641784E-2</v>
      </c>
      <c r="AD284" s="50">
        <f t="shared" si="86"/>
        <v>2.9850746268656716E-2</v>
      </c>
      <c r="AE284" s="50">
        <f t="shared" si="87"/>
        <v>2.9850746268656716E-2</v>
      </c>
      <c r="AF284" s="47">
        <f t="shared" si="89"/>
        <v>0.99999999999999989</v>
      </c>
      <c r="AG284" s="50">
        <f>IF('Resultado da inspeção'!F284='Resultado da inspeção'!$W$3,0%,Ranking!R284)</f>
        <v>0</v>
      </c>
      <c r="AH284" s="50">
        <f>IF('Resultado da inspeção'!G284='Resultado da inspeção'!$W$3,0%,Ranking!S284)</f>
        <v>0</v>
      </c>
      <c r="AI284" s="50">
        <f>IF('Resultado da inspeção'!H284='Resultado da inspeção'!$W$3,0%,Ranking!T284)</f>
        <v>0</v>
      </c>
      <c r="AJ284" s="50">
        <f>IF('Resultado da inspeção'!I284='Resultado da inspeção'!$W$3,0%,Ranking!U284)</f>
        <v>0</v>
      </c>
      <c r="AK284" s="50">
        <f>IF('Resultado da inspeção'!J284='Resultado da inspeção'!$W$3,0%,Ranking!V284)</f>
        <v>0</v>
      </c>
      <c r="AL284" s="50">
        <f>IF('Resultado da inspeção'!K284='Resultado da inspeção'!$W$3,0%,Ranking!W284)</f>
        <v>0</v>
      </c>
      <c r="AM284" s="50">
        <f>IF('Resultado da inspeção'!L284='Resultado da inspeção'!$W$3,0%,Ranking!X284)</f>
        <v>0</v>
      </c>
      <c r="AN284" s="50">
        <f>IF('Resultado da inspeção'!M284='Resultado da inspeção'!$W$3,0%,Ranking!Y284)</f>
        <v>0</v>
      </c>
      <c r="AO284" s="50">
        <f>IF('Resultado da inspeção'!N284='Resultado da inspeção'!$W$3,0%,Ranking!Z284)</f>
        <v>0</v>
      </c>
      <c r="AP284" s="50">
        <f>IF('Resultado da inspeção'!O284='Resultado da inspeção'!$W$3,0%,Ranking!AA284)</f>
        <v>8.9552238805970144E-2</v>
      </c>
      <c r="AQ284" s="50">
        <f>IF('Resultado da inspeção'!P284='Resultado da inspeção'!$W$3,0%,Ranking!AB284)</f>
        <v>0.11940298507462686</v>
      </c>
      <c r="AR284" s="50">
        <f>IF('Resultado da inspeção'!Q284='Resultado da inspeção'!$W$3,0%,Ranking!AC284)</f>
        <v>7.4626865671641784E-2</v>
      </c>
      <c r="AS284" s="50">
        <f>IF('Resultado da inspeção'!R284='Resultado da inspeção'!$W$3,0%,Ranking!AD284)</f>
        <v>2.9850746268656716E-2</v>
      </c>
      <c r="AT284" s="50">
        <f>IF('Resultado da inspeção'!S284='Resultado da inspeção'!$W$3,0%,Ranking!AE284)</f>
        <v>2.9850746268656716E-2</v>
      </c>
      <c r="AU284" s="49">
        <f t="shared" si="90"/>
        <v>0.34328358208955218</v>
      </c>
    </row>
    <row r="285" spans="2:47" x14ac:dyDescent="0.25">
      <c r="B285" s="48">
        <f>IF('Resultado da inspeção'!F285='Resultado da inspeção'!$W$4,0%,Ranking!B$5)</f>
        <v>0.02</v>
      </c>
      <c r="C285" s="48">
        <f>IF('Resultado da inspeção'!G285='Resultado da inspeção'!$W$4,0%,Ranking!C$5)</f>
        <v>0.03</v>
      </c>
      <c r="D285" s="48">
        <f>IF('Resultado da inspeção'!H285='Resultado da inspeção'!$W$4,0%,Ranking!D$5)</f>
        <v>0.03</v>
      </c>
      <c r="E285" s="48">
        <f>IF('Resultado da inspeção'!I285='Resultado da inspeção'!$W$4,0%,Ranking!E$5)</f>
        <v>0.1</v>
      </c>
      <c r="F285" s="48">
        <f>IF('Resultado da inspeção'!J285='Resultado da inspeção'!$W$4,0%,Ranking!F$5)</f>
        <v>0.21</v>
      </c>
      <c r="G285" s="48">
        <f>IF('Resultado da inspeção'!K285='Resultado da inspeção'!$W$4,0%,Ranking!G$5)</f>
        <v>0.05</v>
      </c>
      <c r="H285" s="48">
        <f>IF('Resultado da inspeção'!L285='Resultado da inspeção'!$W$4,0%,Ranking!H$5)</f>
        <v>0.24</v>
      </c>
      <c r="I285" s="48">
        <f>IF('Resultado da inspeção'!M285='Resultado da inspeção'!$W$4,0%,Ranking!I$5)</f>
        <v>0</v>
      </c>
      <c r="J285" s="48">
        <f>IF('Resultado da inspeção'!N285='Resultado da inspeção'!$W$4,0%,Ranking!J$5)</f>
        <v>0</v>
      </c>
      <c r="K285" s="48">
        <f>IF('Resultado da inspeção'!O285='Resultado da inspeção'!$W$4,0%,Ranking!K$5)</f>
        <v>0.06</v>
      </c>
      <c r="L285" s="48">
        <f>IF('Resultado da inspeção'!P285='Resultado da inspeção'!$W$4,0%,Ranking!L$5)</f>
        <v>0.08</v>
      </c>
      <c r="M285" s="48">
        <f>IF('Resultado da inspeção'!Q285='Resultado da inspeção'!$W$4,0%,Ranking!M$5)</f>
        <v>0.05</v>
      </c>
      <c r="N285" s="48">
        <f>IF('Resultado da inspeção'!R285='Resultado da inspeção'!$W$4,0%,Ranking!N$5)</f>
        <v>0.02</v>
      </c>
      <c r="O285" s="48">
        <f>IF('Resultado da inspeção'!S285='Resultado da inspeção'!$W$4,0%,Ranking!O$5)</f>
        <v>0.02</v>
      </c>
      <c r="P285" s="47">
        <f t="shared" si="73"/>
        <v>0.91</v>
      </c>
      <c r="Q285" s="49">
        <f t="shared" si="88"/>
        <v>8.9999999999999969E-2</v>
      </c>
      <c r="R285" s="50">
        <f t="shared" si="74"/>
        <v>2.1978021978021976E-2</v>
      </c>
      <c r="S285" s="50">
        <f t="shared" si="75"/>
        <v>3.2967032967032968E-2</v>
      </c>
      <c r="T285" s="50">
        <f t="shared" si="76"/>
        <v>3.2967032967032968E-2</v>
      </c>
      <c r="U285" s="50">
        <f t="shared" si="77"/>
        <v>0.10989010989010989</v>
      </c>
      <c r="V285" s="50">
        <f t="shared" si="78"/>
        <v>0.23076923076923075</v>
      </c>
      <c r="W285" s="50">
        <f t="shared" si="79"/>
        <v>5.4945054945054944E-2</v>
      </c>
      <c r="X285" s="50">
        <f t="shared" si="80"/>
        <v>0.26373626373626374</v>
      </c>
      <c r="Y285" s="50">
        <f t="shared" si="81"/>
        <v>0</v>
      </c>
      <c r="Z285" s="50">
        <f t="shared" si="82"/>
        <v>0</v>
      </c>
      <c r="AA285" s="50">
        <f t="shared" si="83"/>
        <v>6.5934065934065936E-2</v>
      </c>
      <c r="AB285" s="50">
        <f t="shared" si="84"/>
        <v>8.7912087912087905E-2</v>
      </c>
      <c r="AC285" s="50">
        <f t="shared" si="85"/>
        <v>5.4945054945054944E-2</v>
      </c>
      <c r="AD285" s="50">
        <f t="shared" si="86"/>
        <v>2.1978021978021976E-2</v>
      </c>
      <c r="AE285" s="50">
        <f t="shared" si="87"/>
        <v>2.1978021978021976E-2</v>
      </c>
      <c r="AF285" s="47">
        <f t="shared" si="89"/>
        <v>1</v>
      </c>
      <c r="AG285" s="50">
        <f>IF('Resultado da inspeção'!F285='Resultado da inspeção'!$W$3,0%,Ranking!R285)</f>
        <v>2.1978021978021976E-2</v>
      </c>
      <c r="AH285" s="50">
        <f>IF('Resultado da inspeção'!G285='Resultado da inspeção'!$W$3,0%,Ranking!S285)</f>
        <v>3.2967032967032968E-2</v>
      </c>
      <c r="AI285" s="50">
        <f>IF('Resultado da inspeção'!H285='Resultado da inspeção'!$W$3,0%,Ranking!T285)</f>
        <v>3.2967032967032968E-2</v>
      </c>
      <c r="AJ285" s="50">
        <f>IF('Resultado da inspeção'!I285='Resultado da inspeção'!$W$3,0%,Ranking!U285)</f>
        <v>0</v>
      </c>
      <c r="AK285" s="50">
        <f>IF('Resultado da inspeção'!J285='Resultado da inspeção'!$W$3,0%,Ranking!V285)</f>
        <v>0.23076923076923075</v>
      </c>
      <c r="AL285" s="50">
        <f>IF('Resultado da inspeção'!K285='Resultado da inspeção'!$W$3,0%,Ranking!W285)</f>
        <v>5.4945054945054944E-2</v>
      </c>
      <c r="AM285" s="50">
        <f>IF('Resultado da inspeção'!L285='Resultado da inspeção'!$W$3,0%,Ranking!X285)</f>
        <v>0.26373626373626374</v>
      </c>
      <c r="AN285" s="50">
        <f>IF('Resultado da inspeção'!M285='Resultado da inspeção'!$W$3,0%,Ranking!Y285)</f>
        <v>0</v>
      </c>
      <c r="AO285" s="50">
        <f>IF('Resultado da inspeção'!N285='Resultado da inspeção'!$W$3,0%,Ranking!Z285)</f>
        <v>0</v>
      </c>
      <c r="AP285" s="50">
        <f>IF('Resultado da inspeção'!O285='Resultado da inspeção'!$W$3,0%,Ranking!AA285)</f>
        <v>6.5934065934065936E-2</v>
      </c>
      <c r="AQ285" s="50">
        <f>IF('Resultado da inspeção'!P285='Resultado da inspeção'!$W$3,0%,Ranking!AB285)</f>
        <v>8.7912087912087905E-2</v>
      </c>
      <c r="AR285" s="50">
        <f>IF('Resultado da inspeção'!Q285='Resultado da inspeção'!$W$3,0%,Ranking!AC285)</f>
        <v>5.4945054945054944E-2</v>
      </c>
      <c r="AS285" s="50">
        <f>IF('Resultado da inspeção'!R285='Resultado da inspeção'!$W$3,0%,Ranking!AD285)</f>
        <v>2.1978021978021976E-2</v>
      </c>
      <c r="AT285" s="50">
        <f>IF('Resultado da inspeção'!S285='Resultado da inspeção'!$W$3,0%,Ranking!AE285)</f>
        <v>2.1978021978021976E-2</v>
      </c>
      <c r="AU285" s="49">
        <f t="shared" si="90"/>
        <v>0.89010989010989017</v>
      </c>
    </row>
    <row r="286" spans="2:47" x14ac:dyDescent="0.25">
      <c r="B286" s="48">
        <f>IF('Resultado da inspeção'!F286='Resultado da inspeção'!$W$4,0%,Ranking!B$5)</f>
        <v>0.02</v>
      </c>
      <c r="C286" s="48">
        <f>IF('Resultado da inspeção'!G286='Resultado da inspeção'!$W$4,0%,Ranking!C$5)</f>
        <v>0.03</v>
      </c>
      <c r="D286" s="48">
        <f>IF('Resultado da inspeção'!H286='Resultado da inspeção'!$W$4,0%,Ranking!D$5)</f>
        <v>0.03</v>
      </c>
      <c r="E286" s="48">
        <f>IF('Resultado da inspeção'!I286='Resultado da inspeção'!$W$4,0%,Ranking!E$5)</f>
        <v>0.1</v>
      </c>
      <c r="F286" s="48">
        <f>IF('Resultado da inspeção'!J286='Resultado da inspeção'!$W$4,0%,Ranking!F$5)</f>
        <v>0.21</v>
      </c>
      <c r="G286" s="48">
        <f>IF('Resultado da inspeção'!K286='Resultado da inspeção'!$W$4,0%,Ranking!G$5)</f>
        <v>0.05</v>
      </c>
      <c r="H286" s="48">
        <f>IF('Resultado da inspeção'!L286='Resultado da inspeção'!$W$4,0%,Ranking!H$5)</f>
        <v>0.24</v>
      </c>
      <c r="I286" s="48">
        <f>IF('Resultado da inspeção'!M286='Resultado da inspeção'!$W$4,0%,Ranking!I$5)</f>
        <v>0</v>
      </c>
      <c r="J286" s="48">
        <f>IF('Resultado da inspeção'!N286='Resultado da inspeção'!$W$4,0%,Ranking!J$5)</f>
        <v>0</v>
      </c>
      <c r="K286" s="48">
        <f>IF('Resultado da inspeção'!O286='Resultado da inspeção'!$W$4,0%,Ranking!K$5)</f>
        <v>0.06</v>
      </c>
      <c r="L286" s="48">
        <f>IF('Resultado da inspeção'!P286='Resultado da inspeção'!$W$4,0%,Ranking!L$5)</f>
        <v>0.08</v>
      </c>
      <c r="M286" s="48">
        <f>IF('Resultado da inspeção'!Q286='Resultado da inspeção'!$W$4,0%,Ranking!M$5)</f>
        <v>0.05</v>
      </c>
      <c r="N286" s="48">
        <f>IF('Resultado da inspeção'!R286='Resultado da inspeção'!$W$4,0%,Ranking!N$5)</f>
        <v>0.02</v>
      </c>
      <c r="O286" s="48">
        <f>IF('Resultado da inspeção'!S286='Resultado da inspeção'!$W$4,0%,Ranking!O$5)</f>
        <v>0.02</v>
      </c>
      <c r="P286" s="47">
        <f t="shared" si="73"/>
        <v>0.91</v>
      </c>
      <c r="Q286" s="49">
        <f t="shared" si="88"/>
        <v>8.9999999999999969E-2</v>
      </c>
      <c r="R286" s="50">
        <f t="shared" si="74"/>
        <v>2.1978021978021976E-2</v>
      </c>
      <c r="S286" s="50">
        <f t="shared" si="75"/>
        <v>3.2967032967032968E-2</v>
      </c>
      <c r="T286" s="50">
        <f t="shared" si="76"/>
        <v>3.2967032967032968E-2</v>
      </c>
      <c r="U286" s="50">
        <f t="shared" si="77"/>
        <v>0.10989010989010989</v>
      </c>
      <c r="V286" s="50">
        <f t="shared" si="78"/>
        <v>0.23076923076923075</v>
      </c>
      <c r="W286" s="50">
        <f t="shared" si="79"/>
        <v>5.4945054945054944E-2</v>
      </c>
      <c r="X286" s="50">
        <f t="shared" si="80"/>
        <v>0.26373626373626374</v>
      </c>
      <c r="Y286" s="50">
        <f t="shared" si="81"/>
        <v>0</v>
      </c>
      <c r="Z286" s="50">
        <f t="shared" si="82"/>
        <v>0</v>
      </c>
      <c r="AA286" s="50">
        <f t="shared" si="83"/>
        <v>6.5934065934065936E-2</v>
      </c>
      <c r="AB286" s="50">
        <f t="shared" si="84"/>
        <v>8.7912087912087905E-2</v>
      </c>
      <c r="AC286" s="50">
        <f t="shared" si="85"/>
        <v>5.4945054945054944E-2</v>
      </c>
      <c r="AD286" s="50">
        <f t="shared" si="86"/>
        <v>2.1978021978021976E-2</v>
      </c>
      <c r="AE286" s="50">
        <f t="shared" si="87"/>
        <v>2.1978021978021976E-2</v>
      </c>
      <c r="AF286" s="47">
        <f t="shared" si="89"/>
        <v>1</v>
      </c>
      <c r="AG286" s="50">
        <f>IF('Resultado da inspeção'!F286='Resultado da inspeção'!$W$3,0%,Ranking!R286)</f>
        <v>2.1978021978021976E-2</v>
      </c>
      <c r="AH286" s="50">
        <f>IF('Resultado da inspeção'!G286='Resultado da inspeção'!$W$3,0%,Ranking!S286)</f>
        <v>3.2967032967032968E-2</v>
      </c>
      <c r="AI286" s="50">
        <f>IF('Resultado da inspeção'!H286='Resultado da inspeção'!$W$3,0%,Ranking!T286)</f>
        <v>3.2967032967032968E-2</v>
      </c>
      <c r="AJ286" s="50">
        <f>IF('Resultado da inspeção'!I286='Resultado da inspeção'!$W$3,0%,Ranking!U286)</f>
        <v>0.10989010989010989</v>
      </c>
      <c r="AK286" s="50">
        <f>IF('Resultado da inspeção'!J286='Resultado da inspeção'!$W$3,0%,Ranking!V286)</f>
        <v>0.23076923076923075</v>
      </c>
      <c r="AL286" s="50">
        <f>IF('Resultado da inspeção'!K286='Resultado da inspeção'!$W$3,0%,Ranking!W286)</f>
        <v>5.4945054945054944E-2</v>
      </c>
      <c r="AM286" s="50">
        <f>IF('Resultado da inspeção'!L286='Resultado da inspeção'!$W$3,0%,Ranking!X286)</f>
        <v>0</v>
      </c>
      <c r="AN286" s="50">
        <f>IF('Resultado da inspeção'!M286='Resultado da inspeção'!$W$3,0%,Ranking!Y286)</f>
        <v>0</v>
      </c>
      <c r="AO286" s="50">
        <f>IF('Resultado da inspeção'!N286='Resultado da inspeção'!$W$3,0%,Ranking!Z286)</f>
        <v>0</v>
      </c>
      <c r="AP286" s="50">
        <f>IF('Resultado da inspeção'!O286='Resultado da inspeção'!$W$3,0%,Ranking!AA286)</f>
        <v>6.5934065934065936E-2</v>
      </c>
      <c r="AQ286" s="50">
        <f>IF('Resultado da inspeção'!P286='Resultado da inspeção'!$W$3,0%,Ranking!AB286)</f>
        <v>8.7912087912087905E-2</v>
      </c>
      <c r="AR286" s="50">
        <f>IF('Resultado da inspeção'!Q286='Resultado da inspeção'!$W$3,0%,Ranking!AC286)</f>
        <v>5.4945054945054944E-2</v>
      </c>
      <c r="AS286" s="50">
        <f>IF('Resultado da inspeção'!R286='Resultado da inspeção'!$W$3,0%,Ranking!AD286)</f>
        <v>2.1978021978021976E-2</v>
      </c>
      <c r="AT286" s="50">
        <f>IF('Resultado da inspeção'!S286='Resultado da inspeção'!$W$3,0%,Ranking!AE286)</f>
        <v>2.1978021978021976E-2</v>
      </c>
      <c r="AU286" s="49">
        <f t="shared" si="90"/>
        <v>0.73626373626373631</v>
      </c>
    </row>
    <row r="287" spans="2:47" x14ac:dyDescent="0.25">
      <c r="B287" s="48">
        <f>IF('Resultado da inspeção'!F287='Resultado da inspeção'!$W$4,0%,Ranking!B$5)</f>
        <v>0.02</v>
      </c>
      <c r="C287" s="48">
        <f>IF('Resultado da inspeção'!G287='Resultado da inspeção'!$W$4,0%,Ranking!C$5)</f>
        <v>0.03</v>
      </c>
      <c r="D287" s="48">
        <f>IF('Resultado da inspeção'!H287='Resultado da inspeção'!$W$4,0%,Ranking!D$5)</f>
        <v>0.03</v>
      </c>
      <c r="E287" s="48">
        <f>IF('Resultado da inspeção'!I287='Resultado da inspeção'!$W$4,0%,Ranking!E$5)</f>
        <v>0.1</v>
      </c>
      <c r="F287" s="48">
        <f>IF('Resultado da inspeção'!J287='Resultado da inspeção'!$W$4,0%,Ranking!F$5)</f>
        <v>0.21</v>
      </c>
      <c r="G287" s="48">
        <f>IF('Resultado da inspeção'!K287='Resultado da inspeção'!$W$4,0%,Ranking!G$5)</f>
        <v>0.05</v>
      </c>
      <c r="H287" s="48">
        <f>IF('Resultado da inspeção'!L287='Resultado da inspeção'!$W$4,0%,Ranking!H$5)</f>
        <v>0</v>
      </c>
      <c r="I287" s="48">
        <f>IF('Resultado da inspeção'!M287='Resultado da inspeção'!$W$4,0%,Ranking!I$5)</f>
        <v>0</v>
      </c>
      <c r="J287" s="48">
        <f>IF('Resultado da inspeção'!N287='Resultado da inspeção'!$W$4,0%,Ranking!J$5)</f>
        <v>0</v>
      </c>
      <c r="K287" s="48">
        <f>IF('Resultado da inspeção'!O287='Resultado da inspeção'!$W$4,0%,Ranking!K$5)</f>
        <v>0.06</v>
      </c>
      <c r="L287" s="48">
        <f>IF('Resultado da inspeção'!P287='Resultado da inspeção'!$W$4,0%,Ranking!L$5)</f>
        <v>0.08</v>
      </c>
      <c r="M287" s="48">
        <f>IF('Resultado da inspeção'!Q287='Resultado da inspeção'!$W$4,0%,Ranking!M$5)</f>
        <v>0.05</v>
      </c>
      <c r="N287" s="48">
        <f>IF('Resultado da inspeção'!R287='Resultado da inspeção'!$W$4,0%,Ranking!N$5)</f>
        <v>0.02</v>
      </c>
      <c r="O287" s="48">
        <f>IF('Resultado da inspeção'!S287='Resultado da inspeção'!$W$4,0%,Ranking!O$5)</f>
        <v>0.02</v>
      </c>
      <c r="P287" s="47">
        <f t="shared" si="73"/>
        <v>0.67</v>
      </c>
      <c r="Q287" s="49">
        <f t="shared" si="88"/>
        <v>0.32999999999999996</v>
      </c>
      <c r="R287" s="50">
        <f t="shared" si="74"/>
        <v>2.9850746268656716E-2</v>
      </c>
      <c r="S287" s="50">
        <f t="shared" si="75"/>
        <v>4.4776119402985072E-2</v>
      </c>
      <c r="T287" s="50">
        <f t="shared" si="76"/>
        <v>4.4776119402985072E-2</v>
      </c>
      <c r="U287" s="50">
        <f t="shared" si="77"/>
        <v>0.14925373134328357</v>
      </c>
      <c r="V287" s="50">
        <f t="shared" si="78"/>
        <v>0.31343283582089548</v>
      </c>
      <c r="W287" s="50">
        <f t="shared" si="79"/>
        <v>7.4626865671641784E-2</v>
      </c>
      <c r="X287" s="50">
        <f t="shared" si="80"/>
        <v>0</v>
      </c>
      <c r="Y287" s="50">
        <f t="shared" si="81"/>
        <v>0</v>
      </c>
      <c r="Z287" s="50">
        <f t="shared" si="82"/>
        <v>0</v>
      </c>
      <c r="AA287" s="50">
        <f t="shared" si="83"/>
        <v>8.9552238805970144E-2</v>
      </c>
      <c r="AB287" s="50">
        <f t="shared" si="84"/>
        <v>0.11940298507462686</v>
      </c>
      <c r="AC287" s="50">
        <f t="shared" si="85"/>
        <v>7.4626865671641784E-2</v>
      </c>
      <c r="AD287" s="50">
        <f t="shared" si="86"/>
        <v>2.9850746268656716E-2</v>
      </c>
      <c r="AE287" s="50">
        <f t="shared" si="87"/>
        <v>2.9850746268656716E-2</v>
      </c>
      <c r="AF287" s="47">
        <f t="shared" si="89"/>
        <v>0.99999999999999989</v>
      </c>
      <c r="AG287" s="50">
        <f>IF('Resultado da inspeção'!F287='Resultado da inspeção'!$W$3,0%,Ranking!R287)</f>
        <v>2.9850746268656716E-2</v>
      </c>
      <c r="AH287" s="50">
        <f>IF('Resultado da inspeção'!G287='Resultado da inspeção'!$W$3,0%,Ranking!S287)</f>
        <v>4.4776119402985072E-2</v>
      </c>
      <c r="AI287" s="50">
        <f>IF('Resultado da inspeção'!H287='Resultado da inspeção'!$W$3,0%,Ranking!T287)</f>
        <v>4.4776119402985072E-2</v>
      </c>
      <c r="AJ287" s="50">
        <f>IF('Resultado da inspeção'!I287='Resultado da inspeção'!$W$3,0%,Ranking!U287)</f>
        <v>0</v>
      </c>
      <c r="AK287" s="50">
        <f>IF('Resultado da inspeção'!J287='Resultado da inspeção'!$W$3,0%,Ranking!V287)</f>
        <v>0.31343283582089548</v>
      </c>
      <c r="AL287" s="50">
        <f>IF('Resultado da inspeção'!K287='Resultado da inspeção'!$W$3,0%,Ranking!W287)</f>
        <v>7.4626865671641784E-2</v>
      </c>
      <c r="AM287" s="50">
        <f>IF('Resultado da inspeção'!L287='Resultado da inspeção'!$W$3,0%,Ranking!X287)</f>
        <v>0</v>
      </c>
      <c r="AN287" s="50">
        <f>IF('Resultado da inspeção'!M287='Resultado da inspeção'!$W$3,0%,Ranking!Y287)</f>
        <v>0</v>
      </c>
      <c r="AO287" s="50">
        <f>IF('Resultado da inspeção'!N287='Resultado da inspeção'!$W$3,0%,Ranking!Z287)</f>
        <v>0</v>
      </c>
      <c r="AP287" s="50">
        <f>IF('Resultado da inspeção'!O287='Resultado da inspeção'!$W$3,0%,Ranking!AA287)</f>
        <v>8.9552238805970144E-2</v>
      </c>
      <c r="AQ287" s="50">
        <f>IF('Resultado da inspeção'!P287='Resultado da inspeção'!$W$3,0%,Ranking!AB287)</f>
        <v>0.11940298507462686</v>
      </c>
      <c r="AR287" s="50">
        <f>IF('Resultado da inspeção'!Q287='Resultado da inspeção'!$W$3,0%,Ranking!AC287)</f>
        <v>7.4626865671641784E-2</v>
      </c>
      <c r="AS287" s="50">
        <f>IF('Resultado da inspeção'!R287='Resultado da inspeção'!$W$3,0%,Ranking!AD287)</f>
        <v>2.9850746268656716E-2</v>
      </c>
      <c r="AT287" s="50">
        <f>IF('Resultado da inspeção'!S287='Resultado da inspeção'!$W$3,0%,Ranking!AE287)</f>
        <v>2.9850746268656716E-2</v>
      </c>
      <c r="AU287" s="49">
        <f t="shared" si="90"/>
        <v>0.85074626865671632</v>
      </c>
    </row>
    <row r="288" spans="2:47" x14ac:dyDescent="0.25">
      <c r="B288" s="48">
        <f>IF('Resultado da inspeção'!F288='Resultado da inspeção'!$W$4,0%,Ranking!B$5)</f>
        <v>0.02</v>
      </c>
      <c r="C288" s="48">
        <f>IF('Resultado da inspeção'!G288='Resultado da inspeção'!$W$4,0%,Ranking!C$5)</f>
        <v>0.03</v>
      </c>
      <c r="D288" s="48">
        <f>IF('Resultado da inspeção'!H288='Resultado da inspeção'!$W$4,0%,Ranking!D$5)</f>
        <v>0.03</v>
      </c>
      <c r="E288" s="48">
        <f>IF('Resultado da inspeção'!I288='Resultado da inspeção'!$W$4,0%,Ranking!E$5)</f>
        <v>0.1</v>
      </c>
      <c r="F288" s="48">
        <f>IF('Resultado da inspeção'!J288='Resultado da inspeção'!$W$4,0%,Ranking!F$5)</f>
        <v>0.21</v>
      </c>
      <c r="G288" s="48">
        <f>IF('Resultado da inspeção'!K288='Resultado da inspeção'!$W$4,0%,Ranking!G$5)</f>
        <v>0.05</v>
      </c>
      <c r="H288" s="48">
        <f>IF('Resultado da inspeção'!L288='Resultado da inspeção'!$W$4,0%,Ranking!H$5)</f>
        <v>0.24</v>
      </c>
      <c r="I288" s="48">
        <f>IF('Resultado da inspeção'!M288='Resultado da inspeção'!$W$4,0%,Ranking!I$5)</f>
        <v>0</v>
      </c>
      <c r="J288" s="48">
        <f>IF('Resultado da inspeção'!N288='Resultado da inspeção'!$W$4,0%,Ranking!J$5)</f>
        <v>0</v>
      </c>
      <c r="K288" s="48">
        <f>IF('Resultado da inspeção'!O288='Resultado da inspeção'!$W$4,0%,Ranking!K$5)</f>
        <v>0.06</v>
      </c>
      <c r="L288" s="48">
        <f>IF('Resultado da inspeção'!P288='Resultado da inspeção'!$W$4,0%,Ranking!L$5)</f>
        <v>0.08</v>
      </c>
      <c r="M288" s="48">
        <f>IF('Resultado da inspeção'!Q288='Resultado da inspeção'!$W$4,0%,Ranking!M$5)</f>
        <v>0.05</v>
      </c>
      <c r="N288" s="48">
        <f>IF('Resultado da inspeção'!R288='Resultado da inspeção'!$W$4,0%,Ranking!N$5)</f>
        <v>0.02</v>
      </c>
      <c r="O288" s="48">
        <f>IF('Resultado da inspeção'!S288='Resultado da inspeção'!$W$4,0%,Ranking!O$5)</f>
        <v>0.02</v>
      </c>
      <c r="P288" s="47">
        <f t="shared" si="73"/>
        <v>0.91</v>
      </c>
      <c r="Q288" s="49">
        <f t="shared" si="88"/>
        <v>8.9999999999999969E-2</v>
      </c>
      <c r="R288" s="50">
        <f t="shared" si="74"/>
        <v>2.1978021978021976E-2</v>
      </c>
      <c r="S288" s="50">
        <f t="shared" si="75"/>
        <v>3.2967032967032968E-2</v>
      </c>
      <c r="T288" s="50">
        <f t="shared" si="76"/>
        <v>3.2967032967032968E-2</v>
      </c>
      <c r="U288" s="50">
        <f t="shared" si="77"/>
        <v>0.10989010989010989</v>
      </c>
      <c r="V288" s="50">
        <f t="shared" si="78"/>
        <v>0.23076923076923075</v>
      </c>
      <c r="W288" s="50">
        <f t="shared" si="79"/>
        <v>5.4945054945054944E-2</v>
      </c>
      <c r="X288" s="50">
        <f t="shared" si="80"/>
        <v>0.26373626373626374</v>
      </c>
      <c r="Y288" s="50">
        <f t="shared" si="81"/>
        <v>0</v>
      </c>
      <c r="Z288" s="50">
        <f t="shared" si="82"/>
        <v>0</v>
      </c>
      <c r="AA288" s="50">
        <f t="shared" si="83"/>
        <v>6.5934065934065936E-2</v>
      </c>
      <c r="AB288" s="50">
        <f t="shared" si="84"/>
        <v>8.7912087912087905E-2</v>
      </c>
      <c r="AC288" s="50">
        <f t="shared" si="85"/>
        <v>5.4945054945054944E-2</v>
      </c>
      <c r="AD288" s="50">
        <f t="shared" si="86"/>
        <v>2.1978021978021976E-2</v>
      </c>
      <c r="AE288" s="50">
        <f t="shared" si="87"/>
        <v>2.1978021978021976E-2</v>
      </c>
      <c r="AF288" s="47">
        <f t="shared" si="89"/>
        <v>1</v>
      </c>
      <c r="AG288" s="50">
        <f>IF('Resultado da inspeção'!F288='Resultado da inspeção'!$W$3,0%,Ranking!R288)</f>
        <v>2.1978021978021976E-2</v>
      </c>
      <c r="AH288" s="50">
        <f>IF('Resultado da inspeção'!G288='Resultado da inspeção'!$W$3,0%,Ranking!S288)</f>
        <v>3.2967032967032968E-2</v>
      </c>
      <c r="AI288" s="50">
        <f>IF('Resultado da inspeção'!H288='Resultado da inspeção'!$W$3,0%,Ranking!T288)</f>
        <v>3.2967032967032968E-2</v>
      </c>
      <c r="AJ288" s="50">
        <f>IF('Resultado da inspeção'!I288='Resultado da inspeção'!$W$3,0%,Ranking!U288)</f>
        <v>0.10989010989010989</v>
      </c>
      <c r="AK288" s="50">
        <f>IF('Resultado da inspeção'!J288='Resultado da inspeção'!$W$3,0%,Ranking!V288)</f>
        <v>0.23076923076923075</v>
      </c>
      <c r="AL288" s="50">
        <f>IF('Resultado da inspeção'!K288='Resultado da inspeção'!$W$3,0%,Ranking!W288)</f>
        <v>5.4945054945054944E-2</v>
      </c>
      <c r="AM288" s="50">
        <f>IF('Resultado da inspeção'!L288='Resultado da inspeção'!$W$3,0%,Ranking!X288)</f>
        <v>0.26373626373626374</v>
      </c>
      <c r="AN288" s="50">
        <f>IF('Resultado da inspeção'!M288='Resultado da inspeção'!$W$3,0%,Ranking!Y288)</f>
        <v>0</v>
      </c>
      <c r="AO288" s="50">
        <f>IF('Resultado da inspeção'!N288='Resultado da inspeção'!$W$3,0%,Ranking!Z288)</f>
        <v>0</v>
      </c>
      <c r="AP288" s="50">
        <f>IF('Resultado da inspeção'!O288='Resultado da inspeção'!$W$3,0%,Ranking!AA288)</f>
        <v>6.5934065934065936E-2</v>
      </c>
      <c r="AQ288" s="50">
        <f>IF('Resultado da inspeção'!P288='Resultado da inspeção'!$W$3,0%,Ranking!AB288)</f>
        <v>8.7912087912087905E-2</v>
      </c>
      <c r="AR288" s="50">
        <f>IF('Resultado da inspeção'!Q288='Resultado da inspeção'!$W$3,0%,Ranking!AC288)</f>
        <v>5.4945054945054944E-2</v>
      </c>
      <c r="AS288" s="50">
        <f>IF('Resultado da inspeção'!R288='Resultado da inspeção'!$W$3,0%,Ranking!AD288)</f>
        <v>2.1978021978021976E-2</v>
      </c>
      <c r="AT288" s="50">
        <f>IF('Resultado da inspeção'!S288='Resultado da inspeção'!$W$3,0%,Ranking!AE288)</f>
        <v>2.1978021978021976E-2</v>
      </c>
      <c r="AU288" s="49">
        <f t="shared" si="90"/>
        <v>1</v>
      </c>
    </row>
    <row r="289" spans="2:47" x14ac:dyDescent="0.25">
      <c r="B289" s="48">
        <f>IF('Resultado da inspeção'!F289='Resultado da inspeção'!$W$4,0%,Ranking!B$5)</f>
        <v>0.02</v>
      </c>
      <c r="C289" s="48">
        <f>IF('Resultado da inspeção'!G289='Resultado da inspeção'!$W$4,0%,Ranking!C$5)</f>
        <v>0.03</v>
      </c>
      <c r="D289" s="48">
        <f>IF('Resultado da inspeção'!H289='Resultado da inspeção'!$W$4,0%,Ranking!D$5)</f>
        <v>0.03</v>
      </c>
      <c r="E289" s="48">
        <f>IF('Resultado da inspeção'!I289='Resultado da inspeção'!$W$4,0%,Ranking!E$5)</f>
        <v>0.1</v>
      </c>
      <c r="F289" s="48">
        <f>IF('Resultado da inspeção'!J289='Resultado da inspeção'!$W$4,0%,Ranking!F$5)</f>
        <v>0.21</v>
      </c>
      <c r="G289" s="48">
        <f>IF('Resultado da inspeção'!K289='Resultado da inspeção'!$W$4,0%,Ranking!G$5)</f>
        <v>0.05</v>
      </c>
      <c r="H289" s="48">
        <f>IF('Resultado da inspeção'!L289='Resultado da inspeção'!$W$4,0%,Ranking!H$5)</f>
        <v>0.24</v>
      </c>
      <c r="I289" s="48">
        <f>IF('Resultado da inspeção'!M289='Resultado da inspeção'!$W$4,0%,Ranking!I$5)</f>
        <v>0</v>
      </c>
      <c r="J289" s="48">
        <f>IF('Resultado da inspeção'!N289='Resultado da inspeção'!$W$4,0%,Ranking!J$5)</f>
        <v>0</v>
      </c>
      <c r="K289" s="48">
        <f>IF('Resultado da inspeção'!O289='Resultado da inspeção'!$W$4,0%,Ranking!K$5)</f>
        <v>0.06</v>
      </c>
      <c r="L289" s="48">
        <f>IF('Resultado da inspeção'!P289='Resultado da inspeção'!$W$4,0%,Ranking!L$5)</f>
        <v>0.08</v>
      </c>
      <c r="M289" s="48">
        <f>IF('Resultado da inspeção'!Q289='Resultado da inspeção'!$W$4,0%,Ranking!M$5)</f>
        <v>0.05</v>
      </c>
      <c r="N289" s="48">
        <f>IF('Resultado da inspeção'!R289='Resultado da inspeção'!$W$4,0%,Ranking!N$5)</f>
        <v>0.02</v>
      </c>
      <c r="O289" s="48">
        <f>IF('Resultado da inspeção'!S289='Resultado da inspeção'!$W$4,0%,Ranking!O$5)</f>
        <v>0.02</v>
      </c>
      <c r="P289" s="47">
        <f t="shared" si="73"/>
        <v>0.91</v>
      </c>
      <c r="Q289" s="49">
        <f t="shared" si="88"/>
        <v>8.9999999999999969E-2</v>
      </c>
      <c r="R289" s="50">
        <f t="shared" si="74"/>
        <v>2.1978021978021976E-2</v>
      </c>
      <c r="S289" s="50">
        <f t="shared" si="75"/>
        <v>3.2967032967032968E-2</v>
      </c>
      <c r="T289" s="50">
        <f t="shared" si="76"/>
        <v>3.2967032967032968E-2</v>
      </c>
      <c r="U289" s="50">
        <f t="shared" si="77"/>
        <v>0.10989010989010989</v>
      </c>
      <c r="V289" s="50">
        <f t="shared" si="78"/>
        <v>0.23076923076923075</v>
      </c>
      <c r="W289" s="50">
        <f t="shared" si="79"/>
        <v>5.4945054945054944E-2</v>
      </c>
      <c r="X289" s="50">
        <f t="shared" si="80"/>
        <v>0.26373626373626374</v>
      </c>
      <c r="Y289" s="50">
        <f t="shared" si="81"/>
        <v>0</v>
      </c>
      <c r="Z289" s="50">
        <f t="shared" si="82"/>
        <v>0</v>
      </c>
      <c r="AA289" s="50">
        <f t="shared" si="83"/>
        <v>6.5934065934065936E-2</v>
      </c>
      <c r="AB289" s="50">
        <f t="shared" si="84"/>
        <v>8.7912087912087905E-2</v>
      </c>
      <c r="AC289" s="50">
        <f t="shared" si="85"/>
        <v>5.4945054945054944E-2</v>
      </c>
      <c r="AD289" s="50">
        <f t="shared" si="86"/>
        <v>2.1978021978021976E-2</v>
      </c>
      <c r="AE289" s="50">
        <f t="shared" si="87"/>
        <v>2.1978021978021976E-2</v>
      </c>
      <c r="AF289" s="47">
        <f t="shared" si="89"/>
        <v>1</v>
      </c>
      <c r="AG289" s="50">
        <f>IF('Resultado da inspeção'!F289='Resultado da inspeção'!$W$3,0%,Ranking!R289)</f>
        <v>2.1978021978021976E-2</v>
      </c>
      <c r="AH289" s="50">
        <f>IF('Resultado da inspeção'!G289='Resultado da inspeção'!$W$3,0%,Ranking!S289)</f>
        <v>3.2967032967032968E-2</v>
      </c>
      <c r="AI289" s="50">
        <f>IF('Resultado da inspeção'!H289='Resultado da inspeção'!$W$3,0%,Ranking!T289)</f>
        <v>3.2967032967032968E-2</v>
      </c>
      <c r="AJ289" s="50">
        <f>IF('Resultado da inspeção'!I289='Resultado da inspeção'!$W$3,0%,Ranking!U289)</f>
        <v>0.10989010989010989</v>
      </c>
      <c r="AK289" s="50">
        <f>IF('Resultado da inspeção'!J289='Resultado da inspeção'!$W$3,0%,Ranking!V289)</f>
        <v>0.23076923076923075</v>
      </c>
      <c r="AL289" s="50">
        <f>IF('Resultado da inspeção'!K289='Resultado da inspeção'!$W$3,0%,Ranking!W289)</f>
        <v>5.4945054945054944E-2</v>
      </c>
      <c r="AM289" s="50">
        <f>IF('Resultado da inspeção'!L289='Resultado da inspeção'!$W$3,0%,Ranking!X289)</f>
        <v>0.26373626373626374</v>
      </c>
      <c r="AN289" s="50">
        <f>IF('Resultado da inspeção'!M289='Resultado da inspeção'!$W$3,0%,Ranking!Y289)</f>
        <v>0</v>
      </c>
      <c r="AO289" s="50">
        <f>IF('Resultado da inspeção'!N289='Resultado da inspeção'!$W$3,0%,Ranking!Z289)</f>
        <v>0</v>
      </c>
      <c r="AP289" s="50">
        <f>IF('Resultado da inspeção'!O289='Resultado da inspeção'!$W$3,0%,Ranking!AA289)</f>
        <v>6.5934065934065936E-2</v>
      </c>
      <c r="AQ289" s="50">
        <f>IF('Resultado da inspeção'!P289='Resultado da inspeção'!$W$3,0%,Ranking!AB289)</f>
        <v>8.7912087912087905E-2</v>
      </c>
      <c r="AR289" s="50">
        <f>IF('Resultado da inspeção'!Q289='Resultado da inspeção'!$W$3,0%,Ranking!AC289)</f>
        <v>5.4945054945054944E-2</v>
      </c>
      <c r="AS289" s="50">
        <f>IF('Resultado da inspeção'!R289='Resultado da inspeção'!$W$3,0%,Ranking!AD289)</f>
        <v>2.1978021978021976E-2</v>
      </c>
      <c r="AT289" s="50">
        <f>IF('Resultado da inspeção'!S289='Resultado da inspeção'!$W$3,0%,Ranking!AE289)</f>
        <v>2.1978021978021976E-2</v>
      </c>
      <c r="AU289" s="49">
        <f t="shared" si="90"/>
        <v>1</v>
      </c>
    </row>
    <row r="290" spans="2:47" x14ac:dyDescent="0.25">
      <c r="B290" s="48">
        <f>IF('Resultado da inspeção'!F290='Resultado da inspeção'!$W$4,0%,Ranking!B$5)</f>
        <v>0.02</v>
      </c>
      <c r="C290" s="48">
        <f>IF('Resultado da inspeção'!G290='Resultado da inspeção'!$W$4,0%,Ranking!C$5)</f>
        <v>0.03</v>
      </c>
      <c r="D290" s="48">
        <f>IF('Resultado da inspeção'!H290='Resultado da inspeção'!$W$4,0%,Ranking!D$5)</f>
        <v>0.03</v>
      </c>
      <c r="E290" s="48">
        <f>IF('Resultado da inspeção'!I290='Resultado da inspeção'!$W$4,0%,Ranking!E$5)</f>
        <v>0.1</v>
      </c>
      <c r="F290" s="48">
        <f>IF('Resultado da inspeção'!J290='Resultado da inspeção'!$W$4,0%,Ranking!F$5)</f>
        <v>0.21</v>
      </c>
      <c r="G290" s="48">
        <f>IF('Resultado da inspeção'!K290='Resultado da inspeção'!$W$4,0%,Ranking!G$5)</f>
        <v>0.05</v>
      </c>
      <c r="H290" s="48">
        <f>IF('Resultado da inspeção'!L290='Resultado da inspeção'!$W$4,0%,Ranking!H$5)</f>
        <v>0.24</v>
      </c>
      <c r="I290" s="48">
        <f>IF('Resultado da inspeção'!M290='Resultado da inspeção'!$W$4,0%,Ranking!I$5)</f>
        <v>0</v>
      </c>
      <c r="J290" s="48">
        <f>IF('Resultado da inspeção'!N290='Resultado da inspeção'!$W$4,0%,Ranking!J$5)</f>
        <v>0</v>
      </c>
      <c r="K290" s="48">
        <f>IF('Resultado da inspeção'!O290='Resultado da inspeção'!$W$4,0%,Ranking!K$5)</f>
        <v>0.06</v>
      </c>
      <c r="L290" s="48">
        <f>IF('Resultado da inspeção'!P290='Resultado da inspeção'!$W$4,0%,Ranking!L$5)</f>
        <v>0.08</v>
      </c>
      <c r="M290" s="48">
        <f>IF('Resultado da inspeção'!Q290='Resultado da inspeção'!$W$4,0%,Ranking!M$5)</f>
        <v>0.05</v>
      </c>
      <c r="N290" s="48">
        <f>IF('Resultado da inspeção'!R290='Resultado da inspeção'!$W$4,0%,Ranking!N$5)</f>
        <v>0.02</v>
      </c>
      <c r="O290" s="48">
        <f>IF('Resultado da inspeção'!S290='Resultado da inspeção'!$W$4,0%,Ranking!O$5)</f>
        <v>0.02</v>
      </c>
      <c r="P290" s="47">
        <f t="shared" si="73"/>
        <v>0.91</v>
      </c>
      <c r="Q290" s="49">
        <f t="shared" si="88"/>
        <v>8.9999999999999969E-2</v>
      </c>
      <c r="R290" s="50">
        <f t="shared" si="74"/>
        <v>2.1978021978021976E-2</v>
      </c>
      <c r="S290" s="50">
        <f t="shared" si="75"/>
        <v>3.2967032967032968E-2</v>
      </c>
      <c r="T290" s="50">
        <f t="shared" si="76"/>
        <v>3.2967032967032968E-2</v>
      </c>
      <c r="U290" s="50">
        <f t="shared" si="77"/>
        <v>0.10989010989010989</v>
      </c>
      <c r="V290" s="50">
        <f t="shared" si="78"/>
        <v>0.23076923076923075</v>
      </c>
      <c r="W290" s="50">
        <f t="shared" si="79"/>
        <v>5.4945054945054944E-2</v>
      </c>
      <c r="X290" s="50">
        <f t="shared" si="80"/>
        <v>0.26373626373626374</v>
      </c>
      <c r="Y290" s="50">
        <f t="shared" si="81"/>
        <v>0</v>
      </c>
      <c r="Z290" s="50">
        <f t="shared" si="82"/>
        <v>0</v>
      </c>
      <c r="AA290" s="50">
        <f t="shared" si="83"/>
        <v>6.5934065934065936E-2</v>
      </c>
      <c r="AB290" s="50">
        <f t="shared" si="84"/>
        <v>8.7912087912087905E-2</v>
      </c>
      <c r="AC290" s="50">
        <f t="shared" si="85"/>
        <v>5.4945054945054944E-2</v>
      </c>
      <c r="AD290" s="50">
        <f t="shared" si="86"/>
        <v>2.1978021978021976E-2</v>
      </c>
      <c r="AE290" s="50">
        <f t="shared" si="87"/>
        <v>2.1978021978021976E-2</v>
      </c>
      <c r="AF290" s="47">
        <f t="shared" si="89"/>
        <v>1</v>
      </c>
      <c r="AG290" s="50">
        <f>IF('Resultado da inspeção'!F290='Resultado da inspeção'!$W$3,0%,Ranking!R290)</f>
        <v>2.1978021978021976E-2</v>
      </c>
      <c r="AH290" s="50">
        <f>IF('Resultado da inspeção'!G290='Resultado da inspeção'!$W$3,0%,Ranking!S290)</f>
        <v>3.2967032967032968E-2</v>
      </c>
      <c r="AI290" s="50">
        <f>IF('Resultado da inspeção'!H290='Resultado da inspeção'!$W$3,0%,Ranking!T290)</f>
        <v>3.2967032967032968E-2</v>
      </c>
      <c r="AJ290" s="50">
        <f>IF('Resultado da inspeção'!I290='Resultado da inspeção'!$W$3,0%,Ranking!U290)</f>
        <v>0.10989010989010989</v>
      </c>
      <c r="AK290" s="50">
        <f>IF('Resultado da inspeção'!J290='Resultado da inspeção'!$W$3,0%,Ranking!V290)</f>
        <v>0.23076923076923075</v>
      </c>
      <c r="AL290" s="50">
        <f>IF('Resultado da inspeção'!K290='Resultado da inspeção'!$W$3,0%,Ranking!W290)</f>
        <v>5.4945054945054944E-2</v>
      </c>
      <c r="AM290" s="50">
        <f>IF('Resultado da inspeção'!L290='Resultado da inspeção'!$W$3,0%,Ranking!X290)</f>
        <v>0.26373626373626374</v>
      </c>
      <c r="AN290" s="50">
        <f>IF('Resultado da inspeção'!M290='Resultado da inspeção'!$W$3,0%,Ranking!Y290)</f>
        <v>0</v>
      </c>
      <c r="AO290" s="50">
        <f>IF('Resultado da inspeção'!N290='Resultado da inspeção'!$W$3,0%,Ranking!Z290)</f>
        <v>0</v>
      </c>
      <c r="AP290" s="50">
        <f>IF('Resultado da inspeção'!O290='Resultado da inspeção'!$W$3,0%,Ranking!AA290)</f>
        <v>6.5934065934065936E-2</v>
      </c>
      <c r="AQ290" s="50">
        <f>IF('Resultado da inspeção'!P290='Resultado da inspeção'!$W$3,0%,Ranking!AB290)</f>
        <v>8.7912087912087905E-2</v>
      </c>
      <c r="AR290" s="50">
        <f>IF('Resultado da inspeção'!Q290='Resultado da inspeção'!$W$3,0%,Ranking!AC290)</f>
        <v>5.4945054945054944E-2</v>
      </c>
      <c r="AS290" s="50">
        <f>IF('Resultado da inspeção'!R290='Resultado da inspeção'!$W$3,0%,Ranking!AD290)</f>
        <v>2.1978021978021976E-2</v>
      </c>
      <c r="AT290" s="50">
        <f>IF('Resultado da inspeção'!S290='Resultado da inspeção'!$W$3,0%,Ranking!AE290)</f>
        <v>2.1978021978021976E-2</v>
      </c>
      <c r="AU290" s="49">
        <f t="shared" si="90"/>
        <v>1</v>
      </c>
    </row>
    <row r="291" spans="2:47" x14ac:dyDescent="0.25">
      <c r="B291" s="48">
        <f>IF('Resultado da inspeção'!F291='Resultado da inspeção'!$W$4,0%,Ranking!B$5)</f>
        <v>0.02</v>
      </c>
      <c r="C291" s="48">
        <f>IF('Resultado da inspeção'!G291='Resultado da inspeção'!$W$4,0%,Ranking!C$5)</f>
        <v>0.03</v>
      </c>
      <c r="D291" s="48">
        <f>IF('Resultado da inspeção'!H291='Resultado da inspeção'!$W$4,0%,Ranking!D$5)</f>
        <v>0.03</v>
      </c>
      <c r="E291" s="48">
        <f>IF('Resultado da inspeção'!I291='Resultado da inspeção'!$W$4,0%,Ranking!E$5)</f>
        <v>0.1</v>
      </c>
      <c r="F291" s="48">
        <f>IF('Resultado da inspeção'!J291='Resultado da inspeção'!$W$4,0%,Ranking!F$5)</f>
        <v>0.21</v>
      </c>
      <c r="G291" s="48">
        <f>IF('Resultado da inspeção'!K291='Resultado da inspeção'!$W$4,0%,Ranking!G$5)</f>
        <v>0.05</v>
      </c>
      <c r="H291" s="48">
        <f>IF('Resultado da inspeção'!L291='Resultado da inspeção'!$W$4,0%,Ranking!H$5)</f>
        <v>0.24</v>
      </c>
      <c r="I291" s="48">
        <f>IF('Resultado da inspeção'!M291='Resultado da inspeção'!$W$4,0%,Ranking!I$5)</f>
        <v>0</v>
      </c>
      <c r="J291" s="48">
        <f>IF('Resultado da inspeção'!N291='Resultado da inspeção'!$W$4,0%,Ranking!J$5)</f>
        <v>0</v>
      </c>
      <c r="K291" s="48">
        <f>IF('Resultado da inspeção'!O291='Resultado da inspeção'!$W$4,0%,Ranking!K$5)</f>
        <v>0.06</v>
      </c>
      <c r="L291" s="48">
        <f>IF('Resultado da inspeção'!P291='Resultado da inspeção'!$W$4,0%,Ranking!L$5)</f>
        <v>0.08</v>
      </c>
      <c r="M291" s="48">
        <f>IF('Resultado da inspeção'!Q291='Resultado da inspeção'!$W$4,0%,Ranking!M$5)</f>
        <v>0.05</v>
      </c>
      <c r="N291" s="48">
        <f>IF('Resultado da inspeção'!R291='Resultado da inspeção'!$W$4,0%,Ranking!N$5)</f>
        <v>0.02</v>
      </c>
      <c r="O291" s="48">
        <f>IF('Resultado da inspeção'!S291='Resultado da inspeção'!$W$4,0%,Ranking!O$5)</f>
        <v>0.02</v>
      </c>
      <c r="P291" s="47">
        <f t="shared" si="73"/>
        <v>0.91</v>
      </c>
      <c r="Q291" s="49">
        <f t="shared" si="88"/>
        <v>8.9999999999999969E-2</v>
      </c>
      <c r="R291" s="50">
        <f t="shared" si="74"/>
        <v>2.1978021978021976E-2</v>
      </c>
      <c r="S291" s="50">
        <f t="shared" si="75"/>
        <v>3.2967032967032968E-2</v>
      </c>
      <c r="T291" s="50">
        <f t="shared" si="76"/>
        <v>3.2967032967032968E-2</v>
      </c>
      <c r="U291" s="50">
        <f t="shared" si="77"/>
        <v>0.10989010989010989</v>
      </c>
      <c r="V291" s="50">
        <f t="shared" si="78"/>
        <v>0.23076923076923075</v>
      </c>
      <c r="W291" s="50">
        <f t="shared" si="79"/>
        <v>5.4945054945054944E-2</v>
      </c>
      <c r="X291" s="50">
        <f t="shared" si="80"/>
        <v>0.26373626373626374</v>
      </c>
      <c r="Y291" s="50">
        <f t="shared" si="81"/>
        <v>0</v>
      </c>
      <c r="Z291" s="50">
        <f t="shared" si="82"/>
        <v>0</v>
      </c>
      <c r="AA291" s="50">
        <f t="shared" si="83"/>
        <v>6.5934065934065936E-2</v>
      </c>
      <c r="AB291" s="50">
        <f t="shared" si="84"/>
        <v>8.7912087912087905E-2</v>
      </c>
      <c r="AC291" s="50">
        <f t="shared" si="85"/>
        <v>5.4945054945054944E-2</v>
      </c>
      <c r="AD291" s="50">
        <f t="shared" si="86"/>
        <v>2.1978021978021976E-2</v>
      </c>
      <c r="AE291" s="50">
        <f t="shared" si="87"/>
        <v>2.1978021978021976E-2</v>
      </c>
      <c r="AF291" s="47">
        <f t="shared" si="89"/>
        <v>1</v>
      </c>
      <c r="AG291" s="50">
        <f>IF('Resultado da inspeção'!F291='Resultado da inspeção'!$W$3,0%,Ranking!R291)</f>
        <v>0</v>
      </c>
      <c r="AH291" s="50">
        <f>IF('Resultado da inspeção'!G291='Resultado da inspeção'!$W$3,0%,Ranking!S291)</f>
        <v>0</v>
      </c>
      <c r="AI291" s="50">
        <f>IF('Resultado da inspeção'!H291='Resultado da inspeção'!$W$3,0%,Ranking!T291)</f>
        <v>0</v>
      </c>
      <c r="AJ291" s="50">
        <f>IF('Resultado da inspeção'!I291='Resultado da inspeção'!$W$3,0%,Ranking!U291)</f>
        <v>0</v>
      </c>
      <c r="AK291" s="50">
        <f>IF('Resultado da inspeção'!J291='Resultado da inspeção'!$W$3,0%,Ranking!V291)</f>
        <v>0.23076923076923075</v>
      </c>
      <c r="AL291" s="50">
        <f>IF('Resultado da inspeção'!K291='Resultado da inspeção'!$W$3,0%,Ranking!W291)</f>
        <v>0</v>
      </c>
      <c r="AM291" s="50">
        <f>IF('Resultado da inspeção'!L291='Resultado da inspeção'!$W$3,0%,Ranking!X291)</f>
        <v>0</v>
      </c>
      <c r="AN291" s="50">
        <f>IF('Resultado da inspeção'!M291='Resultado da inspeção'!$W$3,0%,Ranking!Y291)</f>
        <v>0</v>
      </c>
      <c r="AO291" s="50">
        <f>IF('Resultado da inspeção'!N291='Resultado da inspeção'!$W$3,0%,Ranking!Z291)</f>
        <v>0</v>
      </c>
      <c r="AP291" s="50">
        <f>IF('Resultado da inspeção'!O291='Resultado da inspeção'!$W$3,0%,Ranking!AA291)</f>
        <v>6.5934065934065936E-2</v>
      </c>
      <c r="AQ291" s="50">
        <f>IF('Resultado da inspeção'!P291='Resultado da inspeção'!$W$3,0%,Ranking!AB291)</f>
        <v>8.7912087912087905E-2</v>
      </c>
      <c r="AR291" s="50">
        <f>IF('Resultado da inspeção'!Q291='Resultado da inspeção'!$W$3,0%,Ranking!AC291)</f>
        <v>5.4945054945054944E-2</v>
      </c>
      <c r="AS291" s="50">
        <f>IF('Resultado da inspeção'!R291='Resultado da inspeção'!$W$3,0%,Ranking!AD291)</f>
        <v>2.1978021978021976E-2</v>
      </c>
      <c r="AT291" s="50">
        <f>IF('Resultado da inspeção'!S291='Resultado da inspeção'!$W$3,0%,Ranking!AE291)</f>
        <v>2.1978021978021976E-2</v>
      </c>
      <c r="AU291" s="49">
        <f t="shared" si="90"/>
        <v>0.48351648351648346</v>
      </c>
    </row>
    <row r="292" spans="2:47" x14ac:dyDescent="0.25">
      <c r="B292" s="48">
        <f>IF('Resultado da inspeção'!F292='Resultado da inspeção'!$W$4,0%,Ranking!B$5)</f>
        <v>0.02</v>
      </c>
      <c r="C292" s="48">
        <f>IF('Resultado da inspeção'!G292='Resultado da inspeção'!$W$4,0%,Ranking!C$5)</f>
        <v>0.03</v>
      </c>
      <c r="D292" s="48">
        <f>IF('Resultado da inspeção'!H292='Resultado da inspeção'!$W$4,0%,Ranking!D$5)</f>
        <v>0.03</v>
      </c>
      <c r="E292" s="48">
        <f>IF('Resultado da inspeção'!I292='Resultado da inspeção'!$W$4,0%,Ranking!E$5)</f>
        <v>0.1</v>
      </c>
      <c r="F292" s="48">
        <f>IF('Resultado da inspeção'!J292='Resultado da inspeção'!$W$4,0%,Ranking!F$5)</f>
        <v>0.21</v>
      </c>
      <c r="G292" s="48">
        <f>IF('Resultado da inspeção'!K292='Resultado da inspeção'!$W$4,0%,Ranking!G$5)</f>
        <v>0.05</v>
      </c>
      <c r="H292" s="48">
        <f>IF('Resultado da inspeção'!L292='Resultado da inspeção'!$W$4,0%,Ranking!H$5)</f>
        <v>0</v>
      </c>
      <c r="I292" s="48">
        <f>IF('Resultado da inspeção'!M292='Resultado da inspeção'!$W$4,0%,Ranking!I$5)</f>
        <v>0.05</v>
      </c>
      <c r="J292" s="48">
        <f>IF('Resultado da inspeção'!N292='Resultado da inspeção'!$W$4,0%,Ranking!J$5)</f>
        <v>0.04</v>
      </c>
      <c r="K292" s="48">
        <f>IF('Resultado da inspeção'!O292='Resultado da inspeção'!$W$4,0%,Ranking!K$5)</f>
        <v>0.06</v>
      </c>
      <c r="L292" s="48">
        <f>IF('Resultado da inspeção'!P292='Resultado da inspeção'!$W$4,0%,Ranking!L$5)</f>
        <v>0.08</v>
      </c>
      <c r="M292" s="48">
        <f>IF('Resultado da inspeção'!Q292='Resultado da inspeção'!$W$4,0%,Ranking!M$5)</f>
        <v>0.05</v>
      </c>
      <c r="N292" s="48">
        <f>IF('Resultado da inspeção'!R292='Resultado da inspeção'!$W$4,0%,Ranking!N$5)</f>
        <v>0.02</v>
      </c>
      <c r="O292" s="48">
        <f>IF('Resultado da inspeção'!S292='Resultado da inspeção'!$W$4,0%,Ranking!O$5)</f>
        <v>0.02</v>
      </c>
      <c r="P292" s="47">
        <f t="shared" si="73"/>
        <v>0.76000000000000012</v>
      </c>
      <c r="Q292" s="49">
        <f t="shared" si="88"/>
        <v>0.23999999999999988</v>
      </c>
      <c r="R292" s="50">
        <f t="shared" si="74"/>
        <v>2.6315789473684206E-2</v>
      </c>
      <c r="S292" s="50">
        <f t="shared" si="75"/>
        <v>3.9473684210526307E-2</v>
      </c>
      <c r="T292" s="50">
        <f t="shared" si="76"/>
        <v>3.9473684210526307E-2</v>
      </c>
      <c r="U292" s="50">
        <f t="shared" si="77"/>
        <v>0.13157894736842105</v>
      </c>
      <c r="V292" s="50">
        <f t="shared" si="78"/>
        <v>0.27631578947368418</v>
      </c>
      <c r="W292" s="50">
        <f t="shared" si="79"/>
        <v>6.5789473684210523E-2</v>
      </c>
      <c r="X292" s="50">
        <f t="shared" si="80"/>
        <v>0</v>
      </c>
      <c r="Y292" s="50">
        <f t="shared" si="81"/>
        <v>6.5789473684210523E-2</v>
      </c>
      <c r="Z292" s="50">
        <f t="shared" si="82"/>
        <v>5.2631578947368411E-2</v>
      </c>
      <c r="AA292" s="50">
        <f t="shared" si="83"/>
        <v>7.8947368421052613E-2</v>
      </c>
      <c r="AB292" s="50">
        <f t="shared" si="84"/>
        <v>0.10526315789473682</v>
      </c>
      <c r="AC292" s="50">
        <f t="shared" si="85"/>
        <v>6.5789473684210523E-2</v>
      </c>
      <c r="AD292" s="50">
        <f t="shared" si="86"/>
        <v>2.6315789473684206E-2</v>
      </c>
      <c r="AE292" s="50">
        <f t="shared" si="87"/>
        <v>2.6315789473684206E-2</v>
      </c>
      <c r="AF292" s="47">
        <f t="shared" si="89"/>
        <v>0.99999999999999978</v>
      </c>
      <c r="AG292" s="50">
        <f>IF('Resultado da inspeção'!F292='Resultado da inspeção'!$W$3,0%,Ranking!R292)</f>
        <v>0</v>
      </c>
      <c r="AH292" s="50">
        <f>IF('Resultado da inspeção'!G292='Resultado da inspeção'!$W$3,0%,Ranking!S292)</f>
        <v>0</v>
      </c>
      <c r="AI292" s="50">
        <f>IF('Resultado da inspeção'!H292='Resultado da inspeção'!$W$3,0%,Ranking!T292)</f>
        <v>0</v>
      </c>
      <c r="AJ292" s="50">
        <f>IF('Resultado da inspeção'!I292='Resultado da inspeção'!$W$3,0%,Ranking!U292)</f>
        <v>0</v>
      </c>
      <c r="AK292" s="50">
        <f>IF('Resultado da inspeção'!J292='Resultado da inspeção'!$W$3,0%,Ranking!V292)</f>
        <v>0</v>
      </c>
      <c r="AL292" s="50">
        <f>IF('Resultado da inspeção'!K292='Resultado da inspeção'!$W$3,0%,Ranking!W292)</f>
        <v>0</v>
      </c>
      <c r="AM292" s="50">
        <f>IF('Resultado da inspeção'!L292='Resultado da inspeção'!$W$3,0%,Ranking!X292)</f>
        <v>0</v>
      </c>
      <c r="AN292" s="50">
        <f>IF('Resultado da inspeção'!M292='Resultado da inspeção'!$W$3,0%,Ranking!Y292)</f>
        <v>0</v>
      </c>
      <c r="AO292" s="50">
        <f>IF('Resultado da inspeção'!N292='Resultado da inspeção'!$W$3,0%,Ranking!Z292)</f>
        <v>0</v>
      </c>
      <c r="AP292" s="50">
        <f>IF('Resultado da inspeção'!O292='Resultado da inspeção'!$W$3,0%,Ranking!AA292)</f>
        <v>7.8947368421052613E-2</v>
      </c>
      <c r="AQ292" s="50">
        <f>IF('Resultado da inspeção'!P292='Resultado da inspeção'!$W$3,0%,Ranking!AB292)</f>
        <v>0.10526315789473682</v>
      </c>
      <c r="AR292" s="50">
        <f>IF('Resultado da inspeção'!Q292='Resultado da inspeção'!$W$3,0%,Ranking!AC292)</f>
        <v>6.5789473684210523E-2</v>
      </c>
      <c r="AS292" s="50">
        <f>IF('Resultado da inspeção'!R292='Resultado da inspeção'!$W$3,0%,Ranking!AD292)</f>
        <v>2.6315789473684206E-2</v>
      </c>
      <c r="AT292" s="50">
        <f>IF('Resultado da inspeção'!S292='Resultado da inspeção'!$W$3,0%,Ranking!AE292)</f>
        <v>2.6315789473684206E-2</v>
      </c>
      <c r="AU292" s="49">
        <f t="shared" si="90"/>
        <v>0.30263157894736831</v>
      </c>
    </row>
    <row r="293" spans="2:47" x14ac:dyDescent="0.25">
      <c r="B293" s="48">
        <f>IF('Resultado da inspeção'!F293='Resultado da inspeção'!$W$4,0%,Ranking!B$5)</f>
        <v>0.02</v>
      </c>
      <c r="C293" s="48">
        <f>IF('Resultado da inspeção'!G293='Resultado da inspeção'!$W$4,0%,Ranking!C$5)</f>
        <v>0.03</v>
      </c>
      <c r="D293" s="48">
        <f>IF('Resultado da inspeção'!H293='Resultado da inspeção'!$W$4,0%,Ranking!D$5)</f>
        <v>0.03</v>
      </c>
      <c r="E293" s="48">
        <f>IF('Resultado da inspeção'!I293='Resultado da inspeção'!$W$4,0%,Ranking!E$5)</f>
        <v>0.1</v>
      </c>
      <c r="F293" s="48">
        <f>IF('Resultado da inspeção'!J293='Resultado da inspeção'!$W$4,0%,Ranking!F$5)</f>
        <v>0.21</v>
      </c>
      <c r="G293" s="48">
        <f>IF('Resultado da inspeção'!K293='Resultado da inspeção'!$W$4,0%,Ranking!G$5)</f>
        <v>0.05</v>
      </c>
      <c r="H293" s="48">
        <f>IF('Resultado da inspeção'!L293='Resultado da inspeção'!$W$4,0%,Ranking!H$5)</f>
        <v>0.24</v>
      </c>
      <c r="I293" s="48">
        <f>IF('Resultado da inspeção'!M293='Resultado da inspeção'!$W$4,0%,Ranking!I$5)</f>
        <v>0.05</v>
      </c>
      <c r="J293" s="48">
        <f>IF('Resultado da inspeção'!N293='Resultado da inspeção'!$W$4,0%,Ranking!J$5)</f>
        <v>0.04</v>
      </c>
      <c r="K293" s="48">
        <f>IF('Resultado da inspeção'!O293='Resultado da inspeção'!$W$4,0%,Ranking!K$5)</f>
        <v>0.06</v>
      </c>
      <c r="L293" s="48">
        <f>IF('Resultado da inspeção'!P293='Resultado da inspeção'!$W$4,0%,Ranking!L$5)</f>
        <v>0.08</v>
      </c>
      <c r="M293" s="48">
        <f>IF('Resultado da inspeção'!Q293='Resultado da inspeção'!$W$4,0%,Ranking!M$5)</f>
        <v>0.05</v>
      </c>
      <c r="N293" s="48">
        <f>IF('Resultado da inspeção'!R293='Resultado da inspeção'!$W$4,0%,Ranking!N$5)</f>
        <v>0.02</v>
      </c>
      <c r="O293" s="48">
        <f>IF('Resultado da inspeção'!S293='Resultado da inspeção'!$W$4,0%,Ranking!O$5)</f>
        <v>0.02</v>
      </c>
      <c r="P293" s="47">
        <f t="shared" si="73"/>
        <v>1</v>
      </c>
      <c r="Q293" s="49">
        <f t="shared" si="88"/>
        <v>0</v>
      </c>
      <c r="R293" s="50">
        <f t="shared" si="74"/>
        <v>0.02</v>
      </c>
      <c r="S293" s="50">
        <f t="shared" si="75"/>
        <v>0.03</v>
      </c>
      <c r="T293" s="50">
        <f t="shared" si="76"/>
        <v>0.03</v>
      </c>
      <c r="U293" s="50">
        <f t="shared" si="77"/>
        <v>0.1</v>
      </c>
      <c r="V293" s="50">
        <f t="shared" si="78"/>
        <v>0.21</v>
      </c>
      <c r="W293" s="50">
        <f t="shared" si="79"/>
        <v>0.05</v>
      </c>
      <c r="X293" s="50">
        <f t="shared" si="80"/>
        <v>0.24</v>
      </c>
      <c r="Y293" s="50">
        <f t="shared" si="81"/>
        <v>0.05</v>
      </c>
      <c r="Z293" s="50">
        <f t="shared" si="82"/>
        <v>0.04</v>
      </c>
      <c r="AA293" s="50">
        <f t="shared" si="83"/>
        <v>0.06</v>
      </c>
      <c r="AB293" s="50">
        <f t="shared" si="84"/>
        <v>0.08</v>
      </c>
      <c r="AC293" s="50">
        <f t="shared" si="85"/>
        <v>0.05</v>
      </c>
      <c r="AD293" s="50">
        <f t="shared" si="86"/>
        <v>0.02</v>
      </c>
      <c r="AE293" s="50">
        <f t="shared" si="87"/>
        <v>0.02</v>
      </c>
      <c r="AF293" s="47">
        <f t="shared" si="89"/>
        <v>1</v>
      </c>
      <c r="AG293" s="50">
        <f>IF('Resultado da inspeção'!F293='Resultado da inspeção'!$W$3,0%,Ranking!R293)</f>
        <v>0</v>
      </c>
      <c r="AH293" s="50">
        <f>IF('Resultado da inspeção'!G293='Resultado da inspeção'!$W$3,0%,Ranking!S293)</f>
        <v>0</v>
      </c>
      <c r="AI293" s="50">
        <f>IF('Resultado da inspeção'!H293='Resultado da inspeção'!$W$3,0%,Ranking!T293)</f>
        <v>0</v>
      </c>
      <c r="AJ293" s="50">
        <f>IF('Resultado da inspeção'!I293='Resultado da inspeção'!$W$3,0%,Ranking!U293)</f>
        <v>0</v>
      </c>
      <c r="AK293" s="50">
        <f>IF('Resultado da inspeção'!J293='Resultado da inspeção'!$W$3,0%,Ranking!V293)</f>
        <v>0</v>
      </c>
      <c r="AL293" s="50">
        <f>IF('Resultado da inspeção'!K293='Resultado da inspeção'!$W$3,0%,Ranking!W293)</f>
        <v>0</v>
      </c>
      <c r="AM293" s="50">
        <f>IF('Resultado da inspeção'!L293='Resultado da inspeção'!$W$3,0%,Ranking!X293)</f>
        <v>0.24</v>
      </c>
      <c r="AN293" s="50">
        <f>IF('Resultado da inspeção'!M293='Resultado da inspeção'!$W$3,0%,Ranking!Y293)</f>
        <v>0.05</v>
      </c>
      <c r="AO293" s="50">
        <f>IF('Resultado da inspeção'!N293='Resultado da inspeção'!$W$3,0%,Ranking!Z293)</f>
        <v>0.04</v>
      </c>
      <c r="AP293" s="50">
        <f>IF('Resultado da inspeção'!O293='Resultado da inspeção'!$W$3,0%,Ranking!AA293)</f>
        <v>0.06</v>
      </c>
      <c r="AQ293" s="50">
        <f>IF('Resultado da inspeção'!P293='Resultado da inspeção'!$W$3,0%,Ranking!AB293)</f>
        <v>0.08</v>
      </c>
      <c r="AR293" s="50">
        <f>IF('Resultado da inspeção'!Q293='Resultado da inspeção'!$W$3,0%,Ranking!AC293)</f>
        <v>0.05</v>
      </c>
      <c r="AS293" s="50">
        <f>IF('Resultado da inspeção'!R293='Resultado da inspeção'!$W$3,0%,Ranking!AD293)</f>
        <v>0.02</v>
      </c>
      <c r="AT293" s="50">
        <f>IF('Resultado da inspeção'!S293='Resultado da inspeção'!$W$3,0%,Ranking!AE293)</f>
        <v>0.02</v>
      </c>
      <c r="AU293" s="49">
        <f t="shared" si="90"/>
        <v>0.56000000000000005</v>
      </c>
    </row>
    <row r="294" spans="2:47" x14ac:dyDescent="0.25">
      <c r="B294" s="48">
        <f>IF('Resultado da inspeção'!F294='Resultado da inspeção'!$W$4,0%,Ranking!B$5)</f>
        <v>0.02</v>
      </c>
      <c r="C294" s="48">
        <f>IF('Resultado da inspeção'!G294='Resultado da inspeção'!$W$4,0%,Ranking!C$5)</f>
        <v>0.03</v>
      </c>
      <c r="D294" s="48">
        <f>IF('Resultado da inspeção'!H294='Resultado da inspeção'!$W$4,0%,Ranking!D$5)</f>
        <v>0.03</v>
      </c>
      <c r="E294" s="48">
        <f>IF('Resultado da inspeção'!I294='Resultado da inspeção'!$W$4,0%,Ranking!E$5)</f>
        <v>0.1</v>
      </c>
      <c r="F294" s="48">
        <f>IF('Resultado da inspeção'!J294='Resultado da inspeção'!$W$4,0%,Ranking!F$5)</f>
        <v>0.21</v>
      </c>
      <c r="G294" s="48">
        <f>IF('Resultado da inspeção'!K294='Resultado da inspeção'!$W$4,0%,Ranking!G$5)</f>
        <v>0.05</v>
      </c>
      <c r="H294" s="48">
        <f>IF('Resultado da inspeção'!L294='Resultado da inspeção'!$W$4,0%,Ranking!H$5)</f>
        <v>0</v>
      </c>
      <c r="I294" s="48">
        <f>IF('Resultado da inspeção'!M294='Resultado da inspeção'!$W$4,0%,Ranking!I$5)</f>
        <v>0</v>
      </c>
      <c r="J294" s="48">
        <f>IF('Resultado da inspeção'!N294='Resultado da inspeção'!$W$4,0%,Ranking!J$5)</f>
        <v>0</v>
      </c>
      <c r="K294" s="48">
        <f>IF('Resultado da inspeção'!O294='Resultado da inspeção'!$W$4,0%,Ranking!K$5)</f>
        <v>0.06</v>
      </c>
      <c r="L294" s="48">
        <f>IF('Resultado da inspeção'!P294='Resultado da inspeção'!$W$4,0%,Ranking!L$5)</f>
        <v>0.08</v>
      </c>
      <c r="M294" s="48">
        <f>IF('Resultado da inspeção'!Q294='Resultado da inspeção'!$W$4,0%,Ranking!M$5)</f>
        <v>0.05</v>
      </c>
      <c r="N294" s="48">
        <f>IF('Resultado da inspeção'!R294='Resultado da inspeção'!$W$4,0%,Ranking!N$5)</f>
        <v>0.02</v>
      </c>
      <c r="O294" s="48">
        <f>IF('Resultado da inspeção'!S294='Resultado da inspeção'!$W$4,0%,Ranking!O$5)</f>
        <v>0.02</v>
      </c>
      <c r="P294" s="47">
        <f t="shared" si="73"/>
        <v>0.67</v>
      </c>
      <c r="Q294" s="49">
        <f t="shared" si="88"/>
        <v>0.32999999999999996</v>
      </c>
      <c r="R294" s="50">
        <f t="shared" si="74"/>
        <v>2.9850746268656716E-2</v>
      </c>
      <c r="S294" s="50">
        <f t="shared" si="75"/>
        <v>4.4776119402985072E-2</v>
      </c>
      <c r="T294" s="50">
        <f t="shared" si="76"/>
        <v>4.4776119402985072E-2</v>
      </c>
      <c r="U294" s="50">
        <f t="shared" si="77"/>
        <v>0.14925373134328357</v>
      </c>
      <c r="V294" s="50">
        <f t="shared" si="78"/>
        <v>0.31343283582089548</v>
      </c>
      <c r="W294" s="50">
        <f t="shared" si="79"/>
        <v>7.4626865671641784E-2</v>
      </c>
      <c r="X294" s="50">
        <f t="shared" si="80"/>
        <v>0</v>
      </c>
      <c r="Y294" s="50">
        <f t="shared" si="81"/>
        <v>0</v>
      </c>
      <c r="Z294" s="50">
        <f t="shared" si="82"/>
        <v>0</v>
      </c>
      <c r="AA294" s="50">
        <f t="shared" si="83"/>
        <v>8.9552238805970144E-2</v>
      </c>
      <c r="AB294" s="50">
        <f t="shared" si="84"/>
        <v>0.11940298507462686</v>
      </c>
      <c r="AC294" s="50">
        <f t="shared" si="85"/>
        <v>7.4626865671641784E-2</v>
      </c>
      <c r="AD294" s="50">
        <f t="shared" si="86"/>
        <v>2.9850746268656716E-2</v>
      </c>
      <c r="AE294" s="50">
        <f t="shared" si="87"/>
        <v>2.9850746268656716E-2</v>
      </c>
      <c r="AF294" s="47">
        <f t="shared" si="89"/>
        <v>0.99999999999999989</v>
      </c>
      <c r="AG294" s="50">
        <f>IF('Resultado da inspeção'!F294='Resultado da inspeção'!$W$3,0%,Ranking!R294)</f>
        <v>2.9850746268656716E-2</v>
      </c>
      <c r="AH294" s="50">
        <f>IF('Resultado da inspeção'!G294='Resultado da inspeção'!$W$3,0%,Ranking!S294)</f>
        <v>0</v>
      </c>
      <c r="AI294" s="50">
        <f>IF('Resultado da inspeção'!H294='Resultado da inspeção'!$W$3,0%,Ranking!T294)</f>
        <v>0</v>
      </c>
      <c r="AJ294" s="50">
        <f>IF('Resultado da inspeção'!I294='Resultado da inspeção'!$W$3,0%,Ranking!U294)</f>
        <v>0</v>
      </c>
      <c r="AK294" s="50">
        <f>IF('Resultado da inspeção'!J294='Resultado da inspeção'!$W$3,0%,Ranking!V294)</f>
        <v>0.31343283582089548</v>
      </c>
      <c r="AL294" s="50">
        <f>IF('Resultado da inspeção'!K294='Resultado da inspeção'!$W$3,0%,Ranking!W294)</f>
        <v>0</v>
      </c>
      <c r="AM294" s="50">
        <f>IF('Resultado da inspeção'!L294='Resultado da inspeção'!$W$3,0%,Ranking!X294)</f>
        <v>0</v>
      </c>
      <c r="AN294" s="50">
        <f>IF('Resultado da inspeção'!M294='Resultado da inspeção'!$W$3,0%,Ranking!Y294)</f>
        <v>0</v>
      </c>
      <c r="AO294" s="50">
        <f>IF('Resultado da inspeção'!N294='Resultado da inspeção'!$W$3,0%,Ranking!Z294)</f>
        <v>0</v>
      </c>
      <c r="AP294" s="50">
        <f>IF('Resultado da inspeção'!O294='Resultado da inspeção'!$W$3,0%,Ranking!AA294)</f>
        <v>8.9552238805970144E-2</v>
      </c>
      <c r="AQ294" s="50">
        <f>IF('Resultado da inspeção'!P294='Resultado da inspeção'!$W$3,0%,Ranking!AB294)</f>
        <v>0.11940298507462686</v>
      </c>
      <c r="AR294" s="50">
        <f>IF('Resultado da inspeção'!Q294='Resultado da inspeção'!$W$3,0%,Ranking!AC294)</f>
        <v>7.4626865671641784E-2</v>
      </c>
      <c r="AS294" s="50">
        <f>IF('Resultado da inspeção'!R294='Resultado da inspeção'!$W$3,0%,Ranking!AD294)</f>
        <v>2.9850746268656716E-2</v>
      </c>
      <c r="AT294" s="50">
        <f>IF('Resultado da inspeção'!S294='Resultado da inspeção'!$W$3,0%,Ranking!AE294)</f>
        <v>2.9850746268656716E-2</v>
      </c>
      <c r="AU294" s="49">
        <f t="shared" si="90"/>
        <v>0.68656716417910435</v>
      </c>
    </row>
    <row r="295" spans="2:47" x14ac:dyDescent="0.25">
      <c r="B295" s="48">
        <f>IF('Resultado da inspeção'!F295='Resultado da inspeção'!$W$4,0%,Ranking!B$5)</f>
        <v>0.02</v>
      </c>
      <c r="C295" s="48">
        <f>IF('Resultado da inspeção'!G295='Resultado da inspeção'!$W$4,0%,Ranking!C$5)</f>
        <v>0.03</v>
      </c>
      <c r="D295" s="48">
        <f>IF('Resultado da inspeção'!H295='Resultado da inspeção'!$W$4,0%,Ranking!D$5)</f>
        <v>0.03</v>
      </c>
      <c r="E295" s="48">
        <f>IF('Resultado da inspeção'!I295='Resultado da inspeção'!$W$4,0%,Ranking!E$5)</f>
        <v>0.1</v>
      </c>
      <c r="F295" s="48">
        <f>IF('Resultado da inspeção'!J295='Resultado da inspeção'!$W$4,0%,Ranking!F$5)</f>
        <v>0</v>
      </c>
      <c r="G295" s="48">
        <f>IF('Resultado da inspeção'!K295='Resultado da inspeção'!$W$4,0%,Ranking!G$5)</f>
        <v>0.05</v>
      </c>
      <c r="H295" s="48">
        <f>IF('Resultado da inspeção'!L295='Resultado da inspeção'!$W$4,0%,Ranking!H$5)</f>
        <v>0.24</v>
      </c>
      <c r="I295" s="48">
        <f>IF('Resultado da inspeção'!M295='Resultado da inspeção'!$W$4,0%,Ranking!I$5)</f>
        <v>0</v>
      </c>
      <c r="J295" s="48">
        <f>IF('Resultado da inspeção'!N295='Resultado da inspeção'!$W$4,0%,Ranking!J$5)</f>
        <v>0</v>
      </c>
      <c r="K295" s="48">
        <f>IF('Resultado da inspeção'!O295='Resultado da inspeção'!$W$4,0%,Ranking!K$5)</f>
        <v>0.06</v>
      </c>
      <c r="L295" s="48">
        <f>IF('Resultado da inspeção'!P295='Resultado da inspeção'!$W$4,0%,Ranking!L$5)</f>
        <v>0.08</v>
      </c>
      <c r="M295" s="48">
        <f>IF('Resultado da inspeção'!Q295='Resultado da inspeção'!$W$4,0%,Ranking!M$5)</f>
        <v>0.05</v>
      </c>
      <c r="N295" s="48">
        <f>IF('Resultado da inspeção'!R295='Resultado da inspeção'!$W$4,0%,Ranking!N$5)</f>
        <v>0.02</v>
      </c>
      <c r="O295" s="48">
        <f>IF('Resultado da inspeção'!S295='Resultado da inspeção'!$W$4,0%,Ranking!O$5)</f>
        <v>0.02</v>
      </c>
      <c r="P295" s="47">
        <f t="shared" si="73"/>
        <v>0.70000000000000007</v>
      </c>
      <c r="Q295" s="49">
        <f t="shared" si="88"/>
        <v>0.29999999999999993</v>
      </c>
      <c r="R295" s="50">
        <f t="shared" si="74"/>
        <v>2.8571428571428571E-2</v>
      </c>
      <c r="S295" s="50">
        <f t="shared" si="75"/>
        <v>4.2857142857142851E-2</v>
      </c>
      <c r="T295" s="50">
        <f t="shared" si="76"/>
        <v>4.2857142857142851E-2</v>
      </c>
      <c r="U295" s="50">
        <f t="shared" si="77"/>
        <v>0.14285714285714285</v>
      </c>
      <c r="V295" s="50">
        <f t="shared" si="78"/>
        <v>0</v>
      </c>
      <c r="W295" s="50">
        <f t="shared" si="79"/>
        <v>7.1428571428571425E-2</v>
      </c>
      <c r="X295" s="50">
        <f t="shared" si="80"/>
        <v>0.3428571428571428</v>
      </c>
      <c r="Y295" s="50">
        <f t="shared" si="81"/>
        <v>0</v>
      </c>
      <c r="Z295" s="50">
        <f t="shared" si="82"/>
        <v>0</v>
      </c>
      <c r="AA295" s="50">
        <f t="shared" si="83"/>
        <v>8.5714285714285701E-2</v>
      </c>
      <c r="AB295" s="50">
        <f t="shared" si="84"/>
        <v>0.11428571428571428</v>
      </c>
      <c r="AC295" s="50">
        <f t="shared" si="85"/>
        <v>7.1428571428571425E-2</v>
      </c>
      <c r="AD295" s="50">
        <f t="shared" si="86"/>
        <v>2.8571428571428571E-2</v>
      </c>
      <c r="AE295" s="50">
        <f t="shared" si="87"/>
        <v>2.8571428571428571E-2</v>
      </c>
      <c r="AF295" s="47">
        <f t="shared" si="89"/>
        <v>0.99999999999999989</v>
      </c>
      <c r="AG295" s="50">
        <f>IF('Resultado da inspeção'!F295='Resultado da inspeção'!$W$3,0%,Ranking!R295)</f>
        <v>2.8571428571428571E-2</v>
      </c>
      <c r="AH295" s="50">
        <f>IF('Resultado da inspeção'!G295='Resultado da inspeção'!$W$3,0%,Ranking!S295)</f>
        <v>0</v>
      </c>
      <c r="AI295" s="50">
        <f>IF('Resultado da inspeção'!H295='Resultado da inspeção'!$W$3,0%,Ranking!T295)</f>
        <v>0</v>
      </c>
      <c r="AJ295" s="50">
        <f>IF('Resultado da inspeção'!I295='Resultado da inspeção'!$W$3,0%,Ranking!U295)</f>
        <v>0</v>
      </c>
      <c r="AK295" s="50">
        <f>IF('Resultado da inspeção'!J295='Resultado da inspeção'!$W$3,0%,Ranking!V295)</f>
        <v>0</v>
      </c>
      <c r="AL295" s="50">
        <f>IF('Resultado da inspeção'!K295='Resultado da inspeção'!$W$3,0%,Ranking!W295)</f>
        <v>0</v>
      </c>
      <c r="AM295" s="50">
        <f>IF('Resultado da inspeção'!L295='Resultado da inspeção'!$W$3,0%,Ranking!X295)</f>
        <v>0.3428571428571428</v>
      </c>
      <c r="AN295" s="50">
        <f>IF('Resultado da inspeção'!M295='Resultado da inspeção'!$W$3,0%,Ranking!Y295)</f>
        <v>0</v>
      </c>
      <c r="AO295" s="50">
        <f>IF('Resultado da inspeção'!N295='Resultado da inspeção'!$W$3,0%,Ranking!Z295)</f>
        <v>0</v>
      </c>
      <c r="AP295" s="50">
        <f>IF('Resultado da inspeção'!O295='Resultado da inspeção'!$W$3,0%,Ranking!AA295)</f>
        <v>8.5714285714285701E-2</v>
      </c>
      <c r="AQ295" s="50">
        <f>IF('Resultado da inspeção'!P295='Resultado da inspeção'!$W$3,0%,Ranking!AB295)</f>
        <v>0.11428571428571428</v>
      </c>
      <c r="AR295" s="50">
        <f>IF('Resultado da inspeção'!Q295='Resultado da inspeção'!$W$3,0%,Ranking!AC295)</f>
        <v>7.1428571428571425E-2</v>
      </c>
      <c r="AS295" s="50">
        <f>IF('Resultado da inspeção'!R295='Resultado da inspeção'!$W$3,0%,Ranking!AD295)</f>
        <v>2.8571428571428571E-2</v>
      </c>
      <c r="AT295" s="50">
        <f>IF('Resultado da inspeção'!S295='Resultado da inspeção'!$W$3,0%,Ranking!AE295)</f>
        <v>2.8571428571428571E-2</v>
      </c>
      <c r="AU295" s="49">
        <f t="shared" si="90"/>
        <v>0.7</v>
      </c>
    </row>
    <row r="296" spans="2:47" x14ac:dyDescent="0.25">
      <c r="B296" s="48">
        <f>IF('Resultado da inspeção'!F296='Resultado da inspeção'!$W$4,0%,Ranking!B$5)</f>
        <v>0.02</v>
      </c>
      <c r="C296" s="48">
        <f>IF('Resultado da inspeção'!G296='Resultado da inspeção'!$W$4,0%,Ranking!C$5)</f>
        <v>0.03</v>
      </c>
      <c r="D296" s="48">
        <f>IF('Resultado da inspeção'!H296='Resultado da inspeção'!$W$4,0%,Ranking!D$5)</f>
        <v>0.03</v>
      </c>
      <c r="E296" s="48">
        <f>IF('Resultado da inspeção'!I296='Resultado da inspeção'!$W$4,0%,Ranking!E$5)</f>
        <v>0.1</v>
      </c>
      <c r="F296" s="48">
        <f>IF('Resultado da inspeção'!J296='Resultado da inspeção'!$W$4,0%,Ranking!F$5)</f>
        <v>0.21</v>
      </c>
      <c r="G296" s="48">
        <f>IF('Resultado da inspeção'!K296='Resultado da inspeção'!$W$4,0%,Ranking!G$5)</f>
        <v>0.05</v>
      </c>
      <c r="H296" s="48">
        <f>IF('Resultado da inspeção'!L296='Resultado da inspeção'!$W$4,0%,Ranking!H$5)</f>
        <v>0.24</v>
      </c>
      <c r="I296" s="48">
        <f>IF('Resultado da inspeção'!M296='Resultado da inspeção'!$W$4,0%,Ranking!I$5)</f>
        <v>0.05</v>
      </c>
      <c r="J296" s="48">
        <f>IF('Resultado da inspeção'!N296='Resultado da inspeção'!$W$4,0%,Ranking!J$5)</f>
        <v>0.04</v>
      </c>
      <c r="K296" s="48">
        <f>IF('Resultado da inspeção'!O296='Resultado da inspeção'!$W$4,0%,Ranking!K$5)</f>
        <v>0.06</v>
      </c>
      <c r="L296" s="48">
        <f>IF('Resultado da inspeção'!P296='Resultado da inspeção'!$W$4,0%,Ranking!L$5)</f>
        <v>0.08</v>
      </c>
      <c r="M296" s="48">
        <f>IF('Resultado da inspeção'!Q296='Resultado da inspeção'!$W$4,0%,Ranking!M$5)</f>
        <v>0.05</v>
      </c>
      <c r="N296" s="48">
        <f>IF('Resultado da inspeção'!R296='Resultado da inspeção'!$W$4,0%,Ranking!N$5)</f>
        <v>0.02</v>
      </c>
      <c r="O296" s="48">
        <f>IF('Resultado da inspeção'!S296='Resultado da inspeção'!$W$4,0%,Ranking!O$5)</f>
        <v>0.02</v>
      </c>
      <c r="P296" s="47">
        <f t="shared" si="73"/>
        <v>1</v>
      </c>
      <c r="Q296" s="49">
        <f t="shared" si="88"/>
        <v>0</v>
      </c>
      <c r="R296" s="50">
        <f t="shared" si="74"/>
        <v>0.02</v>
      </c>
      <c r="S296" s="50">
        <f t="shared" si="75"/>
        <v>0.03</v>
      </c>
      <c r="T296" s="50">
        <f t="shared" si="76"/>
        <v>0.03</v>
      </c>
      <c r="U296" s="50">
        <f t="shared" si="77"/>
        <v>0.1</v>
      </c>
      <c r="V296" s="50">
        <f t="shared" si="78"/>
        <v>0.21</v>
      </c>
      <c r="W296" s="50">
        <f t="shared" si="79"/>
        <v>0.05</v>
      </c>
      <c r="X296" s="50">
        <f t="shared" si="80"/>
        <v>0.24</v>
      </c>
      <c r="Y296" s="50">
        <f t="shared" si="81"/>
        <v>0.05</v>
      </c>
      <c r="Z296" s="50">
        <f t="shared" si="82"/>
        <v>0.04</v>
      </c>
      <c r="AA296" s="50">
        <f t="shared" si="83"/>
        <v>0.06</v>
      </c>
      <c r="AB296" s="50">
        <f t="shared" si="84"/>
        <v>0.08</v>
      </c>
      <c r="AC296" s="50">
        <f t="shared" si="85"/>
        <v>0.05</v>
      </c>
      <c r="AD296" s="50">
        <f t="shared" si="86"/>
        <v>0.02</v>
      </c>
      <c r="AE296" s="50">
        <f t="shared" si="87"/>
        <v>0.02</v>
      </c>
      <c r="AF296" s="47">
        <f t="shared" si="89"/>
        <v>1</v>
      </c>
      <c r="AG296" s="50">
        <f>IF('Resultado da inspeção'!F296='Resultado da inspeção'!$W$3,0%,Ranking!R296)</f>
        <v>0</v>
      </c>
      <c r="AH296" s="50">
        <f>IF('Resultado da inspeção'!G296='Resultado da inspeção'!$W$3,0%,Ranking!S296)</f>
        <v>0</v>
      </c>
      <c r="AI296" s="50">
        <f>IF('Resultado da inspeção'!H296='Resultado da inspeção'!$W$3,0%,Ranking!T296)</f>
        <v>0</v>
      </c>
      <c r="AJ296" s="50">
        <f>IF('Resultado da inspeção'!I296='Resultado da inspeção'!$W$3,0%,Ranking!U296)</f>
        <v>0</v>
      </c>
      <c r="AK296" s="50">
        <f>IF('Resultado da inspeção'!J296='Resultado da inspeção'!$W$3,0%,Ranking!V296)</f>
        <v>0</v>
      </c>
      <c r="AL296" s="50">
        <f>IF('Resultado da inspeção'!K296='Resultado da inspeção'!$W$3,0%,Ranking!W296)</f>
        <v>0</v>
      </c>
      <c r="AM296" s="50">
        <f>IF('Resultado da inspeção'!L296='Resultado da inspeção'!$W$3,0%,Ranking!X296)</f>
        <v>0.24</v>
      </c>
      <c r="AN296" s="50">
        <f>IF('Resultado da inspeção'!M296='Resultado da inspeção'!$W$3,0%,Ranking!Y296)</f>
        <v>0</v>
      </c>
      <c r="AO296" s="50">
        <f>IF('Resultado da inspeção'!N296='Resultado da inspeção'!$W$3,0%,Ranking!Z296)</f>
        <v>0</v>
      </c>
      <c r="AP296" s="50">
        <f>IF('Resultado da inspeção'!O296='Resultado da inspeção'!$W$3,0%,Ranking!AA296)</f>
        <v>0.06</v>
      </c>
      <c r="AQ296" s="50">
        <f>IF('Resultado da inspeção'!P296='Resultado da inspeção'!$W$3,0%,Ranking!AB296)</f>
        <v>0.08</v>
      </c>
      <c r="AR296" s="50">
        <f>IF('Resultado da inspeção'!Q296='Resultado da inspeção'!$W$3,0%,Ranking!AC296)</f>
        <v>0.05</v>
      </c>
      <c r="AS296" s="50">
        <f>IF('Resultado da inspeção'!R296='Resultado da inspeção'!$W$3,0%,Ranking!AD296)</f>
        <v>0.02</v>
      </c>
      <c r="AT296" s="50">
        <f>IF('Resultado da inspeção'!S296='Resultado da inspeção'!$W$3,0%,Ranking!AE296)</f>
        <v>0.02</v>
      </c>
      <c r="AU296" s="49">
        <f t="shared" si="90"/>
        <v>0.47000000000000003</v>
      </c>
    </row>
    <row r="297" spans="2:47" x14ac:dyDescent="0.25">
      <c r="B297" s="48">
        <f>IF('Resultado da inspeção'!F297='Resultado da inspeção'!$W$4,0%,Ranking!B$5)</f>
        <v>0.02</v>
      </c>
      <c r="C297" s="48">
        <f>IF('Resultado da inspeção'!G297='Resultado da inspeção'!$W$4,0%,Ranking!C$5)</f>
        <v>0.03</v>
      </c>
      <c r="D297" s="48">
        <f>IF('Resultado da inspeção'!H297='Resultado da inspeção'!$W$4,0%,Ranking!D$5)</f>
        <v>0.03</v>
      </c>
      <c r="E297" s="48">
        <f>IF('Resultado da inspeção'!I297='Resultado da inspeção'!$W$4,0%,Ranking!E$5)</f>
        <v>0.1</v>
      </c>
      <c r="F297" s="48">
        <f>IF('Resultado da inspeção'!J297='Resultado da inspeção'!$W$4,0%,Ranking!F$5)</f>
        <v>0.21</v>
      </c>
      <c r="G297" s="48">
        <f>IF('Resultado da inspeção'!K297='Resultado da inspeção'!$W$4,0%,Ranking!G$5)</f>
        <v>0.05</v>
      </c>
      <c r="H297" s="48">
        <f>IF('Resultado da inspeção'!L297='Resultado da inspeção'!$W$4,0%,Ranking!H$5)</f>
        <v>0.24</v>
      </c>
      <c r="I297" s="48">
        <f>IF('Resultado da inspeção'!M297='Resultado da inspeção'!$W$4,0%,Ranking!I$5)</f>
        <v>0</v>
      </c>
      <c r="J297" s="48">
        <f>IF('Resultado da inspeção'!N297='Resultado da inspeção'!$W$4,0%,Ranking!J$5)</f>
        <v>0</v>
      </c>
      <c r="K297" s="48">
        <f>IF('Resultado da inspeção'!O297='Resultado da inspeção'!$W$4,0%,Ranking!K$5)</f>
        <v>0.06</v>
      </c>
      <c r="L297" s="48">
        <f>IF('Resultado da inspeção'!P297='Resultado da inspeção'!$W$4,0%,Ranking!L$5)</f>
        <v>0.08</v>
      </c>
      <c r="M297" s="48">
        <f>IF('Resultado da inspeção'!Q297='Resultado da inspeção'!$W$4,0%,Ranking!M$5)</f>
        <v>0.05</v>
      </c>
      <c r="N297" s="48">
        <f>IF('Resultado da inspeção'!R297='Resultado da inspeção'!$W$4,0%,Ranking!N$5)</f>
        <v>0.02</v>
      </c>
      <c r="O297" s="48">
        <f>IF('Resultado da inspeção'!S297='Resultado da inspeção'!$W$4,0%,Ranking!O$5)</f>
        <v>0.02</v>
      </c>
      <c r="P297" s="47">
        <f t="shared" si="73"/>
        <v>0.91</v>
      </c>
      <c r="Q297" s="49">
        <f t="shared" si="88"/>
        <v>8.9999999999999969E-2</v>
      </c>
      <c r="R297" s="50">
        <f t="shared" si="74"/>
        <v>2.1978021978021976E-2</v>
      </c>
      <c r="S297" s="50">
        <f t="shared" si="75"/>
        <v>3.2967032967032968E-2</v>
      </c>
      <c r="T297" s="50">
        <f t="shared" si="76"/>
        <v>3.2967032967032968E-2</v>
      </c>
      <c r="U297" s="50">
        <f t="shared" si="77"/>
        <v>0.10989010989010989</v>
      </c>
      <c r="V297" s="50">
        <f t="shared" si="78"/>
        <v>0.23076923076923075</v>
      </c>
      <c r="W297" s="50">
        <f t="shared" si="79"/>
        <v>5.4945054945054944E-2</v>
      </c>
      <c r="X297" s="50">
        <f t="shared" si="80"/>
        <v>0.26373626373626374</v>
      </c>
      <c r="Y297" s="50">
        <f t="shared" si="81"/>
        <v>0</v>
      </c>
      <c r="Z297" s="50">
        <f t="shared" si="82"/>
        <v>0</v>
      </c>
      <c r="AA297" s="50">
        <f t="shared" si="83"/>
        <v>6.5934065934065936E-2</v>
      </c>
      <c r="AB297" s="50">
        <f t="shared" si="84"/>
        <v>8.7912087912087905E-2</v>
      </c>
      <c r="AC297" s="50">
        <f t="shared" si="85"/>
        <v>5.4945054945054944E-2</v>
      </c>
      <c r="AD297" s="50">
        <f t="shared" si="86"/>
        <v>2.1978021978021976E-2</v>
      </c>
      <c r="AE297" s="50">
        <f t="shared" si="87"/>
        <v>2.1978021978021976E-2</v>
      </c>
      <c r="AF297" s="47">
        <f t="shared" si="89"/>
        <v>1</v>
      </c>
      <c r="AG297" s="50">
        <f>IF('Resultado da inspeção'!F297='Resultado da inspeção'!$W$3,0%,Ranking!R297)</f>
        <v>2.1978021978021976E-2</v>
      </c>
      <c r="AH297" s="50">
        <f>IF('Resultado da inspeção'!G297='Resultado da inspeção'!$W$3,0%,Ranking!S297)</f>
        <v>3.2967032967032968E-2</v>
      </c>
      <c r="AI297" s="50">
        <f>IF('Resultado da inspeção'!H297='Resultado da inspeção'!$W$3,0%,Ranking!T297)</f>
        <v>3.2967032967032968E-2</v>
      </c>
      <c r="AJ297" s="50">
        <f>IF('Resultado da inspeção'!I297='Resultado da inspeção'!$W$3,0%,Ranking!U297)</f>
        <v>0</v>
      </c>
      <c r="AK297" s="50">
        <f>IF('Resultado da inspeção'!J297='Resultado da inspeção'!$W$3,0%,Ranking!V297)</f>
        <v>0.23076923076923075</v>
      </c>
      <c r="AL297" s="50">
        <f>IF('Resultado da inspeção'!K297='Resultado da inspeção'!$W$3,0%,Ranking!W297)</f>
        <v>0</v>
      </c>
      <c r="AM297" s="50">
        <f>IF('Resultado da inspeção'!L297='Resultado da inspeção'!$W$3,0%,Ranking!X297)</f>
        <v>0.26373626373626374</v>
      </c>
      <c r="AN297" s="50">
        <f>IF('Resultado da inspeção'!M297='Resultado da inspeção'!$W$3,0%,Ranking!Y297)</f>
        <v>0</v>
      </c>
      <c r="AO297" s="50">
        <f>IF('Resultado da inspeção'!N297='Resultado da inspeção'!$W$3,0%,Ranking!Z297)</f>
        <v>0</v>
      </c>
      <c r="AP297" s="50">
        <f>IF('Resultado da inspeção'!O297='Resultado da inspeção'!$W$3,0%,Ranking!AA297)</f>
        <v>6.5934065934065936E-2</v>
      </c>
      <c r="AQ297" s="50">
        <f>IF('Resultado da inspeção'!P297='Resultado da inspeção'!$W$3,0%,Ranking!AB297)</f>
        <v>8.7912087912087905E-2</v>
      </c>
      <c r="AR297" s="50">
        <f>IF('Resultado da inspeção'!Q297='Resultado da inspeção'!$W$3,0%,Ranking!AC297)</f>
        <v>5.4945054945054944E-2</v>
      </c>
      <c r="AS297" s="50">
        <f>IF('Resultado da inspeção'!R297='Resultado da inspeção'!$W$3,0%,Ranking!AD297)</f>
        <v>2.1978021978021976E-2</v>
      </c>
      <c r="AT297" s="50">
        <f>IF('Resultado da inspeção'!S297='Resultado da inspeção'!$W$3,0%,Ranking!AE297)</f>
        <v>2.1978021978021976E-2</v>
      </c>
      <c r="AU297" s="49">
        <f t="shared" si="90"/>
        <v>0.8351648351648352</v>
      </c>
    </row>
    <row r="298" spans="2:47" x14ac:dyDescent="0.25">
      <c r="B298" s="48">
        <f>IF('Resultado da inspeção'!F298='Resultado da inspeção'!$W$4,0%,Ranking!B$5)</f>
        <v>0.02</v>
      </c>
      <c r="C298" s="48">
        <f>IF('Resultado da inspeção'!G298='Resultado da inspeção'!$W$4,0%,Ranking!C$5)</f>
        <v>0.03</v>
      </c>
      <c r="D298" s="48">
        <f>IF('Resultado da inspeção'!H298='Resultado da inspeção'!$W$4,0%,Ranking!D$5)</f>
        <v>0.03</v>
      </c>
      <c r="E298" s="48">
        <f>IF('Resultado da inspeção'!I298='Resultado da inspeção'!$W$4,0%,Ranking!E$5)</f>
        <v>0.1</v>
      </c>
      <c r="F298" s="48">
        <f>IF('Resultado da inspeção'!J298='Resultado da inspeção'!$W$4,0%,Ranking!F$5)</f>
        <v>0.21</v>
      </c>
      <c r="G298" s="48">
        <f>IF('Resultado da inspeção'!K298='Resultado da inspeção'!$W$4,0%,Ranking!G$5)</f>
        <v>0.05</v>
      </c>
      <c r="H298" s="48">
        <f>IF('Resultado da inspeção'!L298='Resultado da inspeção'!$W$4,0%,Ranking!H$5)</f>
        <v>0.24</v>
      </c>
      <c r="I298" s="48">
        <f>IF('Resultado da inspeção'!M298='Resultado da inspeção'!$W$4,0%,Ranking!I$5)</f>
        <v>0</v>
      </c>
      <c r="J298" s="48">
        <f>IF('Resultado da inspeção'!N298='Resultado da inspeção'!$W$4,0%,Ranking!J$5)</f>
        <v>0</v>
      </c>
      <c r="K298" s="48">
        <f>IF('Resultado da inspeção'!O298='Resultado da inspeção'!$W$4,0%,Ranking!K$5)</f>
        <v>0.06</v>
      </c>
      <c r="L298" s="48">
        <f>IF('Resultado da inspeção'!P298='Resultado da inspeção'!$W$4,0%,Ranking!L$5)</f>
        <v>0.08</v>
      </c>
      <c r="M298" s="48">
        <f>IF('Resultado da inspeção'!Q298='Resultado da inspeção'!$W$4,0%,Ranking!M$5)</f>
        <v>0.05</v>
      </c>
      <c r="N298" s="48">
        <f>IF('Resultado da inspeção'!R298='Resultado da inspeção'!$W$4,0%,Ranking!N$5)</f>
        <v>0.02</v>
      </c>
      <c r="O298" s="48">
        <f>IF('Resultado da inspeção'!S298='Resultado da inspeção'!$W$4,0%,Ranking!O$5)</f>
        <v>0.02</v>
      </c>
      <c r="P298" s="47">
        <f t="shared" si="73"/>
        <v>0.91</v>
      </c>
      <c r="Q298" s="49">
        <f t="shared" si="88"/>
        <v>8.9999999999999969E-2</v>
      </c>
      <c r="R298" s="50">
        <f t="shared" si="74"/>
        <v>2.1978021978021976E-2</v>
      </c>
      <c r="S298" s="50">
        <f t="shared" si="75"/>
        <v>3.2967032967032968E-2</v>
      </c>
      <c r="T298" s="50">
        <f t="shared" si="76"/>
        <v>3.2967032967032968E-2</v>
      </c>
      <c r="U298" s="50">
        <f t="shared" si="77"/>
        <v>0.10989010989010989</v>
      </c>
      <c r="V298" s="50">
        <f t="shared" si="78"/>
        <v>0.23076923076923075</v>
      </c>
      <c r="W298" s="50">
        <f t="shared" si="79"/>
        <v>5.4945054945054944E-2</v>
      </c>
      <c r="X298" s="50">
        <f t="shared" si="80"/>
        <v>0.26373626373626374</v>
      </c>
      <c r="Y298" s="50">
        <f t="shared" si="81"/>
        <v>0</v>
      </c>
      <c r="Z298" s="50">
        <f t="shared" si="82"/>
        <v>0</v>
      </c>
      <c r="AA298" s="50">
        <f t="shared" si="83"/>
        <v>6.5934065934065936E-2</v>
      </c>
      <c r="AB298" s="50">
        <f t="shared" si="84"/>
        <v>8.7912087912087905E-2</v>
      </c>
      <c r="AC298" s="50">
        <f t="shared" si="85"/>
        <v>5.4945054945054944E-2</v>
      </c>
      <c r="AD298" s="50">
        <f t="shared" si="86"/>
        <v>2.1978021978021976E-2</v>
      </c>
      <c r="AE298" s="50">
        <f t="shared" si="87"/>
        <v>2.1978021978021976E-2</v>
      </c>
      <c r="AF298" s="47">
        <f t="shared" si="89"/>
        <v>1</v>
      </c>
      <c r="AG298" s="50">
        <f>IF('Resultado da inspeção'!F298='Resultado da inspeção'!$W$3,0%,Ranking!R298)</f>
        <v>2.1978021978021976E-2</v>
      </c>
      <c r="AH298" s="50">
        <f>IF('Resultado da inspeção'!G298='Resultado da inspeção'!$W$3,0%,Ranking!S298)</f>
        <v>3.2967032967032968E-2</v>
      </c>
      <c r="AI298" s="50">
        <f>IF('Resultado da inspeção'!H298='Resultado da inspeção'!$W$3,0%,Ranking!T298)</f>
        <v>3.2967032967032968E-2</v>
      </c>
      <c r="AJ298" s="50">
        <f>IF('Resultado da inspeção'!I298='Resultado da inspeção'!$W$3,0%,Ranking!U298)</f>
        <v>0</v>
      </c>
      <c r="AK298" s="50">
        <f>IF('Resultado da inspeção'!J298='Resultado da inspeção'!$W$3,0%,Ranking!V298)</f>
        <v>0.23076923076923075</v>
      </c>
      <c r="AL298" s="50">
        <f>IF('Resultado da inspeção'!K298='Resultado da inspeção'!$W$3,0%,Ranking!W298)</f>
        <v>0</v>
      </c>
      <c r="AM298" s="50">
        <f>IF('Resultado da inspeção'!L298='Resultado da inspeção'!$W$3,0%,Ranking!X298)</f>
        <v>0.26373626373626374</v>
      </c>
      <c r="AN298" s="50">
        <f>IF('Resultado da inspeção'!M298='Resultado da inspeção'!$W$3,0%,Ranking!Y298)</f>
        <v>0</v>
      </c>
      <c r="AO298" s="50">
        <f>IF('Resultado da inspeção'!N298='Resultado da inspeção'!$W$3,0%,Ranking!Z298)</f>
        <v>0</v>
      </c>
      <c r="AP298" s="50">
        <f>IF('Resultado da inspeção'!O298='Resultado da inspeção'!$W$3,0%,Ranking!AA298)</f>
        <v>6.5934065934065936E-2</v>
      </c>
      <c r="AQ298" s="50">
        <f>IF('Resultado da inspeção'!P298='Resultado da inspeção'!$W$3,0%,Ranking!AB298)</f>
        <v>8.7912087912087905E-2</v>
      </c>
      <c r="AR298" s="50">
        <f>IF('Resultado da inspeção'!Q298='Resultado da inspeção'!$W$3,0%,Ranking!AC298)</f>
        <v>5.4945054945054944E-2</v>
      </c>
      <c r="AS298" s="50">
        <f>IF('Resultado da inspeção'!R298='Resultado da inspeção'!$W$3,0%,Ranking!AD298)</f>
        <v>2.1978021978021976E-2</v>
      </c>
      <c r="AT298" s="50">
        <f>IF('Resultado da inspeção'!S298='Resultado da inspeção'!$W$3,0%,Ranking!AE298)</f>
        <v>2.1978021978021976E-2</v>
      </c>
      <c r="AU298" s="49">
        <f t="shared" si="90"/>
        <v>0.8351648351648352</v>
      </c>
    </row>
    <row r="299" spans="2:47" x14ac:dyDescent="0.25">
      <c r="B299" s="48">
        <f>IF('Resultado da inspeção'!F299='Resultado da inspeção'!$W$4,0%,Ranking!B$5)</f>
        <v>0.02</v>
      </c>
      <c r="C299" s="48">
        <f>IF('Resultado da inspeção'!G299='Resultado da inspeção'!$W$4,0%,Ranking!C$5)</f>
        <v>0.03</v>
      </c>
      <c r="D299" s="48">
        <f>IF('Resultado da inspeção'!H299='Resultado da inspeção'!$W$4,0%,Ranking!D$5)</f>
        <v>0.03</v>
      </c>
      <c r="E299" s="48">
        <f>IF('Resultado da inspeção'!I299='Resultado da inspeção'!$W$4,0%,Ranking!E$5)</f>
        <v>0.1</v>
      </c>
      <c r="F299" s="48">
        <f>IF('Resultado da inspeção'!J299='Resultado da inspeção'!$W$4,0%,Ranking!F$5)</f>
        <v>0.21</v>
      </c>
      <c r="G299" s="48">
        <f>IF('Resultado da inspeção'!K299='Resultado da inspeção'!$W$4,0%,Ranking!G$5)</f>
        <v>0.05</v>
      </c>
      <c r="H299" s="48">
        <f>IF('Resultado da inspeção'!L299='Resultado da inspeção'!$W$4,0%,Ranking!H$5)</f>
        <v>0.24</v>
      </c>
      <c r="I299" s="48">
        <f>IF('Resultado da inspeção'!M299='Resultado da inspeção'!$W$4,0%,Ranking!I$5)</f>
        <v>0</v>
      </c>
      <c r="J299" s="48">
        <f>IF('Resultado da inspeção'!N299='Resultado da inspeção'!$W$4,0%,Ranking!J$5)</f>
        <v>0</v>
      </c>
      <c r="K299" s="48">
        <f>IF('Resultado da inspeção'!O299='Resultado da inspeção'!$W$4,0%,Ranking!K$5)</f>
        <v>0.06</v>
      </c>
      <c r="L299" s="48">
        <f>IF('Resultado da inspeção'!P299='Resultado da inspeção'!$W$4,0%,Ranking!L$5)</f>
        <v>0.08</v>
      </c>
      <c r="M299" s="48">
        <f>IF('Resultado da inspeção'!Q299='Resultado da inspeção'!$W$4,0%,Ranking!M$5)</f>
        <v>0.05</v>
      </c>
      <c r="N299" s="48">
        <f>IF('Resultado da inspeção'!R299='Resultado da inspeção'!$W$4,0%,Ranking!N$5)</f>
        <v>0.02</v>
      </c>
      <c r="O299" s="48">
        <f>IF('Resultado da inspeção'!S299='Resultado da inspeção'!$W$4,0%,Ranking!O$5)</f>
        <v>0.02</v>
      </c>
      <c r="P299" s="47">
        <f t="shared" si="73"/>
        <v>0.91</v>
      </c>
      <c r="Q299" s="49">
        <f t="shared" si="88"/>
        <v>8.9999999999999969E-2</v>
      </c>
      <c r="R299" s="50">
        <f t="shared" si="74"/>
        <v>2.1978021978021976E-2</v>
      </c>
      <c r="S299" s="50">
        <f t="shared" si="75"/>
        <v>3.2967032967032968E-2</v>
      </c>
      <c r="T299" s="50">
        <f t="shared" si="76"/>
        <v>3.2967032967032968E-2</v>
      </c>
      <c r="U299" s="50">
        <f t="shared" si="77"/>
        <v>0.10989010989010989</v>
      </c>
      <c r="V299" s="50">
        <f t="shared" si="78"/>
        <v>0.23076923076923075</v>
      </c>
      <c r="W299" s="50">
        <f t="shared" si="79"/>
        <v>5.4945054945054944E-2</v>
      </c>
      <c r="X299" s="50">
        <f t="shared" si="80"/>
        <v>0.26373626373626374</v>
      </c>
      <c r="Y299" s="50">
        <f t="shared" si="81"/>
        <v>0</v>
      </c>
      <c r="Z299" s="50">
        <f t="shared" si="82"/>
        <v>0</v>
      </c>
      <c r="AA299" s="50">
        <f t="shared" si="83"/>
        <v>6.5934065934065936E-2</v>
      </c>
      <c r="AB299" s="50">
        <f t="shared" si="84"/>
        <v>8.7912087912087905E-2</v>
      </c>
      <c r="AC299" s="50">
        <f t="shared" si="85"/>
        <v>5.4945054945054944E-2</v>
      </c>
      <c r="AD299" s="50">
        <f t="shared" si="86"/>
        <v>2.1978021978021976E-2</v>
      </c>
      <c r="AE299" s="50">
        <f t="shared" si="87"/>
        <v>2.1978021978021976E-2</v>
      </c>
      <c r="AF299" s="47">
        <f t="shared" si="89"/>
        <v>1</v>
      </c>
      <c r="AG299" s="50">
        <f>IF('Resultado da inspeção'!F299='Resultado da inspeção'!$W$3,0%,Ranking!R299)</f>
        <v>2.1978021978021976E-2</v>
      </c>
      <c r="AH299" s="50">
        <f>IF('Resultado da inspeção'!G299='Resultado da inspeção'!$W$3,0%,Ranking!S299)</f>
        <v>3.2967032967032968E-2</v>
      </c>
      <c r="AI299" s="50">
        <f>IF('Resultado da inspeção'!H299='Resultado da inspeção'!$W$3,0%,Ranking!T299)</f>
        <v>3.2967032967032968E-2</v>
      </c>
      <c r="AJ299" s="50">
        <f>IF('Resultado da inspeção'!I299='Resultado da inspeção'!$W$3,0%,Ranking!U299)</f>
        <v>0</v>
      </c>
      <c r="AK299" s="50">
        <f>IF('Resultado da inspeção'!J299='Resultado da inspeção'!$W$3,0%,Ranking!V299)</f>
        <v>0.23076923076923075</v>
      </c>
      <c r="AL299" s="50">
        <f>IF('Resultado da inspeção'!K299='Resultado da inspeção'!$W$3,0%,Ranking!W299)</f>
        <v>0</v>
      </c>
      <c r="AM299" s="50">
        <f>IF('Resultado da inspeção'!L299='Resultado da inspeção'!$W$3,0%,Ranking!X299)</f>
        <v>0.26373626373626374</v>
      </c>
      <c r="AN299" s="50">
        <f>IF('Resultado da inspeção'!M299='Resultado da inspeção'!$W$3,0%,Ranking!Y299)</f>
        <v>0</v>
      </c>
      <c r="AO299" s="50">
        <f>IF('Resultado da inspeção'!N299='Resultado da inspeção'!$W$3,0%,Ranking!Z299)</f>
        <v>0</v>
      </c>
      <c r="AP299" s="50">
        <f>IF('Resultado da inspeção'!O299='Resultado da inspeção'!$W$3,0%,Ranking!AA299)</f>
        <v>6.5934065934065936E-2</v>
      </c>
      <c r="AQ299" s="50">
        <f>IF('Resultado da inspeção'!P299='Resultado da inspeção'!$W$3,0%,Ranking!AB299)</f>
        <v>8.7912087912087905E-2</v>
      </c>
      <c r="AR299" s="50">
        <f>IF('Resultado da inspeção'!Q299='Resultado da inspeção'!$W$3,0%,Ranking!AC299)</f>
        <v>5.4945054945054944E-2</v>
      </c>
      <c r="AS299" s="50">
        <f>IF('Resultado da inspeção'!R299='Resultado da inspeção'!$W$3,0%,Ranking!AD299)</f>
        <v>2.1978021978021976E-2</v>
      </c>
      <c r="AT299" s="50">
        <f>IF('Resultado da inspeção'!S299='Resultado da inspeção'!$W$3,0%,Ranking!AE299)</f>
        <v>2.1978021978021976E-2</v>
      </c>
      <c r="AU299" s="49">
        <f t="shared" si="90"/>
        <v>0.8351648351648352</v>
      </c>
    </row>
    <row r="300" spans="2:47" x14ac:dyDescent="0.25">
      <c r="B300" s="48">
        <f>IF('Resultado da inspeção'!F300='Resultado da inspeção'!$W$4,0%,Ranking!B$5)</f>
        <v>0.02</v>
      </c>
      <c r="C300" s="48">
        <f>IF('Resultado da inspeção'!G300='Resultado da inspeção'!$W$4,0%,Ranking!C$5)</f>
        <v>0.03</v>
      </c>
      <c r="D300" s="48">
        <f>IF('Resultado da inspeção'!H300='Resultado da inspeção'!$W$4,0%,Ranking!D$5)</f>
        <v>0.03</v>
      </c>
      <c r="E300" s="48">
        <f>IF('Resultado da inspeção'!I300='Resultado da inspeção'!$W$4,0%,Ranking!E$5)</f>
        <v>0.1</v>
      </c>
      <c r="F300" s="48">
        <f>IF('Resultado da inspeção'!J300='Resultado da inspeção'!$W$4,0%,Ranking!F$5)</f>
        <v>0.21</v>
      </c>
      <c r="G300" s="48">
        <f>IF('Resultado da inspeção'!K300='Resultado da inspeção'!$W$4,0%,Ranking!G$5)</f>
        <v>0.05</v>
      </c>
      <c r="H300" s="48">
        <f>IF('Resultado da inspeção'!L300='Resultado da inspeção'!$W$4,0%,Ranking!H$5)</f>
        <v>0.24</v>
      </c>
      <c r="I300" s="48">
        <f>IF('Resultado da inspeção'!M300='Resultado da inspeção'!$W$4,0%,Ranking!I$5)</f>
        <v>0</v>
      </c>
      <c r="J300" s="48">
        <f>IF('Resultado da inspeção'!N300='Resultado da inspeção'!$W$4,0%,Ranking!J$5)</f>
        <v>0</v>
      </c>
      <c r="K300" s="48">
        <f>IF('Resultado da inspeção'!O300='Resultado da inspeção'!$W$4,0%,Ranking!K$5)</f>
        <v>0.06</v>
      </c>
      <c r="L300" s="48">
        <f>IF('Resultado da inspeção'!P300='Resultado da inspeção'!$W$4,0%,Ranking!L$5)</f>
        <v>0.08</v>
      </c>
      <c r="M300" s="48">
        <f>IF('Resultado da inspeção'!Q300='Resultado da inspeção'!$W$4,0%,Ranking!M$5)</f>
        <v>0.05</v>
      </c>
      <c r="N300" s="48">
        <f>IF('Resultado da inspeção'!R300='Resultado da inspeção'!$W$4,0%,Ranking!N$5)</f>
        <v>0.02</v>
      </c>
      <c r="O300" s="48">
        <f>IF('Resultado da inspeção'!S300='Resultado da inspeção'!$W$4,0%,Ranking!O$5)</f>
        <v>0.02</v>
      </c>
      <c r="P300" s="47">
        <f t="shared" si="73"/>
        <v>0.91</v>
      </c>
      <c r="Q300" s="49">
        <f t="shared" si="88"/>
        <v>8.9999999999999969E-2</v>
      </c>
      <c r="R300" s="50">
        <f t="shared" si="74"/>
        <v>2.1978021978021976E-2</v>
      </c>
      <c r="S300" s="50">
        <f t="shared" si="75"/>
        <v>3.2967032967032968E-2</v>
      </c>
      <c r="T300" s="50">
        <f t="shared" si="76"/>
        <v>3.2967032967032968E-2</v>
      </c>
      <c r="U300" s="50">
        <f t="shared" si="77"/>
        <v>0.10989010989010989</v>
      </c>
      <c r="V300" s="50">
        <f t="shared" si="78"/>
        <v>0.23076923076923075</v>
      </c>
      <c r="W300" s="50">
        <f t="shared" si="79"/>
        <v>5.4945054945054944E-2</v>
      </c>
      <c r="X300" s="50">
        <f t="shared" si="80"/>
        <v>0.26373626373626374</v>
      </c>
      <c r="Y300" s="50">
        <f t="shared" si="81"/>
        <v>0</v>
      </c>
      <c r="Z300" s="50">
        <f t="shared" si="82"/>
        <v>0</v>
      </c>
      <c r="AA300" s="50">
        <f t="shared" si="83"/>
        <v>6.5934065934065936E-2</v>
      </c>
      <c r="AB300" s="50">
        <f t="shared" si="84"/>
        <v>8.7912087912087905E-2</v>
      </c>
      <c r="AC300" s="50">
        <f t="shared" si="85"/>
        <v>5.4945054945054944E-2</v>
      </c>
      <c r="AD300" s="50">
        <f t="shared" si="86"/>
        <v>2.1978021978021976E-2</v>
      </c>
      <c r="AE300" s="50">
        <f t="shared" si="87"/>
        <v>2.1978021978021976E-2</v>
      </c>
      <c r="AF300" s="47">
        <f t="shared" si="89"/>
        <v>1</v>
      </c>
      <c r="AG300" s="50">
        <f>IF('Resultado da inspeção'!F300='Resultado da inspeção'!$W$3,0%,Ranking!R300)</f>
        <v>2.1978021978021976E-2</v>
      </c>
      <c r="AH300" s="50">
        <f>IF('Resultado da inspeção'!G300='Resultado da inspeção'!$W$3,0%,Ranking!S300)</f>
        <v>0</v>
      </c>
      <c r="AI300" s="50">
        <f>IF('Resultado da inspeção'!H300='Resultado da inspeção'!$W$3,0%,Ranking!T300)</f>
        <v>0</v>
      </c>
      <c r="AJ300" s="50">
        <f>IF('Resultado da inspeção'!I300='Resultado da inspeção'!$W$3,0%,Ranking!U300)</f>
        <v>0</v>
      </c>
      <c r="AK300" s="50">
        <f>IF('Resultado da inspeção'!J300='Resultado da inspeção'!$W$3,0%,Ranking!V300)</f>
        <v>0.23076923076923075</v>
      </c>
      <c r="AL300" s="50">
        <f>IF('Resultado da inspeção'!K300='Resultado da inspeção'!$W$3,0%,Ranking!W300)</f>
        <v>0</v>
      </c>
      <c r="AM300" s="50">
        <f>IF('Resultado da inspeção'!L300='Resultado da inspeção'!$W$3,0%,Ranking!X300)</f>
        <v>0</v>
      </c>
      <c r="AN300" s="50">
        <f>IF('Resultado da inspeção'!M300='Resultado da inspeção'!$W$3,0%,Ranking!Y300)</f>
        <v>0</v>
      </c>
      <c r="AO300" s="50">
        <f>IF('Resultado da inspeção'!N300='Resultado da inspeção'!$W$3,0%,Ranking!Z300)</f>
        <v>0</v>
      </c>
      <c r="AP300" s="50">
        <f>IF('Resultado da inspeção'!O300='Resultado da inspeção'!$W$3,0%,Ranking!AA300)</f>
        <v>6.5934065934065936E-2</v>
      </c>
      <c r="AQ300" s="50">
        <f>IF('Resultado da inspeção'!P300='Resultado da inspeção'!$W$3,0%,Ranking!AB300)</f>
        <v>8.7912087912087905E-2</v>
      </c>
      <c r="AR300" s="50">
        <f>IF('Resultado da inspeção'!Q300='Resultado da inspeção'!$W$3,0%,Ranking!AC300)</f>
        <v>5.4945054945054944E-2</v>
      </c>
      <c r="AS300" s="50">
        <f>IF('Resultado da inspeção'!R300='Resultado da inspeção'!$W$3,0%,Ranking!AD300)</f>
        <v>2.1978021978021976E-2</v>
      </c>
      <c r="AT300" s="50">
        <f>IF('Resultado da inspeção'!S300='Resultado da inspeção'!$W$3,0%,Ranking!AE300)</f>
        <v>2.1978021978021976E-2</v>
      </c>
      <c r="AU300" s="49">
        <f t="shared" si="90"/>
        <v>0.50549450549450547</v>
      </c>
    </row>
    <row r="301" spans="2:47" x14ac:dyDescent="0.25">
      <c r="B301" s="48">
        <f>IF('Resultado da inspeção'!F301='Resultado da inspeção'!$W$4,0%,Ranking!B$5)</f>
        <v>0.02</v>
      </c>
      <c r="C301" s="48">
        <f>IF('Resultado da inspeção'!G301='Resultado da inspeção'!$W$4,0%,Ranking!C$5)</f>
        <v>0.03</v>
      </c>
      <c r="D301" s="48">
        <f>IF('Resultado da inspeção'!H301='Resultado da inspeção'!$W$4,0%,Ranking!D$5)</f>
        <v>0.03</v>
      </c>
      <c r="E301" s="48">
        <f>IF('Resultado da inspeção'!I301='Resultado da inspeção'!$W$4,0%,Ranking!E$5)</f>
        <v>0.1</v>
      </c>
      <c r="F301" s="48">
        <f>IF('Resultado da inspeção'!J301='Resultado da inspeção'!$W$4,0%,Ranking!F$5)</f>
        <v>0.21</v>
      </c>
      <c r="G301" s="48">
        <f>IF('Resultado da inspeção'!K301='Resultado da inspeção'!$W$4,0%,Ranking!G$5)</f>
        <v>0.05</v>
      </c>
      <c r="H301" s="48">
        <f>IF('Resultado da inspeção'!L301='Resultado da inspeção'!$W$4,0%,Ranking!H$5)</f>
        <v>0.24</v>
      </c>
      <c r="I301" s="48">
        <f>IF('Resultado da inspeção'!M301='Resultado da inspeção'!$W$4,0%,Ranking!I$5)</f>
        <v>0</v>
      </c>
      <c r="J301" s="48">
        <f>IF('Resultado da inspeção'!N301='Resultado da inspeção'!$W$4,0%,Ranking!J$5)</f>
        <v>0</v>
      </c>
      <c r="K301" s="48">
        <f>IF('Resultado da inspeção'!O301='Resultado da inspeção'!$W$4,0%,Ranking!K$5)</f>
        <v>0.06</v>
      </c>
      <c r="L301" s="48">
        <f>IF('Resultado da inspeção'!P301='Resultado da inspeção'!$W$4,0%,Ranking!L$5)</f>
        <v>0.08</v>
      </c>
      <c r="M301" s="48">
        <f>IF('Resultado da inspeção'!Q301='Resultado da inspeção'!$W$4,0%,Ranking!M$5)</f>
        <v>0.05</v>
      </c>
      <c r="N301" s="48">
        <f>IF('Resultado da inspeção'!R301='Resultado da inspeção'!$W$4,0%,Ranking!N$5)</f>
        <v>0.02</v>
      </c>
      <c r="O301" s="48">
        <f>IF('Resultado da inspeção'!S301='Resultado da inspeção'!$W$4,0%,Ranking!O$5)</f>
        <v>0.02</v>
      </c>
      <c r="P301" s="47">
        <f t="shared" si="73"/>
        <v>0.91</v>
      </c>
      <c r="Q301" s="49">
        <f t="shared" si="88"/>
        <v>8.9999999999999969E-2</v>
      </c>
      <c r="R301" s="50">
        <f t="shared" si="74"/>
        <v>2.1978021978021976E-2</v>
      </c>
      <c r="S301" s="50">
        <f t="shared" si="75"/>
        <v>3.2967032967032968E-2</v>
      </c>
      <c r="T301" s="50">
        <f t="shared" si="76"/>
        <v>3.2967032967032968E-2</v>
      </c>
      <c r="U301" s="50">
        <f t="shared" si="77"/>
        <v>0.10989010989010989</v>
      </c>
      <c r="V301" s="50">
        <f t="shared" si="78"/>
        <v>0.23076923076923075</v>
      </c>
      <c r="W301" s="50">
        <f t="shared" si="79"/>
        <v>5.4945054945054944E-2</v>
      </c>
      <c r="X301" s="50">
        <f t="shared" si="80"/>
        <v>0.26373626373626374</v>
      </c>
      <c r="Y301" s="50">
        <f t="shared" si="81"/>
        <v>0</v>
      </c>
      <c r="Z301" s="50">
        <f t="shared" si="82"/>
        <v>0</v>
      </c>
      <c r="AA301" s="50">
        <f t="shared" si="83"/>
        <v>6.5934065934065936E-2</v>
      </c>
      <c r="AB301" s="50">
        <f t="shared" si="84"/>
        <v>8.7912087912087905E-2</v>
      </c>
      <c r="AC301" s="50">
        <f t="shared" si="85"/>
        <v>5.4945054945054944E-2</v>
      </c>
      <c r="AD301" s="50">
        <f t="shared" si="86"/>
        <v>2.1978021978021976E-2</v>
      </c>
      <c r="AE301" s="50">
        <f t="shared" si="87"/>
        <v>2.1978021978021976E-2</v>
      </c>
      <c r="AF301" s="47">
        <f t="shared" si="89"/>
        <v>1</v>
      </c>
      <c r="AG301" s="50">
        <f>IF('Resultado da inspeção'!F301='Resultado da inspeção'!$W$3,0%,Ranking!R301)</f>
        <v>2.1978021978021976E-2</v>
      </c>
      <c r="AH301" s="50">
        <f>IF('Resultado da inspeção'!G301='Resultado da inspeção'!$W$3,0%,Ranking!S301)</f>
        <v>3.2967032967032968E-2</v>
      </c>
      <c r="AI301" s="50">
        <f>IF('Resultado da inspeção'!H301='Resultado da inspeção'!$W$3,0%,Ranking!T301)</f>
        <v>3.2967032967032968E-2</v>
      </c>
      <c r="AJ301" s="50">
        <f>IF('Resultado da inspeção'!I301='Resultado da inspeção'!$W$3,0%,Ranking!U301)</f>
        <v>0</v>
      </c>
      <c r="AK301" s="50">
        <f>IF('Resultado da inspeção'!J301='Resultado da inspeção'!$W$3,0%,Ranking!V301)</f>
        <v>0.23076923076923075</v>
      </c>
      <c r="AL301" s="50">
        <f>IF('Resultado da inspeção'!K301='Resultado da inspeção'!$W$3,0%,Ranking!W301)</f>
        <v>0</v>
      </c>
      <c r="AM301" s="50">
        <f>IF('Resultado da inspeção'!L301='Resultado da inspeção'!$W$3,0%,Ranking!X301)</f>
        <v>0</v>
      </c>
      <c r="AN301" s="50">
        <f>IF('Resultado da inspeção'!M301='Resultado da inspeção'!$W$3,0%,Ranking!Y301)</f>
        <v>0</v>
      </c>
      <c r="AO301" s="50">
        <f>IF('Resultado da inspeção'!N301='Resultado da inspeção'!$W$3,0%,Ranking!Z301)</f>
        <v>0</v>
      </c>
      <c r="AP301" s="50">
        <f>IF('Resultado da inspeção'!O301='Resultado da inspeção'!$W$3,0%,Ranking!AA301)</f>
        <v>6.5934065934065936E-2</v>
      </c>
      <c r="AQ301" s="50">
        <f>IF('Resultado da inspeção'!P301='Resultado da inspeção'!$W$3,0%,Ranking!AB301)</f>
        <v>8.7912087912087905E-2</v>
      </c>
      <c r="AR301" s="50">
        <f>IF('Resultado da inspeção'!Q301='Resultado da inspeção'!$W$3,0%,Ranking!AC301)</f>
        <v>5.4945054945054944E-2</v>
      </c>
      <c r="AS301" s="50">
        <f>IF('Resultado da inspeção'!R301='Resultado da inspeção'!$W$3,0%,Ranking!AD301)</f>
        <v>2.1978021978021976E-2</v>
      </c>
      <c r="AT301" s="50">
        <f>IF('Resultado da inspeção'!S301='Resultado da inspeção'!$W$3,0%,Ranking!AE301)</f>
        <v>2.1978021978021976E-2</v>
      </c>
      <c r="AU301" s="49">
        <f t="shared" si="90"/>
        <v>0.57142857142857151</v>
      </c>
    </row>
    <row r="302" spans="2:47" x14ac:dyDescent="0.25">
      <c r="B302" s="48">
        <f>IF('Resultado da inspeção'!F302='Resultado da inspeção'!$W$4,0%,Ranking!B$5)</f>
        <v>0.02</v>
      </c>
      <c r="C302" s="48">
        <f>IF('Resultado da inspeção'!G302='Resultado da inspeção'!$W$4,0%,Ranking!C$5)</f>
        <v>0.03</v>
      </c>
      <c r="D302" s="48">
        <f>IF('Resultado da inspeção'!H302='Resultado da inspeção'!$W$4,0%,Ranking!D$5)</f>
        <v>0.03</v>
      </c>
      <c r="E302" s="48">
        <f>IF('Resultado da inspeção'!I302='Resultado da inspeção'!$W$4,0%,Ranking!E$5)</f>
        <v>0.1</v>
      </c>
      <c r="F302" s="48">
        <f>IF('Resultado da inspeção'!J302='Resultado da inspeção'!$W$4,0%,Ranking!F$5)</f>
        <v>0.21</v>
      </c>
      <c r="G302" s="48">
        <f>IF('Resultado da inspeção'!K302='Resultado da inspeção'!$W$4,0%,Ranking!G$5)</f>
        <v>0.05</v>
      </c>
      <c r="H302" s="48">
        <f>IF('Resultado da inspeção'!L302='Resultado da inspeção'!$W$4,0%,Ranking!H$5)</f>
        <v>0.24</v>
      </c>
      <c r="I302" s="48">
        <f>IF('Resultado da inspeção'!M302='Resultado da inspeção'!$W$4,0%,Ranking!I$5)</f>
        <v>0</v>
      </c>
      <c r="J302" s="48">
        <f>IF('Resultado da inspeção'!N302='Resultado da inspeção'!$W$4,0%,Ranking!J$5)</f>
        <v>0</v>
      </c>
      <c r="K302" s="48">
        <f>IF('Resultado da inspeção'!O302='Resultado da inspeção'!$W$4,0%,Ranking!K$5)</f>
        <v>0.06</v>
      </c>
      <c r="L302" s="48">
        <f>IF('Resultado da inspeção'!P302='Resultado da inspeção'!$W$4,0%,Ranking!L$5)</f>
        <v>0.08</v>
      </c>
      <c r="M302" s="48">
        <f>IF('Resultado da inspeção'!Q302='Resultado da inspeção'!$W$4,0%,Ranking!M$5)</f>
        <v>0.05</v>
      </c>
      <c r="N302" s="48">
        <f>IF('Resultado da inspeção'!R302='Resultado da inspeção'!$W$4,0%,Ranking!N$5)</f>
        <v>0.02</v>
      </c>
      <c r="O302" s="48">
        <f>IF('Resultado da inspeção'!S302='Resultado da inspeção'!$W$4,0%,Ranking!O$5)</f>
        <v>0.02</v>
      </c>
      <c r="P302" s="47">
        <f t="shared" si="73"/>
        <v>0.91</v>
      </c>
      <c r="Q302" s="49">
        <f t="shared" si="88"/>
        <v>8.9999999999999969E-2</v>
      </c>
      <c r="R302" s="50">
        <f t="shared" si="74"/>
        <v>2.1978021978021976E-2</v>
      </c>
      <c r="S302" s="50">
        <f t="shared" si="75"/>
        <v>3.2967032967032968E-2</v>
      </c>
      <c r="T302" s="50">
        <f t="shared" si="76"/>
        <v>3.2967032967032968E-2</v>
      </c>
      <c r="U302" s="50">
        <f t="shared" si="77"/>
        <v>0.10989010989010989</v>
      </c>
      <c r="V302" s="50">
        <f t="shared" si="78"/>
        <v>0.23076923076923075</v>
      </c>
      <c r="W302" s="50">
        <f t="shared" si="79"/>
        <v>5.4945054945054944E-2</v>
      </c>
      <c r="X302" s="50">
        <f t="shared" si="80"/>
        <v>0.26373626373626374</v>
      </c>
      <c r="Y302" s="50">
        <f t="shared" si="81"/>
        <v>0</v>
      </c>
      <c r="Z302" s="50">
        <f t="shared" si="82"/>
        <v>0</v>
      </c>
      <c r="AA302" s="50">
        <f t="shared" si="83"/>
        <v>6.5934065934065936E-2</v>
      </c>
      <c r="AB302" s="50">
        <f t="shared" si="84"/>
        <v>8.7912087912087905E-2</v>
      </c>
      <c r="AC302" s="50">
        <f t="shared" si="85"/>
        <v>5.4945054945054944E-2</v>
      </c>
      <c r="AD302" s="50">
        <f t="shared" si="86"/>
        <v>2.1978021978021976E-2</v>
      </c>
      <c r="AE302" s="50">
        <f t="shared" si="87"/>
        <v>2.1978021978021976E-2</v>
      </c>
      <c r="AF302" s="47">
        <f t="shared" si="89"/>
        <v>1</v>
      </c>
      <c r="AG302" s="50">
        <f>IF('Resultado da inspeção'!F302='Resultado da inspeção'!$W$3,0%,Ranking!R302)</f>
        <v>2.1978021978021976E-2</v>
      </c>
      <c r="AH302" s="50">
        <f>IF('Resultado da inspeção'!G302='Resultado da inspeção'!$W$3,0%,Ranking!S302)</f>
        <v>3.2967032967032968E-2</v>
      </c>
      <c r="AI302" s="50">
        <f>IF('Resultado da inspeção'!H302='Resultado da inspeção'!$W$3,0%,Ranking!T302)</f>
        <v>3.2967032967032968E-2</v>
      </c>
      <c r="AJ302" s="50">
        <f>IF('Resultado da inspeção'!I302='Resultado da inspeção'!$W$3,0%,Ranking!U302)</f>
        <v>0</v>
      </c>
      <c r="AK302" s="50">
        <f>IF('Resultado da inspeção'!J302='Resultado da inspeção'!$W$3,0%,Ranking!V302)</f>
        <v>0.23076923076923075</v>
      </c>
      <c r="AL302" s="50">
        <f>IF('Resultado da inspeção'!K302='Resultado da inspeção'!$W$3,0%,Ranking!W302)</f>
        <v>5.4945054945054944E-2</v>
      </c>
      <c r="AM302" s="50">
        <f>IF('Resultado da inspeção'!L302='Resultado da inspeção'!$W$3,0%,Ranking!X302)</f>
        <v>0.26373626373626374</v>
      </c>
      <c r="AN302" s="50">
        <f>IF('Resultado da inspeção'!M302='Resultado da inspeção'!$W$3,0%,Ranking!Y302)</f>
        <v>0</v>
      </c>
      <c r="AO302" s="50">
        <f>IF('Resultado da inspeção'!N302='Resultado da inspeção'!$W$3,0%,Ranking!Z302)</f>
        <v>0</v>
      </c>
      <c r="AP302" s="50">
        <f>IF('Resultado da inspeção'!O302='Resultado da inspeção'!$W$3,0%,Ranking!AA302)</f>
        <v>6.5934065934065936E-2</v>
      </c>
      <c r="AQ302" s="50">
        <f>IF('Resultado da inspeção'!P302='Resultado da inspeção'!$W$3,0%,Ranking!AB302)</f>
        <v>8.7912087912087905E-2</v>
      </c>
      <c r="AR302" s="50">
        <f>IF('Resultado da inspeção'!Q302='Resultado da inspeção'!$W$3,0%,Ranking!AC302)</f>
        <v>5.4945054945054944E-2</v>
      </c>
      <c r="AS302" s="50">
        <f>IF('Resultado da inspeção'!R302='Resultado da inspeção'!$W$3,0%,Ranking!AD302)</f>
        <v>2.1978021978021976E-2</v>
      </c>
      <c r="AT302" s="50">
        <f>IF('Resultado da inspeção'!S302='Resultado da inspeção'!$W$3,0%,Ranking!AE302)</f>
        <v>2.1978021978021976E-2</v>
      </c>
      <c r="AU302" s="49">
        <f t="shared" si="90"/>
        <v>0.89010989010989017</v>
      </c>
    </row>
    <row r="303" spans="2:47" x14ac:dyDescent="0.25">
      <c r="B303" s="48">
        <f>IF('Resultado da inspeção'!F303='Resultado da inspeção'!$W$4,0%,Ranking!B$5)</f>
        <v>0.02</v>
      </c>
      <c r="C303" s="48">
        <f>IF('Resultado da inspeção'!G303='Resultado da inspeção'!$W$4,0%,Ranking!C$5)</f>
        <v>0.03</v>
      </c>
      <c r="D303" s="48">
        <f>IF('Resultado da inspeção'!H303='Resultado da inspeção'!$W$4,0%,Ranking!D$5)</f>
        <v>0.03</v>
      </c>
      <c r="E303" s="48">
        <f>IF('Resultado da inspeção'!I303='Resultado da inspeção'!$W$4,0%,Ranking!E$5)</f>
        <v>0.1</v>
      </c>
      <c r="F303" s="48">
        <f>IF('Resultado da inspeção'!J303='Resultado da inspeção'!$W$4,0%,Ranking!F$5)</f>
        <v>0.21</v>
      </c>
      <c r="G303" s="48">
        <f>IF('Resultado da inspeção'!K303='Resultado da inspeção'!$W$4,0%,Ranking!G$5)</f>
        <v>0.05</v>
      </c>
      <c r="H303" s="48">
        <f>IF('Resultado da inspeção'!L303='Resultado da inspeção'!$W$4,0%,Ranking!H$5)</f>
        <v>0.24</v>
      </c>
      <c r="I303" s="48">
        <f>IF('Resultado da inspeção'!M303='Resultado da inspeção'!$W$4,0%,Ranking!I$5)</f>
        <v>0</v>
      </c>
      <c r="J303" s="48">
        <f>IF('Resultado da inspeção'!N303='Resultado da inspeção'!$W$4,0%,Ranking!J$5)</f>
        <v>0</v>
      </c>
      <c r="K303" s="48">
        <f>IF('Resultado da inspeção'!O303='Resultado da inspeção'!$W$4,0%,Ranking!K$5)</f>
        <v>0.06</v>
      </c>
      <c r="L303" s="48">
        <f>IF('Resultado da inspeção'!P303='Resultado da inspeção'!$W$4,0%,Ranking!L$5)</f>
        <v>0.08</v>
      </c>
      <c r="M303" s="48">
        <f>IF('Resultado da inspeção'!Q303='Resultado da inspeção'!$W$4,0%,Ranking!M$5)</f>
        <v>0.05</v>
      </c>
      <c r="N303" s="48">
        <f>IF('Resultado da inspeção'!R303='Resultado da inspeção'!$W$4,0%,Ranking!N$5)</f>
        <v>0.02</v>
      </c>
      <c r="O303" s="48">
        <f>IF('Resultado da inspeção'!S303='Resultado da inspeção'!$W$4,0%,Ranking!O$5)</f>
        <v>0.02</v>
      </c>
      <c r="P303" s="47">
        <f t="shared" si="73"/>
        <v>0.91</v>
      </c>
      <c r="Q303" s="49">
        <f t="shared" si="88"/>
        <v>8.9999999999999969E-2</v>
      </c>
      <c r="R303" s="50">
        <f t="shared" si="74"/>
        <v>2.1978021978021976E-2</v>
      </c>
      <c r="S303" s="50">
        <f t="shared" si="75"/>
        <v>3.2967032967032968E-2</v>
      </c>
      <c r="T303" s="50">
        <f t="shared" si="76"/>
        <v>3.2967032967032968E-2</v>
      </c>
      <c r="U303" s="50">
        <f t="shared" si="77"/>
        <v>0.10989010989010989</v>
      </c>
      <c r="V303" s="50">
        <f t="shared" si="78"/>
        <v>0.23076923076923075</v>
      </c>
      <c r="W303" s="50">
        <f t="shared" si="79"/>
        <v>5.4945054945054944E-2</v>
      </c>
      <c r="X303" s="50">
        <f t="shared" si="80"/>
        <v>0.26373626373626374</v>
      </c>
      <c r="Y303" s="50">
        <f t="shared" si="81"/>
        <v>0</v>
      </c>
      <c r="Z303" s="50">
        <f t="shared" si="82"/>
        <v>0</v>
      </c>
      <c r="AA303" s="50">
        <f t="shared" si="83"/>
        <v>6.5934065934065936E-2</v>
      </c>
      <c r="AB303" s="50">
        <f t="shared" si="84"/>
        <v>8.7912087912087905E-2</v>
      </c>
      <c r="AC303" s="50">
        <f t="shared" si="85"/>
        <v>5.4945054945054944E-2</v>
      </c>
      <c r="AD303" s="50">
        <f t="shared" si="86"/>
        <v>2.1978021978021976E-2</v>
      </c>
      <c r="AE303" s="50">
        <f t="shared" si="87"/>
        <v>2.1978021978021976E-2</v>
      </c>
      <c r="AF303" s="47">
        <f t="shared" si="89"/>
        <v>1</v>
      </c>
      <c r="AG303" s="50">
        <f>IF('Resultado da inspeção'!F303='Resultado da inspeção'!$W$3,0%,Ranking!R303)</f>
        <v>2.1978021978021976E-2</v>
      </c>
      <c r="AH303" s="50">
        <f>IF('Resultado da inspeção'!G303='Resultado da inspeção'!$W$3,0%,Ranking!S303)</f>
        <v>3.2967032967032968E-2</v>
      </c>
      <c r="AI303" s="50">
        <f>IF('Resultado da inspeção'!H303='Resultado da inspeção'!$W$3,0%,Ranking!T303)</f>
        <v>3.2967032967032968E-2</v>
      </c>
      <c r="AJ303" s="50">
        <f>IF('Resultado da inspeção'!I303='Resultado da inspeção'!$W$3,0%,Ranking!U303)</f>
        <v>0</v>
      </c>
      <c r="AK303" s="50">
        <f>IF('Resultado da inspeção'!J303='Resultado da inspeção'!$W$3,0%,Ranking!V303)</f>
        <v>0.23076923076923075</v>
      </c>
      <c r="AL303" s="50">
        <f>IF('Resultado da inspeção'!K303='Resultado da inspeção'!$W$3,0%,Ranking!W303)</f>
        <v>5.4945054945054944E-2</v>
      </c>
      <c r="AM303" s="50">
        <f>IF('Resultado da inspeção'!L303='Resultado da inspeção'!$W$3,0%,Ranking!X303)</f>
        <v>0.26373626373626374</v>
      </c>
      <c r="AN303" s="50">
        <f>IF('Resultado da inspeção'!M303='Resultado da inspeção'!$W$3,0%,Ranking!Y303)</f>
        <v>0</v>
      </c>
      <c r="AO303" s="50">
        <f>IF('Resultado da inspeção'!N303='Resultado da inspeção'!$W$3,0%,Ranking!Z303)</f>
        <v>0</v>
      </c>
      <c r="AP303" s="50">
        <f>IF('Resultado da inspeção'!O303='Resultado da inspeção'!$W$3,0%,Ranking!AA303)</f>
        <v>6.5934065934065936E-2</v>
      </c>
      <c r="AQ303" s="50">
        <f>IF('Resultado da inspeção'!P303='Resultado da inspeção'!$W$3,0%,Ranking!AB303)</f>
        <v>8.7912087912087905E-2</v>
      </c>
      <c r="AR303" s="50">
        <f>IF('Resultado da inspeção'!Q303='Resultado da inspeção'!$W$3,0%,Ranking!AC303)</f>
        <v>5.4945054945054944E-2</v>
      </c>
      <c r="AS303" s="50">
        <f>IF('Resultado da inspeção'!R303='Resultado da inspeção'!$W$3,0%,Ranking!AD303)</f>
        <v>2.1978021978021976E-2</v>
      </c>
      <c r="AT303" s="50">
        <f>IF('Resultado da inspeção'!S303='Resultado da inspeção'!$W$3,0%,Ranking!AE303)</f>
        <v>2.1978021978021976E-2</v>
      </c>
      <c r="AU303" s="49">
        <f t="shared" si="90"/>
        <v>0.89010989010989017</v>
      </c>
    </row>
    <row r="304" spans="2:47" x14ac:dyDescent="0.25">
      <c r="B304" s="48">
        <f>IF('Resultado da inspeção'!F304='Resultado da inspeção'!$W$4,0%,Ranking!B$5)</f>
        <v>0.02</v>
      </c>
      <c r="C304" s="48">
        <f>IF('Resultado da inspeção'!G304='Resultado da inspeção'!$W$4,0%,Ranking!C$5)</f>
        <v>0.03</v>
      </c>
      <c r="D304" s="48">
        <f>IF('Resultado da inspeção'!H304='Resultado da inspeção'!$W$4,0%,Ranking!D$5)</f>
        <v>0.03</v>
      </c>
      <c r="E304" s="48">
        <f>IF('Resultado da inspeção'!I304='Resultado da inspeção'!$W$4,0%,Ranking!E$5)</f>
        <v>0.1</v>
      </c>
      <c r="F304" s="48">
        <f>IF('Resultado da inspeção'!J304='Resultado da inspeção'!$W$4,0%,Ranking!F$5)</f>
        <v>0.21</v>
      </c>
      <c r="G304" s="48">
        <f>IF('Resultado da inspeção'!K304='Resultado da inspeção'!$W$4,0%,Ranking!G$5)</f>
        <v>0.05</v>
      </c>
      <c r="H304" s="48">
        <f>IF('Resultado da inspeção'!L304='Resultado da inspeção'!$W$4,0%,Ranking!H$5)</f>
        <v>0.24</v>
      </c>
      <c r="I304" s="48">
        <f>IF('Resultado da inspeção'!M304='Resultado da inspeção'!$W$4,0%,Ranking!I$5)</f>
        <v>0</v>
      </c>
      <c r="J304" s="48">
        <f>IF('Resultado da inspeção'!N304='Resultado da inspeção'!$W$4,0%,Ranking!J$5)</f>
        <v>0</v>
      </c>
      <c r="K304" s="48">
        <f>IF('Resultado da inspeção'!O304='Resultado da inspeção'!$W$4,0%,Ranking!K$5)</f>
        <v>0.06</v>
      </c>
      <c r="L304" s="48">
        <f>IF('Resultado da inspeção'!P304='Resultado da inspeção'!$W$4,0%,Ranking!L$5)</f>
        <v>0.08</v>
      </c>
      <c r="M304" s="48">
        <f>IF('Resultado da inspeção'!Q304='Resultado da inspeção'!$W$4,0%,Ranking!M$5)</f>
        <v>0.05</v>
      </c>
      <c r="N304" s="48">
        <f>IF('Resultado da inspeção'!R304='Resultado da inspeção'!$W$4,0%,Ranking!N$5)</f>
        <v>0.02</v>
      </c>
      <c r="O304" s="48">
        <f>IF('Resultado da inspeção'!S304='Resultado da inspeção'!$W$4,0%,Ranking!O$5)</f>
        <v>0.02</v>
      </c>
      <c r="P304" s="47">
        <f t="shared" si="73"/>
        <v>0.91</v>
      </c>
      <c r="Q304" s="49">
        <f t="shared" si="88"/>
        <v>8.9999999999999969E-2</v>
      </c>
      <c r="R304" s="50">
        <f t="shared" si="74"/>
        <v>2.1978021978021976E-2</v>
      </c>
      <c r="S304" s="50">
        <f t="shared" si="75"/>
        <v>3.2967032967032968E-2</v>
      </c>
      <c r="T304" s="50">
        <f t="shared" si="76"/>
        <v>3.2967032967032968E-2</v>
      </c>
      <c r="U304" s="50">
        <f t="shared" si="77"/>
        <v>0.10989010989010989</v>
      </c>
      <c r="V304" s="50">
        <f t="shared" si="78"/>
        <v>0.23076923076923075</v>
      </c>
      <c r="W304" s="50">
        <f t="shared" si="79"/>
        <v>5.4945054945054944E-2</v>
      </c>
      <c r="X304" s="50">
        <f t="shared" si="80"/>
        <v>0.26373626373626374</v>
      </c>
      <c r="Y304" s="50">
        <f t="shared" si="81"/>
        <v>0</v>
      </c>
      <c r="Z304" s="50">
        <f t="shared" si="82"/>
        <v>0</v>
      </c>
      <c r="AA304" s="50">
        <f t="shared" si="83"/>
        <v>6.5934065934065936E-2</v>
      </c>
      <c r="AB304" s="50">
        <f t="shared" si="84"/>
        <v>8.7912087912087905E-2</v>
      </c>
      <c r="AC304" s="50">
        <f t="shared" si="85"/>
        <v>5.4945054945054944E-2</v>
      </c>
      <c r="AD304" s="50">
        <f t="shared" si="86"/>
        <v>2.1978021978021976E-2</v>
      </c>
      <c r="AE304" s="50">
        <f t="shared" si="87"/>
        <v>2.1978021978021976E-2</v>
      </c>
      <c r="AF304" s="47">
        <f t="shared" si="89"/>
        <v>1</v>
      </c>
      <c r="AG304" s="50">
        <f>IF('Resultado da inspeção'!F304='Resultado da inspeção'!$W$3,0%,Ranking!R304)</f>
        <v>2.1978021978021976E-2</v>
      </c>
      <c r="AH304" s="50">
        <f>IF('Resultado da inspeção'!G304='Resultado da inspeção'!$W$3,0%,Ranking!S304)</f>
        <v>3.2967032967032968E-2</v>
      </c>
      <c r="AI304" s="50">
        <f>IF('Resultado da inspeção'!H304='Resultado da inspeção'!$W$3,0%,Ranking!T304)</f>
        <v>3.2967032967032968E-2</v>
      </c>
      <c r="AJ304" s="50">
        <f>IF('Resultado da inspeção'!I304='Resultado da inspeção'!$W$3,0%,Ranking!U304)</f>
        <v>0</v>
      </c>
      <c r="AK304" s="50">
        <f>IF('Resultado da inspeção'!J304='Resultado da inspeção'!$W$3,0%,Ranking!V304)</f>
        <v>0.23076923076923075</v>
      </c>
      <c r="AL304" s="50">
        <f>IF('Resultado da inspeção'!K304='Resultado da inspeção'!$W$3,0%,Ranking!W304)</f>
        <v>5.4945054945054944E-2</v>
      </c>
      <c r="AM304" s="50">
        <f>IF('Resultado da inspeção'!L304='Resultado da inspeção'!$W$3,0%,Ranking!X304)</f>
        <v>0.26373626373626374</v>
      </c>
      <c r="AN304" s="50">
        <f>IF('Resultado da inspeção'!M304='Resultado da inspeção'!$W$3,0%,Ranking!Y304)</f>
        <v>0</v>
      </c>
      <c r="AO304" s="50">
        <f>IF('Resultado da inspeção'!N304='Resultado da inspeção'!$W$3,0%,Ranking!Z304)</f>
        <v>0</v>
      </c>
      <c r="AP304" s="50">
        <f>IF('Resultado da inspeção'!O304='Resultado da inspeção'!$W$3,0%,Ranking!AA304)</f>
        <v>6.5934065934065936E-2</v>
      </c>
      <c r="AQ304" s="50">
        <f>IF('Resultado da inspeção'!P304='Resultado da inspeção'!$W$3,0%,Ranking!AB304)</f>
        <v>8.7912087912087905E-2</v>
      </c>
      <c r="AR304" s="50">
        <f>IF('Resultado da inspeção'!Q304='Resultado da inspeção'!$W$3,0%,Ranking!AC304)</f>
        <v>5.4945054945054944E-2</v>
      </c>
      <c r="AS304" s="50">
        <f>IF('Resultado da inspeção'!R304='Resultado da inspeção'!$W$3,0%,Ranking!AD304)</f>
        <v>2.1978021978021976E-2</v>
      </c>
      <c r="AT304" s="50">
        <f>IF('Resultado da inspeção'!S304='Resultado da inspeção'!$W$3,0%,Ranking!AE304)</f>
        <v>2.1978021978021976E-2</v>
      </c>
      <c r="AU304" s="49">
        <f t="shared" si="90"/>
        <v>0.89010989010989017</v>
      </c>
    </row>
    <row r="305" spans="2:47" x14ac:dyDescent="0.25">
      <c r="B305" s="48">
        <f>IF('Resultado da inspeção'!F305='Resultado da inspeção'!$W$4,0%,Ranking!B$5)</f>
        <v>0.02</v>
      </c>
      <c r="C305" s="48">
        <f>IF('Resultado da inspeção'!G305='Resultado da inspeção'!$W$4,0%,Ranking!C$5)</f>
        <v>0.03</v>
      </c>
      <c r="D305" s="48">
        <f>IF('Resultado da inspeção'!H305='Resultado da inspeção'!$W$4,0%,Ranking!D$5)</f>
        <v>0.03</v>
      </c>
      <c r="E305" s="48">
        <f>IF('Resultado da inspeção'!I305='Resultado da inspeção'!$W$4,0%,Ranking!E$5)</f>
        <v>0.1</v>
      </c>
      <c r="F305" s="48">
        <f>IF('Resultado da inspeção'!J305='Resultado da inspeção'!$W$4,0%,Ranking!F$5)</f>
        <v>0.21</v>
      </c>
      <c r="G305" s="48">
        <f>IF('Resultado da inspeção'!K305='Resultado da inspeção'!$W$4,0%,Ranking!G$5)</f>
        <v>0.05</v>
      </c>
      <c r="H305" s="48">
        <f>IF('Resultado da inspeção'!L305='Resultado da inspeção'!$W$4,0%,Ranking!H$5)</f>
        <v>0.24</v>
      </c>
      <c r="I305" s="48">
        <f>IF('Resultado da inspeção'!M305='Resultado da inspeção'!$W$4,0%,Ranking!I$5)</f>
        <v>0</v>
      </c>
      <c r="J305" s="48">
        <f>IF('Resultado da inspeção'!N305='Resultado da inspeção'!$W$4,0%,Ranking!J$5)</f>
        <v>0</v>
      </c>
      <c r="K305" s="48">
        <f>IF('Resultado da inspeção'!O305='Resultado da inspeção'!$W$4,0%,Ranking!K$5)</f>
        <v>0.06</v>
      </c>
      <c r="L305" s="48">
        <f>IF('Resultado da inspeção'!P305='Resultado da inspeção'!$W$4,0%,Ranking!L$5)</f>
        <v>0.08</v>
      </c>
      <c r="M305" s="48">
        <f>IF('Resultado da inspeção'!Q305='Resultado da inspeção'!$W$4,0%,Ranking!M$5)</f>
        <v>0.05</v>
      </c>
      <c r="N305" s="48">
        <f>IF('Resultado da inspeção'!R305='Resultado da inspeção'!$W$4,0%,Ranking!N$5)</f>
        <v>0.02</v>
      </c>
      <c r="O305" s="48">
        <f>IF('Resultado da inspeção'!S305='Resultado da inspeção'!$W$4,0%,Ranking!O$5)</f>
        <v>0.02</v>
      </c>
      <c r="P305" s="47">
        <f t="shared" si="73"/>
        <v>0.91</v>
      </c>
      <c r="Q305" s="49">
        <f t="shared" si="88"/>
        <v>8.9999999999999969E-2</v>
      </c>
      <c r="R305" s="50">
        <f t="shared" si="74"/>
        <v>2.1978021978021976E-2</v>
      </c>
      <c r="S305" s="50">
        <f t="shared" si="75"/>
        <v>3.2967032967032968E-2</v>
      </c>
      <c r="T305" s="50">
        <f t="shared" si="76"/>
        <v>3.2967032967032968E-2</v>
      </c>
      <c r="U305" s="50">
        <f t="shared" si="77"/>
        <v>0.10989010989010989</v>
      </c>
      <c r="V305" s="50">
        <f t="shared" si="78"/>
        <v>0.23076923076923075</v>
      </c>
      <c r="W305" s="50">
        <f t="shared" si="79"/>
        <v>5.4945054945054944E-2</v>
      </c>
      <c r="X305" s="50">
        <f t="shared" si="80"/>
        <v>0.26373626373626374</v>
      </c>
      <c r="Y305" s="50">
        <f t="shared" si="81"/>
        <v>0</v>
      </c>
      <c r="Z305" s="50">
        <f t="shared" si="82"/>
        <v>0</v>
      </c>
      <c r="AA305" s="50">
        <f t="shared" si="83"/>
        <v>6.5934065934065936E-2</v>
      </c>
      <c r="AB305" s="50">
        <f t="shared" si="84"/>
        <v>8.7912087912087905E-2</v>
      </c>
      <c r="AC305" s="50">
        <f t="shared" si="85"/>
        <v>5.4945054945054944E-2</v>
      </c>
      <c r="AD305" s="50">
        <f t="shared" si="86"/>
        <v>2.1978021978021976E-2</v>
      </c>
      <c r="AE305" s="50">
        <f t="shared" si="87"/>
        <v>2.1978021978021976E-2</v>
      </c>
      <c r="AF305" s="47">
        <f t="shared" si="89"/>
        <v>1</v>
      </c>
      <c r="AG305" s="50">
        <f>IF('Resultado da inspeção'!F305='Resultado da inspeção'!$W$3,0%,Ranking!R305)</f>
        <v>2.1978021978021976E-2</v>
      </c>
      <c r="AH305" s="50">
        <f>IF('Resultado da inspeção'!G305='Resultado da inspeção'!$W$3,0%,Ranking!S305)</f>
        <v>3.2967032967032968E-2</v>
      </c>
      <c r="AI305" s="50">
        <f>IF('Resultado da inspeção'!H305='Resultado da inspeção'!$W$3,0%,Ranking!T305)</f>
        <v>3.2967032967032968E-2</v>
      </c>
      <c r="AJ305" s="50">
        <f>IF('Resultado da inspeção'!I305='Resultado da inspeção'!$W$3,0%,Ranking!U305)</f>
        <v>0</v>
      </c>
      <c r="AK305" s="50">
        <f>IF('Resultado da inspeção'!J305='Resultado da inspeção'!$W$3,0%,Ranking!V305)</f>
        <v>0.23076923076923075</v>
      </c>
      <c r="AL305" s="50">
        <f>IF('Resultado da inspeção'!K305='Resultado da inspeção'!$W$3,0%,Ranking!W305)</f>
        <v>5.4945054945054944E-2</v>
      </c>
      <c r="AM305" s="50">
        <f>IF('Resultado da inspeção'!L305='Resultado da inspeção'!$W$3,0%,Ranking!X305)</f>
        <v>0.26373626373626374</v>
      </c>
      <c r="AN305" s="50">
        <f>IF('Resultado da inspeção'!M305='Resultado da inspeção'!$W$3,0%,Ranking!Y305)</f>
        <v>0</v>
      </c>
      <c r="AO305" s="50">
        <f>IF('Resultado da inspeção'!N305='Resultado da inspeção'!$W$3,0%,Ranking!Z305)</f>
        <v>0</v>
      </c>
      <c r="AP305" s="50">
        <f>IF('Resultado da inspeção'!O305='Resultado da inspeção'!$W$3,0%,Ranking!AA305)</f>
        <v>6.5934065934065936E-2</v>
      </c>
      <c r="AQ305" s="50">
        <f>IF('Resultado da inspeção'!P305='Resultado da inspeção'!$W$3,0%,Ranking!AB305)</f>
        <v>8.7912087912087905E-2</v>
      </c>
      <c r="AR305" s="50">
        <f>IF('Resultado da inspeção'!Q305='Resultado da inspeção'!$W$3,0%,Ranking!AC305)</f>
        <v>5.4945054945054944E-2</v>
      </c>
      <c r="AS305" s="50">
        <f>IF('Resultado da inspeção'!R305='Resultado da inspeção'!$W$3,0%,Ranking!AD305)</f>
        <v>2.1978021978021976E-2</v>
      </c>
      <c r="AT305" s="50">
        <f>IF('Resultado da inspeção'!S305='Resultado da inspeção'!$W$3,0%,Ranking!AE305)</f>
        <v>2.1978021978021976E-2</v>
      </c>
      <c r="AU305" s="49">
        <f t="shared" si="90"/>
        <v>0.89010989010989017</v>
      </c>
    </row>
    <row r="306" spans="2:47" x14ac:dyDescent="0.25">
      <c r="B306" s="48">
        <f>IF('Resultado da inspeção'!F306='Resultado da inspeção'!$W$4,0%,Ranking!B$5)</f>
        <v>0.02</v>
      </c>
      <c r="C306" s="48">
        <f>IF('Resultado da inspeção'!G306='Resultado da inspeção'!$W$4,0%,Ranking!C$5)</f>
        <v>0.03</v>
      </c>
      <c r="D306" s="48">
        <f>IF('Resultado da inspeção'!H306='Resultado da inspeção'!$W$4,0%,Ranking!D$5)</f>
        <v>0.03</v>
      </c>
      <c r="E306" s="48">
        <f>IF('Resultado da inspeção'!I306='Resultado da inspeção'!$W$4,0%,Ranking!E$5)</f>
        <v>0.1</v>
      </c>
      <c r="F306" s="48">
        <f>IF('Resultado da inspeção'!J306='Resultado da inspeção'!$W$4,0%,Ranking!F$5)</f>
        <v>0.21</v>
      </c>
      <c r="G306" s="48">
        <f>IF('Resultado da inspeção'!K306='Resultado da inspeção'!$W$4,0%,Ranking!G$5)</f>
        <v>0.05</v>
      </c>
      <c r="H306" s="48">
        <f>IF('Resultado da inspeção'!L306='Resultado da inspeção'!$W$4,0%,Ranking!H$5)</f>
        <v>0.24</v>
      </c>
      <c r="I306" s="48">
        <f>IF('Resultado da inspeção'!M306='Resultado da inspeção'!$W$4,0%,Ranking!I$5)</f>
        <v>0</v>
      </c>
      <c r="J306" s="48">
        <f>IF('Resultado da inspeção'!N306='Resultado da inspeção'!$W$4,0%,Ranking!J$5)</f>
        <v>0</v>
      </c>
      <c r="K306" s="48">
        <f>IF('Resultado da inspeção'!O306='Resultado da inspeção'!$W$4,0%,Ranking!K$5)</f>
        <v>0.06</v>
      </c>
      <c r="L306" s="48">
        <f>IF('Resultado da inspeção'!P306='Resultado da inspeção'!$W$4,0%,Ranking!L$5)</f>
        <v>0.08</v>
      </c>
      <c r="M306" s="48">
        <f>IF('Resultado da inspeção'!Q306='Resultado da inspeção'!$W$4,0%,Ranking!M$5)</f>
        <v>0.05</v>
      </c>
      <c r="N306" s="48">
        <f>IF('Resultado da inspeção'!R306='Resultado da inspeção'!$W$4,0%,Ranking!N$5)</f>
        <v>0.02</v>
      </c>
      <c r="O306" s="48">
        <f>IF('Resultado da inspeção'!S306='Resultado da inspeção'!$W$4,0%,Ranking!O$5)</f>
        <v>0.02</v>
      </c>
      <c r="P306" s="47">
        <f t="shared" si="73"/>
        <v>0.91</v>
      </c>
      <c r="Q306" s="49">
        <f t="shared" si="88"/>
        <v>8.9999999999999969E-2</v>
      </c>
      <c r="R306" s="50">
        <f t="shared" si="74"/>
        <v>2.1978021978021976E-2</v>
      </c>
      <c r="S306" s="50">
        <f t="shared" si="75"/>
        <v>3.2967032967032968E-2</v>
      </c>
      <c r="T306" s="50">
        <f t="shared" si="76"/>
        <v>3.2967032967032968E-2</v>
      </c>
      <c r="U306" s="50">
        <f t="shared" si="77"/>
        <v>0.10989010989010989</v>
      </c>
      <c r="V306" s="50">
        <f t="shared" si="78"/>
        <v>0.23076923076923075</v>
      </c>
      <c r="W306" s="50">
        <f t="shared" si="79"/>
        <v>5.4945054945054944E-2</v>
      </c>
      <c r="X306" s="50">
        <f t="shared" si="80"/>
        <v>0.26373626373626374</v>
      </c>
      <c r="Y306" s="50">
        <f t="shared" si="81"/>
        <v>0</v>
      </c>
      <c r="Z306" s="50">
        <f t="shared" si="82"/>
        <v>0</v>
      </c>
      <c r="AA306" s="50">
        <f t="shared" si="83"/>
        <v>6.5934065934065936E-2</v>
      </c>
      <c r="AB306" s="50">
        <f t="shared" si="84"/>
        <v>8.7912087912087905E-2</v>
      </c>
      <c r="AC306" s="50">
        <f t="shared" si="85"/>
        <v>5.4945054945054944E-2</v>
      </c>
      <c r="AD306" s="50">
        <f t="shared" si="86"/>
        <v>2.1978021978021976E-2</v>
      </c>
      <c r="AE306" s="50">
        <f t="shared" si="87"/>
        <v>2.1978021978021976E-2</v>
      </c>
      <c r="AF306" s="47">
        <f t="shared" si="89"/>
        <v>1</v>
      </c>
      <c r="AG306" s="50">
        <f>IF('Resultado da inspeção'!F306='Resultado da inspeção'!$W$3,0%,Ranking!R306)</f>
        <v>2.1978021978021976E-2</v>
      </c>
      <c r="AH306" s="50">
        <f>IF('Resultado da inspeção'!G306='Resultado da inspeção'!$W$3,0%,Ranking!S306)</f>
        <v>3.2967032967032968E-2</v>
      </c>
      <c r="AI306" s="50">
        <f>IF('Resultado da inspeção'!H306='Resultado da inspeção'!$W$3,0%,Ranking!T306)</f>
        <v>3.2967032967032968E-2</v>
      </c>
      <c r="AJ306" s="50">
        <f>IF('Resultado da inspeção'!I306='Resultado da inspeção'!$W$3,0%,Ranking!U306)</f>
        <v>0</v>
      </c>
      <c r="AK306" s="50">
        <f>IF('Resultado da inspeção'!J306='Resultado da inspeção'!$W$3,0%,Ranking!V306)</f>
        <v>0.23076923076923075</v>
      </c>
      <c r="AL306" s="50">
        <f>IF('Resultado da inspeção'!K306='Resultado da inspeção'!$W$3,0%,Ranking!W306)</f>
        <v>5.4945054945054944E-2</v>
      </c>
      <c r="AM306" s="50">
        <f>IF('Resultado da inspeção'!L306='Resultado da inspeção'!$W$3,0%,Ranking!X306)</f>
        <v>0</v>
      </c>
      <c r="AN306" s="50">
        <f>IF('Resultado da inspeção'!M306='Resultado da inspeção'!$W$3,0%,Ranking!Y306)</f>
        <v>0</v>
      </c>
      <c r="AO306" s="50">
        <f>IF('Resultado da inspeção'!N306='Resultado da inspeção'!$W$3,0%,Ranking!Z306)</f>
        <v>0</v>
      </c>
      <c r="AP306" s="50">
        <f>IF('Resultado da inspeção'!O306='Resultado da inspeção'!$W$3,0%,Ranking!AA306)</f>
        <v>6.5934065934065936E-2</v>
      </c>
      <c r="AQ306" s="50">
        <f>IF('Resultado da inspeção'!P306='Resultado da inspeção'!$W$3,0%,Ranking!AB306)</f>
        <v>8.7912087912087905E-2</v>
      </c>
      <c r="AR306" s="50">
        <f>IF('Resultado da inspeção'!Q306='Resultado da inspeção'!$W$3,0%,Ranking!AC306)</f>
        <v>5.4945054945054944E-2</v>
      </c>
      <c r="AS306" s="50">
        <f>IF('Resultado da inspeção'!R306='Resultado da inspeção'!$W$3,0%,Ranking!AD306)</f>
        <v>2.1978021978021976E-2</v>
      </c>
      <c r="AT306" s="50">
        <f>IF('Resultado da inspeção'!S306='Resultado da inspeção'!$W$3,0%,Ranking!AE306)</f>
        <v>2.1978021978021976E-2</v>
      </c>
      <c r="AU306" s="49">
        <f t="shared" si="90"/>
        <v>0.62637362637362648</v>
      </c>
    </row>
    <row r="307" spans="2:47" x14ac:dyDescent="0.25">
      <c r="B307" s="48">
        <f>IF('Resultado da inspeção'!F307='Resultado da inspeção'!$W$4,0%,Ranking!B$5)</f>
        <v>0.02</v>
      </c>
      <c r="C307" s="48">
        <f>IF('Resultado da inspeção'!G307='Resultado da inspeção'!$W$4,0%,Ranking!C$5)</f>
        <v>0.03</v>
      </c>
      <c r="D307" s="48">
        <f>IF('Resultado da inspeção'!H307='Resultado da inspeção'!$W$4,0%,Ranking!D$5)</f>
        <v>0.03</v>
      </c>
      <c r="E307" s="48">
        <f>IF('Resultado da inspeção'!I307='Resultado da inspeção'!$W$4,0%,Ranking!E$5)</f>
        <v>0.1</v>
      </c>
      <c r="F307" s="48">
        <f>IF('Resultado da inspeção'!J307='Resultado da inspeção'!$W$4,0%,Ranking!F$5)</f>
        <v>0.21</v>
      </c>
      <c r="G307" s="48">
        <f>IF('Resultado da inspeção'!K307='Resultado da inspeção'!$W$4,0%,Ranking!G$5)</f>
        <v>0.05</v>
      </c>
      <c r="H307" s="48">
        <f>IF('Resultado da inspeção'!L307='Resultado da inspeção'!$W$4,0%,Ranking!H$5)</f>
        <v>0.24</v>
      </c>
      <c r="I307" s="48">
        <f>IF('Resultado da inspeção'!M307='Resultado da inspeção'!$W$4,0%,Ranking!I$5)</f>
        <v>0</v>
      </c>
      <c r="J307" s="48">
        <f>IF('Resultado da inspeção'!N307='Resultado da inspeção'!$W$4,0%,Ranking!J$5)</f>
        <v>0</v>
      </c>
      <c r="K307" s="48">
        <f>IF('Resultado da inspeção'!O307='Resultado da inspeção'!$W$4,0%,Ranking!K$5)</f>
        <v>0.06</v>
      </c>
      <c r="L307" s="48">
        <f>IF('Resultado da inspeção'!P307='Resultado da inspeção'!$W$4,0%,Ranking!L$5)</f>
        <v>0.08</v>
      </c>
      <c r="M307" s="48">
        <f>IF('Resultado da inspeção'!Q307='Resultado da inspeção'!$W$4,0%,Ranking!M$5)</f>
        <v>0.05</v>
      </c>
      <c r="N307" s="48">
        <f>IF('Resultado da inspeção'!R307='Resultado da inspeção'!$W$4,0%,Ranking!N$5)</f>
        <v>0.02</v>
      </c>
      <c r="O307" s="48">
        <f>IF('Resultado da inspeção'!S307='Resultado da inspeção'!$W$4,0%,Ranking!O$5)</f>
        <v>0.02</v>
      </c>
      <c r="P307" s="47">
        <f t="shared" si="73"/>
        <v>0.91</v>
      </c>
      <c r="Q307" s="49">
        <f t="shared" si="88"/>
        <v>8.9999999999999969E-2</v>
      </c>
      <c r="R307" s="50">
        <f t="shared" si="74"/>
        <v>2.1978021978021976E-2</v>
      </c>
      <c r="S307" s="50">
        <f t="shared" si="75"/>
        <v>3.2967032967032968E-2</v>
      </c>
      <c r="T307" s="50">
        <f t="shared" si="76"/>
        <v>3.2967032967032968E-2</v>
      </c>
      <c r="U307" s="50">
        <f t="shared" si="77"/>
        <v>0.10989010989010989</v>
      </c>
      <c r="V307" s="50">
        <f t="shared" si="78"/>
        <v>0.23076923076923075</v>
      </c>
      <c r="W307" s="50">
        <f t="shared" si="79"/>
        <v>5.4945054945054944E-2</v>
      </c>
      <c r="X307" s="50">
        <f t="shared" si="80"/>
        <v>0.26373626373626374</v>
      </c>
      <c r="Y307" s="50">
        <f t="shared" si="81"/>
        <v>0</v>
      </c>
      <c r="Z307" s="50">
        <f t="shared" si="82"/>
        <v>0</v>
      </c>
      <c r="AA307" s="50">
        <f t="shared" si="83"/>
        <v>6.5934065934065936E-2</v>
      </c>
      <c r="AB307" s="50">
        <f t="shared" si="84"/>
        <v>8.7912087912087905E-2</v>
      </c>
      <c r="AC307" s="50">
        <f t="shared" si="85"/>
        <v>5.4945054945054944E-2</v>
      </c>
      <c r="AD307" s="50">
        <f t="shared" si="86"/>
        <v>2.1978021978021976E-2</v>
      </c>
      <c r="AE307" s="50">
        <f t="shared" si="87"/>
        <v>2.1978021978021976E-2</v>
      </c>
      <c r="AF307" s="47">
        <f t="shared" si="89"/>
        <v>1</v>
      </c>
      <c r="AG307" s="50">
        <f>IF('Resultado da inspeção'!F307='Resultado da inspeção'!$W$3,0%,Ranking!R307)</f>
        <v>2.1978021978021976E-2</v>
      </c>
      <c r="AH307" s="50">
        <f>IF('Resultado da inspeção'!G307='Resultado da inspeção'!$W$3,0%,Ranking!S307)</f>
        <v>3.2967032967032968E-2</v>
      </c>
      <c r="AI307" s="50">
        <f>IF('Resultado da inspeção'!H307='Resultado da inspeção'!$W$3,0%,Ranking!T307)</f>
        <v>3.2967032967032968E-2</v>
      </c>
      <c r="AJ307" s="50">
        <f>IF('Resultado da inspeção'!I307='Resultado da inspeção'!$W$3,0%,Ranking!U307)</f>
        <v>0</v>
      </c>
      <c r="AK307" s="50">
        <f>IF('Resultado da inspeção'!J307='Resultado da inspeção'!$W$3,0%,Ranking!V307)</f>
        <v>0.23076923076923075</v>
      </c>
      <c r="AL307" s="50">
        <f>IF('Resultado da inspeção'!K307='Resultado da inspeção'!$W$3,0%,Ranking!W307)</f>
        <v>5.4945054945054944E-2</v>
      </c>
      <c r="AM307" s="50">
        <f>IF('Resultado da inspeção'!L307='Resultado da inspeção'!$W$3,0%,Ranking!X307)</f>
        <v>0.26373626373626374</v>
      </c>
      <c r="AN307" s="50">
        <f>IF('Resultado da inspeção'!M307='Resultado da inspeção'!$W$3,0%,Ranking!Y307)</f>
        <v>0</v>
      </c>
      <c r="AO307" s="50">
        <f>IF('Resultado da inspeção'!N307='Resultado da inspeção'!$W$3,0%,Ranking!Z307)</f>
        <v>0</v>
      </c>
      <c r="AP307" s="50">
        <f>IF('Resultado da inspeção'!O307='Resultado da inspeção'!$W$3,0%,Ranking!AA307)</f>
        <v>6.5934065934065936E-2</v>
      </c>
      <c r="AQ307" s="50">
        <f>IF('Resultado da inspeção'!P307='Resultado da inspeção'!$W$3,0%,Ranking!AB307)</f>
        <v>8.7912087912087905E-2</v>
      </c>
      <c r="AR307" s="50">
        <f>IF('Resultado da inspeção'!Q307='Resultado da inspeção'!$W$3,0%,Ranking!AC307)</f>
        <v>5.4945054945054944E-2</v>
      </c>
      <c r="AS307" s="50">
        <f>IF('Resultado da inspeção'!R307='Resultado da inspeção'!$W$3,0%,Ranking!AD307)</f>
        <v>2.1978021978021976E-2</v>
      </c>
      <c r="AT307" s="50">
        <f>IF('Resultado da inspeção'!S307='Resultado da inspeção'!$W$3,0%,Ranking!AE307)</f>
        <v>2.1978021978021976E-2</v>
      </c>
      <c r="AU307" s="49">
        <f t="shared" si="90"/>
        <v>0.89010989010989017</v>
      </c>
    </row>
    <row r="308" spans="2:47" x14ac:dyDescent="0.25">
      <c r="B308" s="48">
        <f>IF('Resultado da inspeção'!F308='Resultado da inspeção'!$W$4,0%,Ranking!B$5)</f>
        <v>0.02</v>
      </c>
      <c r="C308" s="48">
        <f>IF('Resultado da inspeção'!G308='Resultado da inspeção'!$W$4,0%,Ranking!C$5)</f>
        <v>0.03</v>
      </c>
      <c r="D308" s="48">
        <f>IF('Resultado da inspeção'!H308='Resultado da inspeção'!$W$4,0%,Ranking!D$5)</f>
        <v>0.03</v>
      </c>
      <c r="E308" s="48">
        <f>IF('Resultado da inspeção'!I308='Resultado da inspeção'!$W$4,0%,Ranking!E$5)</f>
        <v>0.1</v>
      </c>
      <c r="F308" s="48">
        <f>IF('Resultado da inspeção'!J308='Resultado da inspeção'!$W$4,0%,Ranking!F$5)</f>
        <v>0.21</v>
      </c>
      <c r="G308" s="48">
        <f>IF('Resultado da inspeção'!K308='Resultado da inspeção'!$W$4,0%,Ranking!G$5)</f>
        <v>0.05</v>
      </c>
      <c r="H308" s="48">
        <f>IF('Resultado da inspeção'!L308='Resultado da inspeção'!$W$4,0%,Ranking!H$5)</f>
        <v>0.24</v>
      </c>
      <c r="I308" s="48">
        <f>IF('Resultado da inspeção'!M308='Resultado da inspeção'!$W$4,0%,Ranking!I$5)</f>
        <v>0</v>
      </c>
      <c r="J308" s="48">
        <f>IF('Resultado da inspeção'!N308='Resultado da inspeção'!$W$4,0%,Ranking!J$5)</f>
        <v>0</v>
      </c>
      <c r="K308" s="48">
        <f>IF('Resultado da inspeção'!O308='Resultado da inspeção'!$W$4,0%,Ranking!K$5)</f>
        <v>0.06</v>
      </c>
      <c r="L308" s="48">
        <f>IF('Resultado da inspeção'!P308='Resultado da inspeção'!$W$4,0%,Ranking!L$5)</f>
        <v>0.08</v>
      </c>
      <c r="M308" s="48">
        <f>IF('Resultado da inspeção'!Q308='Resultado da inspeção'!$W$4,0%,Ranking!M$5)</f>
        <v>0.05</v>
      </c>
      <c r="N308" s="48">
        <f>IF('Resultado da inspeção'!R308='Resultado da inspeção'!$W$4,0%,Ranking!N$5)</f>
        <v>0.02</v>
      </c>
      <c r="O308" s="48">
        <f>IF('Resultado da inspeção'!S308='Resultado da inspeção'!$W$4,0%,Ranking!O$5)</f>
        <v>0.02</v>
      </c>
      <c r="P308" s="47">
        <f t="shared" si="73"/>
        <v>0.91</v>
      </c>
      <c r="Q308" s="49">
        <f t="shared" si="88"/>
        <v>8.9999999999999969E-2</v>
      </c>
      <c r="R308" s="50">
        <f t="shared" si="74"/>
        <v>2.1978021978021976E-2</v>
      </c>
      <c r="S308" s="50">
        <f t="shared" si="75"/>
        <v>3.2967032967032968E-2</v>
      </c>
      <c r="T308" s="50">
        <f t="shared" si="76"/>
        <v>3.2967032967032968E-2</v>
      </c>
      <c r="U308" s="50">
        <f t="shared" si="77"/>
        <v>0.10989010989010989</v>
      </c>
      <c r="V308" s="50">
        <f t="shared" si="78"/>
        <v>0.23076923076923075</v>
      </c>
      <c r="W308" s="50">
        <f t="shared" si="79"/>
        <v>5.4945054945054944E-2</v>
      </c>
      <c r="X308" s="50">
        <f t="shared" si="80"/>
        <v>0.26373626373626374</v>
      </c>
      <c r="Y308" s="50">
        <f t="shared" si="81"/>
        <v>0</v>
      </c>
      <c r="Z308" s="50">
        <f t="shared" si="82"/>
        <v>0</v>
      </c>
      <c r="AA308" s="50">
        <f t="shared" si="83"/>
        <v>6.5934065934065936E-2</v>
      </c>
      <c r="AB308" s="50">
        <f t="shared" si="84"/>
        <v>8.7912087912087905E-2</v>
      </c>
      <c r="AC308" s="50">
        <f t="shared" si="85"/>
        <v>5.4945054945054944E-2</v>
      </c>
      <c r="AD308" s="50">
        <f t="shared" si="86"/>
        <v>2.1978021978021976E-2</v>
      </c>
      <c r="AE308" s="50">
        <f t="shared" si="87"/>
        <v>2.1978021978021976E-2</v>
      </c>
      <c r="AF308" s="47">
        <f t="shared" si="89"/>
        <v>1</v>
      </c>
      <c r="AG308" s="50">
        <f>IF('Resultado da inspeção'!F308='Resultado da inspeção'!$W$3,0%,Ranking!R308)</f>
        <v>2.1978021978021976E-2</v>
      </c>
      <c r="AH308" s="50">
        <f>IF('Resultado da inspeção'!G308='Resultado da inspeção'!$W$3,0%,Ranking!S308)</f>
        <v>3.2967032967032968E-2</v>
      </c>
      <c r="AI308" s="50">
        <f>IF('Resultado da inspeção'!H308='Resultado da inspeção'!$W$3,0%,Ranking!T308)</f>
        <v>3.2967032967032968E-2</v>
      </c>
      <c r="AJ308" s="50">
        <f>IF('Resultado da inspeção'!I308='Resultado da inspeção'!$W$3,0%,Ranking!U308)</f>
        <v>0</v>
      </c>
      <c r="AK308" s="50">
        <f>IF('Resultado da inspeção'!J308='Resultado da inspeção'!$W$3,0%,Ranking!V308)</f>
        <v>0.23076923076923075</v>
      </c>
      <c r="AL308" s="50">
        <f>IF('Resultado da inspeção'!K308='Resultado da inspeção'!$W$3,0%,Ranking!W308)</f>
        <v>5.4945054945054944E-2</v>
      </c>
      <c r="AM308" s="50">
        <f>IF('Resultado da inspeção'!L308='Resultado da inspeção'!$W$3,0%,Ranking!X308)</f>
        <v>0.26373626373626374</v>
      </c>
      <c r="AN308" s="50">
        <f>IF('Resultado da inspeção'!M308='Resultado da inspeção'!$W$3,0%,Ranking!Y308)</f>
        <v>0</v>
      </c>
      <c r="AO308" s="50">
        <f>IF('Resultado da inspeção'!N308='Resultado da inspeção'!$W$3,0%,Ranking!Z308)</f>
        <v>0</v>
      </c>
      <c r="AP308" s="50">
        <f>IF('Resultado da inspeção'!O308='Resultado da inspeção'!$W$3,0%,Ranking!AA308)</f>
        <v>6.5934065934065936E-2</v>
      </c>
      <c r="AQ308" s="50">
        <f>IF('Resultado da inspeção'!P308='Resultado da inspeção'!$W$3,0%,Ranking!AB308)</f>
        <v>8.7912087912087905E-2</v>
      </c>
      <c r="AR308" s="50">
        <f>IF('Resultado da inspeção'!Q308='Resultado da inspeção'!$W$3,0%,Ranking!AC308)</f>
        <v>5.4945054945054944E-2</v>
      </c>
      <c r="AS308" s="50">
        <f>IF('Resultado da inspeção'!R308='Resultado da inspeção'!$W$3,0%,Ranking!AD308)</f>
        <v>2.1978021978021976E-2</v>
      </c>
      <c r="AT308" s="50">
        <f>IF('Resultado da inspeção'!S308='Resultado da inspeção'!$W$3,0%,Ranking!AE308)</f>
        <v>2.1978021978021976E-2</v>
      </c>
      <c r="AU308" s="49">
        <f t="shared" si="90"/>
        <v>0.89010989010989017</v>
      </c>
    </row>
    <row r="309" spans="2:47" x14ac:dyDescent="0.25">
      <c r="B309" s="48">
        <f>IF('Resultado da inspeção'!F309='Resultado da inspeção'!$W$4,0%,Ranking!B$5)</f>
        <v>0.02</v>
      </c>
      <c r="C309" s="48">
        <f>IF('Resultado da inspeção'!G309='Resultado da inspeção'!$W$4,0%,Ranking!C$5)</f>
        <v>0.03</v>
      </c>
      <c r="D309" s="48">
        <f>IF('Resultado da inspeção'!H309='Resultado da inspeção'!$W$4,0%,Ranking!D$5)</f>
        <v>0.03</v>
      </c>
      <c r="E309" s="48">
        <f>IF('Resultado da inspeção'!I309='Resultado da inspeção'!$W$4,0%,Ranking!E$5)</f>
        <v>0.1</v>
      </c>
      <c r="F309" s="48">
        <f>IF('Resultado da inspeção'!J309='Resultado da inspeção'!$W$4,0%,Ranking!F$5)</f>
        <v>0.21</v>
      </c>
      <c r="G309" s="48">
        <f>IF('Resultado da inspeção'!K309='Resultado da inspeção'!$W$4,0%,Ranking!G$5)</f>
        <v>0.05</v>
      </c>
      <c r="H309" s="48">
        <f>IF('Resultado da inspeção'!L309='Resultado da inspeção'!$W$4,0%,Ranking!H$5)</f>
        <v>0.24</v>
      </c>
      <c r="I309" s="48">
        <f>IF('Resultado da inspeção'!M309='Resultado da inspeção'!$W$4,0%,Ranking!I$5)</f>
        <v>0</v>
      </c>
      <c r="J309" s="48">
        <f>IF('Resultado da inspeção'!N309='Resultado da inspeção'!$W$4,0%,Ranking!J$5)</f>
        <v>0</v>
      </c>
      <c r="K309" s="48">
        <f>IF('Resultado da inspeção'!O309='Resultado da inspeção'!$W$4,0%,Ranking!K$5)</f>
        <v>0.06</v>
      </c>
      <c r="L309" s="48">
        <f>IF('Resultado da inspeção'!P309='Resultado da inspeção'!$W$4,0%,Ranking!L$5)</f>
        <v>0.08</v>
      </c>
      <c r="M309" s="48">
        <f>IF('Resultado da inspeção'!Q309='Resultado da inspeção'!$W$4,0%,Ranking!M$5)</f>
        <v>0.05</v>
      </c>
      <c r="N309" s="48">
        <f>IF('Resultado da inspeção'!R309='Resultado da inspeção'!$W$4,0%,Ranking!N$5)</f>
        <v>0.02</v>
      </c>
      <c r="O309" s="48">
        <f>IF('Resultado da inspeção'!S309='Resultado da inspeção'!$W$4,0%,Ranking!O$5)</f>
        <v>0.02</v>
      </c>
      <c r="P309" s="47">
        <f t="shared" si="73"/>
        <v>0.91</v>
      </c>
      <c r="Q309" s="49">
        <f t="shared" si="88"/>
        <v>8.9999999999999969E-2</v>
      </c>
      <c r="R309" s="50">
        <f t="shared" si="74"/>
        <v>2.1978021978021976E-2</v>
      </c>
      <c r="S309" s="50">
        <f t="shared" si="75"/>
        <v>3.2967032967032968E-2</v>
      </c>
      <c r="T309" s="50">
        <f t="shared" si="76"/>
        <v>3.2967032967032968E-2</v>
      </c>
      <c r="U309" s="50">
        <f t="shared" si="77"/>
        <v>0.10989010989010989</v>
      </c>
      <c r="V309" s="50">
        <f t="shared" si="78"/>
        <v>0.23076923076923075</v>
      </c>
      <c r="W309" s="50">
        <f t="shared" si="79"/>
        <v>5.4945054945054944E-2</v>
      </c>
      <c r="X309" s="50">
        <f t="shared" si="80"/>
        <v>0.26373626373626374</v>
      </c>
      <c r="Y309" s="50">
        <f t="shared" si="81"/>
        <v>0</v>
      </c>
      <c r="Z309" s="50">
        <f t="shared" si="82"/>
        <v>0</v>
      </c>
      <c r="AA309" s="50">
        <f t="shared" si="83"/>
        <v>6.5934065934065936E-2</v>
      </c>
      <c r="AB309" s="50">
        <f t="shared" si="84"/>
        <v>8.7912087912087905E-2</v>
      </c>
      <c r="AC309" s="50">
        <f t="shared" si="85"/>
        <v>5.4945054945054944E-2</v>
      </c>
      <c r="AD309" s="50">
        <f t="shared" si="86"/>
        <v>2.1978021978021976E-2</v>
      </c>
      <c r="AE309" s="50">
        <f t="shared" si="87"/>
        <v>2.1978021978021976E-2</v>
      </c>
      <c r="AF309" s="47">
        <f t="shared" si="89"/>
        <v>1</v>
      </c>
      <c r="AG309" s="50">
        <f>IF('Resultado da inspeção'!F309='Resultado da inspeção'!$W$3,0%,Ranking!R309)</f>
        <v>2.1978021978021976E-2</v>
      </c>
      <c r="AH309" s="50">
        <f>IF('Resultado da inspeção'!G309='Resultado da inspeção'!$W$3,0%,Ranking!S309)</f>
        <v>3.2967032967032968E-2</v>
      </c>
      <c r="AI309" s="50">
        <f>IF('Resultado da inspeção'!H309='Resultado da inspeção'!$W$3,0%,Ranking!T309)</f>
        <v>3.2967032967032968E-2</v>
      </c>
      <c r="AJ309" s="50">
        <f>IF('Resultado da inspeção'!I309='Resultado da inspeção'!$W$3,0%,Ranking!U309)</f>
        <v>0</v>
      </c>
      <c r="AK309" s="50">
        <f>IF('Resultado da inspeção'!J309='Resultado da inspeção'!$W$3,0%,Ranking!V309)</f>
        <v>0.23076923076923075</v>
      </c>
      <c r="AL309" s="50">
        <f>IF('Resultado da inspeção'!K309='Resultado da inspeção'!$W$3,0%,Ranking!W309)</f>
        <v>5.4945054945054944E-2</v>
      </c>
      <c r="AM309" s="50">
        <f>IF('Resultado da inspeção'!L309='Resultado da inspeção'!$W$3,0%,Ranking!X309)</f>
        <v>0.26373626373626374</v>
      </c>
      <c r="AN309" s="50">
        <f>IF('Resultado da inspeção'!M309='Resultado da inspeção'!$W$3,0%,Ranking!Y309)</f>
        <v>0</v>
      </c>
      <c r="AO309" s="50">
        <f>IF('Resultado da inspeção'!N309='Resultado da inspeção'!$W$3,0%,Ranking!Z309)</f>
        <v>0</v>
      </c>
      <c r="AP309" s="50">
        <f>IF('Resultado da inspeção'!O309='Resultado da inspeção'!$W$3,0%,Ranking!AA309)</f>
        <v>6.5934065934065936E-2</v>
      </c>
      <c r="AQ309" s="50">
        <f>IF('Resultado da inspeção'!P309='Resultado da inspeção'!$W$3,0%,Ranking!AB309)</f>
        <v>8.7912087912087905E-2</v>
      </c>
      <c r="AR309" s="50">
        <f>IF('Resultado da inspeção'!Q309='Resultado da inspeção'!$W$3,0%,Ranking!AC309)</f>
        <v>5.4945054945054944E-2</v>
      </c>
      <c r="AS309" s="50">
        <f>IF('Resultado da inspeção'!R309='Resultado da inspeção'!$W$3,0%,Ranking!AD309)</f>
        <v>2.1978021978021976E-2</v>
      </c>
      <c r="AT309" s="50">
        <f>IF('Resultado da inspeção'!S309='Resultado da inspeção'!$W$3,0%,Ranking!AE309)</f>
        <v>2.1978021978021976E-2</v>
      </c>
      <c r="AU309" s="49">
        <f t="shared" si="90"/>
        <v>0.89010989010989017</v>
      </c>
    </row>
    <row r="310" spans="2:47" x14ac:dyDescent="0.25">
      <c r="B310" s="48">
        <f>IF('Resultado da inspeção'!F310='Resultado da inspeção'!$W$4,0%,Ranking!B$5)</f>
        <v>0.02</v>
      </c>
      <c r="C310" s="48">
        <f>IF('Resultado da inspeção'!G310='Resultado da inspeção'!$W$4,0%,Ranking!C$5)</f>
        <v>0.03</v>
      </c>
      <c r="D310" s="48">
        <f>IF('Resultado da inspeção'!H310='Resultado da inspeção'!$W$4,0%,Ranking!D$5)</f>
        <v>0.03</v>
      </c>
      <c r="E310" s="48">
        <f>IF('Resultado da inspeção'!I310='Resultado da inspeção'!$W$4,0%,Ranking!E$5)</f>
        <v>0.1</v>
      </c>
      <c r="F310" s="48">
        <f>IF('Resultado da inspeção'!J310='Resultado da inspeção'!$W$4,0%,Ranking!F$5)</f>
        <v>0.21</v>
      </c>
      <c r="G310" s="48">
        <f>IF('Resultado da inspeção'!K310='Resultado da inspeção'!$W$4,0%,Ranking!G$5)</f>
        <v>0.05</v>
      </c>
      <c r="H310" s="48">
        <f>IF('Resultado da inspeção'!L310='Resultado da inspeção'!$W$4,0%,Ranking!H$5)</f>
        <v>0.24</v>
      </c>
      <c r="I310" s="48">
        <f>IF('Resultado da inspeção'!M310='Resultado da inspeção'!$W$4,0%,Ranking!I$5)</f>
        <v>0</v>
      </c>
      <c r="J310" s="48">
        <f>IF('Resultado da inspeção'!N310='Resultado da inspeção'!$W$4,0%,Ranking!J$5)</f>
        <v>0</v>
      </c>
      <c r="K310" s="48">
        <f>IF('Resultado da inspeção'!O310='Resultado da inspeção'!$W$4,0%,Ranking!K$5)</f>
        <v>0.06</v>
      </c>
      <c r="L310" s="48">
        <f>IF('Resultado da inspeção'!P310='Resultado da inspeção'!$W$4,0%,Ranking!L$5)</f>
        <v>0.08</v>
      </c>
      <c r="M310" s="48">
        <f>IF('Resultado da inspeção'!Q310='Resultado da inspeção'!$W$4,0%,Ranking!M$5)</f>
        <v>0.05</v>
      </c>
      <c r="N310" s="48">
        <f>IF('Resultado da inspeção'!R310='Resultado da inspeção'!$W$4,0%,Ranking!N$5)</f>
        <v>0.02</v>
      </c>
      <c r="O310" s="48">
        <f>IF('Resultado da inspeção'!S310='Resultado da inspeção'!$W$4,0%,Ranking!O$5)</f>
        <v>0.02</v>
      </c>
      <c r="P310" s="47">
        <f t="shared" si="73"/>
        <v>0.91</v>
      </c>
      <c r="Q310" s="49">
        <f t="shared" si="88"/>
        <v>8.9999999999999969E-2</v>
      </c>
      <c r="R310" s="50">
        <f t="shared" si="74"/>
        <v>2.1978021978021976E-2</v>
      </c>
      <c r="S310" s="50">
        <f t="shared" si="75"/>
        <v>3.2967032967032968E-2</v>
      </c>
      <c r="T310" s="50">
        <f t="shared" si="76"/>
        <v>3.2967032967032968E-2</v>
      </c>
      <c r="U310" s="50">
        <f t="shared" si="77"/>
        <v>0.10989010989010989</v>
      </c>
      <c r="V310" s="50">
        <f t="shared" si="78"/>
        <v>0.23076923076923075</v>
      </c>
      <c r="W310" s="50">
        <f t="shared" si="79"/>
        <v>5.4945054945054944E-2</v>
      </c>
      <c r="X310" s="50">
        <f t="shared" si="80"/>
        <v>0.26373626373626374</v>
      </c>
      <c r="Y310" s="50">
        <f t="shared" si="81"/>
        <v>0</v>
      </c>
      <c r="Z310" s="50">
        <f t="shared" si="82"/>
        <v>0</v>
      </c>
      <c r="AA310" s="50">
        <f t="shared" si="83"/>
        <v>6.5934065934065936E-2</v>
      </c>
      <c r="AB310" s="50">
        <f t="shared" si="84"/>
        <v>8.7912087912087905E-2</v>
      </c>
      <c r="AC310" s="50">
        <f t="shared" si="85"/>
        <v>5.4945054945054944E-2</v>
      </c>
      <c r="AD310" s="50">
        <f t="shared" si="86"/>
        <v>2.1978021978021976E-2</v>
      </c>
      <c r="AE310" s="50">
        <f t="shared" si="87"/>
        <v>2.1978021978021976E-2</v>
      </c>
      <c r="AF310" s="47">
        <f t="shared" si="89"/>
        <v>1</v>
      </c>
      <c r="AG310" s="50">
        <f>IF('Resultado da inspeção'!F310='Resultado da inspeção'!$W$3,0%,Ranking!R310)</f>
        <v>2.1978021978021976E-2</v>
      </c>
      <c r="AH310" s="50">
        <f>IF('Resultado da inspeção'!G310='Resultado da inspeção'!$W$3,0%,Ranking!S310)</f>
        <v>3.2967032967032968E-2</v>
      </c>
      <c r="AI310" s="50">
        <f>IF('Resultado da inspeção'!H310='Resultado da inspeção'!$W$3,0%,Ranking!T310)</f>
        <v>3.2967032967032968E-2</v>
      </c>
      <c r="AJ310" s="50">
        <f>IF('Resultado da inspeção'!I310='Resultado da inspeção'!$W$3,0%,Ranking!U310)</f>
        <v>0</v>
      </c>
      <c r="AK310" s="50">
        <f>IF('Resultado da inspeção'!J310='Resultado da inspeção'!$W$3,0%,Ranking!V310)</f>
        <v>0.23076923076923075</v>
      </c>
      <c r="AL310" s="50">
        <f>IF('Resultado da inspeção'!K310='Resultado da inspeção'!$W$3,0%,Ranking!W310)</f>
        <v>5.4945054945054944E-2</v>
      </c>
      <c r="AM310" s="50">
        <f>IF('Resultado da inspeção'!L310='Resultado da inspeção'!$W$3,0%,Ranking!X310)</f>
        <v>0.26373626373626374</v>
      </c>
      <c r="AN310" s="50">
        <f>IF('Resultado da inspeção'!M310='Resultado da inspeção'!$W$3,0%,Ranking!Y310)</f>
        <v>0</v>
      </c>
      <c r="AO310" s="50">
        <f>IF('Resultado da inspeção'!N310='Resultado da inspeção'!$W$3,0%,Ranking!Z310)</f>
        <v>0</v>
      </c>
      <c r="AP310" s="50">
        <f>IF('Resultado da inspeção'!O310='Resultado da inspeção'!$W$3,0%,Ranking!AA310)</f>
        <v>6.5934065934065936E-2</v>
      </c>
      <c r="AQ310" s="50">
        <f>IF('Resultado da inspeção'!P310='Resultado da inspeção'!$W$3,0%,Ranking!AB310)</f>
        <v>8.7912087912087905E-2</v>
      </c>
      <c r="AR310" s="50">
        <f>IF('Resultado da inspeção'!Q310='Resultado da inspeção'!$W$3,0%,Ranking!AC310)</f>
        <v>5.4945054945054944E-2</v>
      </c>
      <c r="AS310" s="50">
        <f>IF('Resultado da inspeção'!R310='Resultado da inspeção'!$W$3,0%,Ranking!AD310)</f>
        <v>2.1978021978021976E-2</v>
      </c>
      <c r="AT310" s="50">
        <f>IF('Resultado da inspeção'!S310='Resultado da inspeção'!$W$3,0%,Ranking!AE310)</f>
        <v>2.1978021978021976E-2</v>
      </c>
      <c r="AU310" s="49">
        <f t="shared" si="90"/>
        <v>0.89010989010989017</v>
      </c>
    </row>
    <row r="311" spans="2:47" x14ac:dyDescent="0.25">
      <c r="B311" s="48">
        <f>IF('Resultado da inspeção'!F311='Resultado da inspeção'!$W$4,0%,Ranking!B$5)</f>
        <v>0.02</v>
      </c>
      <c r="C311" s="48">
        <f>IF('Resultado da inspeção'!G311='Resultado da inspeção'!$W$4,0%,Ranking!C$5)</f>
        <v>0.03</v>
      </c>
      <c r="D311" s="48">
        <f>IF('Resultado da inspeção'!H311='Resultado da inspeção'!$W$4,0%,Ranking!D$5)</f>
        <v>0.03</v>
      </c>
      <c r="E311" s="48">
        <f>IF('Resultado da inspeção'!I311='Resultado da inspeção'!$W$4,0%,Ranking!E$5)</f>
        <v>0</v>
      </c>
      <c r="F311" s="48">
        <f>IF('Resultado da inspeção'!J311='Resultado da inspeção'!$W$4,0%,Ranking!F$5)</f>
        <v>0.21</v>
      </c>
      <c r="G311" s="48">
        <f>IF('Resultado da inspeção'!K311='Resultado da inspeção'!$W$4,0%,Ranking!G$5)</f>
        <v>0.05</v>
      </c>
      <c r="H311" s="48">
        <f>IF('Resultado da inspeção'!L311='Resultado da inspeção'!$W$4,0%,Ranking!H$5)</f>
        <v>0</v>
      </c>
      <c r="I311" s="48">
        <f>IF('Resultado da inspeção'!M311='Resultado da inspeção'!$W$4,0%,Ranking!I$5)</f>
        <v>0</v>
      </c>
      <c r="J311" s="48">
        <f>IF('Resultado da inspeção'!N311='Resultado da inspeção'!$W$4,0%,Ranking!J$5)</f>
        <v>0</v>
      </c>
      <c r="K311" s="48">
        <f>IF('Resultado da inspeção'!O311='Resultado da inspeção'!$W$4,0%,Ranking!K$5)</f>
        <v>0.06</v>
      </c>
      <c r="L311" s="48">
        <f>IF('Resultado da inspeção'!P311='Resultado da inspeção'!$W$4,0%,Ranking!L$5)</f>
        <v>0.08</v>
      </c>
      <c r="M311" s="48">
        <f>IF('Resultado da inspeção'!Q311='Resultado da inspeção'!$W$4,0%,Ranking!M$5)</f>
        <v>0.05</v>
      </c>
      <c r="N311" s="48">
        <f>IF('Resultado da inspeção'!R311='Resultado da inspeção'!$W$4,0%,Ranking!N$5)</f>
        <v>0.02</v>
      </c>
      <c r="O311" s="48">
        <f>IF('Resultado da inspeção'!S311='Resultado da inspeção'!$W$4,0%,Ranking!O$5)</f>
        <v>0.02</v>
      </c>
      <c r="P311" s="47">
        <f t="shared" si="73"/>
        <v>0.57000000000000006</v>
      </c>
      <c r="Q311" s="49">
        <f t="shared" si="88"/>
        <v>0.42999999999999994</v>
      </c>
      <c r="R311" s="50">
        <f t="shared" si="74"/>
        <v>3.5087719298245612E-2</v>
      </c>
      <c r="S311" s="50">
        <f t="shared" si="75"/>
        <v>5.2631578947368411E-2</v>
      </c>
      <c r="T311" s="50">
        <f t="shared" si="76"/>
        <v>5.2631578947368411E-2</v>
      </c>
      <c r="U311" s="50">
        <f t="shared" si="77"/>
        <v>0</v>
      </c>
      <c r="V311" s="50">
        <f t="shared" si="78"/>
        <v>0.36842105263157887</v>
      </c>
      <c r="W311" s="50">
        <f t="shared" si="79"/>
        <v>8.771929824561403E-2</v>
      </c>
      <c r="X311" s="50">
        <f t="shared" si="80"/>
        <v>0</v>
      </c>
      <c r="Y311" s="50">
        <f t="shared" si="81"/>
        <v>0</v>
      </c>
      <c r="Z311" s="50">
        <f t="shared" si="82"/>
        <v>0</v>
      </c>
      <c r="AA311" s="50">
        <f t="shared" si="83"/>
        <v>0.10526315789473682</v>
      </c>
      <c r="AB311" s="50">
        <f t="shared" si="84"/>
        <v>0.14035087719298245</v>
      </c>
      <c r="AC311" s="50">
        <f t="shared" si="85"/>
        <v>8.771929824561403E-2</v>
      </c>
      <c r="AD311" s="50">
        <f t="shared" si="86"/>
        <v>3.5087719298245612E-2</v>
      </c>
      <c r="AE311" s="50">
        <f t="shared" si="87"/>
        <v>3.5087719298245612E-2</v>
      </c>
      <c r="AF311" s="47">
        <f t="shared" si="89"/>
        <v>0.99999999999999978</v>
      </c>
      <c r="AG311" s="50">
        <f>IF('Resultado da inspeção'!F311='Resultado da inspeção'!$W$3,0%,Ranking!R311)</f>
        <v>3.5087719298245612E-2</v>
      </c>
      <c r="AH311" s="50">
        <f>IF('Resultado da inspeção'!G311='Resultado da inspeção'!$W$3,0%,Ranking!S311)</f>
        <v>0</v>
      </c>
      <c r="AI311" s="50">
        <f>IF('Resultado da inspeção'!H311='Resultado da inspeção'!$W$3,0%,Ranking!T311)</f>
        <v>0</v>
      </c>
      <c r="AJ311" s="50">
        <f>IF('Resultado da inspeção'!I311='Resultado da inspeção'!$W$3,0%,Ranking!U311)</f>
        <v>0</v>
      </c>
      <c r="AK311" s="50">
        <f>IF('Resultado da inspeção'!J311='Resultado da inspeção'!$W$3,0%,Ranking!V311)</f>
        <v>0</v>
      </c>
      <c r="AL311" s="50">
        <f>IF('Resultado da inspeção'!K311='Resultado da inspeção'!$W$3,0%,Ranking!W311)</f>
        <v>0</v>
      </c>
      <c r="AM311" s="50">
        <f>IF('Resultado da inspeção'!L311='Resultado da inspeção'!$W$3,0%,Ranking!X311)</f>
        <v>0</v>
      </c>
      <c r="AN311" s="50">
        <f>IF('Resultado da inspeção'!M311='Resultado da inspeção'!$W$3,0%,Ranking!Y311)</f>
        <v>0</v>
      </c>
      <c r="AO311" s="50">
        <f>IF('Resultado da inspeção'!N311='Resultado da inspeção'!$W$3,0%,Ranking!Z311)</f>
        <v>0</v>
      </c>
      <c r="AP311" s="50">
        <f>IF('Resultado da inspeção'!O311='Resultado da inspeção'!$W$3,0%,Ranking!AA311)</f>
        <v>0.10526315789473682</v>
      </c>
      <c r="AQ311" s="50">
        <f>IF('Resultado da inspeção'!P311='Resultado da inspeção'!$W$3,0%,Ranking!AB311)</f>
        <v>0.14035087719298245</v>
      </c>
      <c r="AR311" s="50">
        <f>IF('Resultado da inspeção'!Q311='Resultado da inspeção'!$W$3,0%,Ranking!AC311)</f>
        <v>8.771929824561403E-2</v>
      </c>
      <c r="AS311" s="50">
        <f>IF('Resultado da inspeção'!R311='Resultado da inspeção'!$W$3,0%,Ranking!AD311)</f>
        <v>3.5087719298245612E-2</v>
      </c>
      <c r="AT311" s="50">
        <f>IF('Resultado da inspeção'!S311='Resultado da inspeção'!$W$3,0%,Ranking!AE311)</f>
        <v>3.5087719298245612E-2</v>
      </c>
      <c r="AU311" s="49">
        <f t="shared" si="90"/>
        <v>0.43859649122807015</v>
      </c>
    </row>
    <row r="312" spans="2:47" x14ac:dyDescent="0.25">
      <c r="B312" s="48">
        <f>IF('Resultado da inspeção'!F312='Resultado da inspeção'!$W$4,0%,Ranking!B$5)</f>
        <v>0.02</v>
      </c>
      <c r="C312" s="48">
        <f>IF('Resultado da inspeção'!G312='Resultado da inspeção'!$W$4,0%,Ranking!C$5)</f>
        <v>0.03</v>
      </c>
      <c r="D312" s="48">
        <f>IF('Resultado da inspeção'!H312='Resultado da inspeção'!$W$4,0%,Ranking!D$5)</f>
        <v>0.03</v>
      </c>
      <c r="E312" s="48">
        <f>IF('Resultado da inspeção'!I312='Resultado da inspeção'!$W$4,0%,Ranking!E$5)</f>
        <v>0</v>
      </c>
      <c r="F312" s="48">
        <f>IF('Resultado da inspeção'!J312='Resultado da inspeção'!$W$4,0%,Ranking!F$5)</f>
        <v>0.21</v>
      </c>
      <c r="G312" s="48">
        <f>IF('Resultado da inspeção'!K312='Resultado da inspeção'!$W$4,0%,Ranking!G$5)</f>
        <v>0.05</v>
      </c>
      <c r="H312" s="48">
        <f>IF('Resultado da inspeção'!L312='Resultado da inspeção'!$W$4,0%,Ranking!H$5)</f>
        <v>0</v>
      </c>
      <c r="I312" s="48">
        <f>IF('Resultado da inspeção'!M312='Resultado da inspeção'!$W$4,0%,Ranking!I$5)</f>
        <v>0</v>
      </c>
      <c r="J312" s="48">
        <f>IF('Resultado da inspeção'!N312='Resultado da inspeção'!$W$4,0%,Ranking!J$5)</f>
        <v>0</v>
      </c>
      <c r="K312" s="48">
        <f>IF('Resultado da inspeção'!O312='Resultado da inspeção'!$W$4,0%,Ranking!K$5)</f>
        <v>0.06</v>
      </c>
      <c r="L312" s="48">
        <f>IF('Resultado da inspeção'!P312='Resultado da inspeção'!$W$4,0%,Ranking!L$5)</f>
        <v>0.08</v>
      </c>
      <c r="M312" s="48">
        <f>IF('Resultado da inspeção'!Q312='Resultado da inspeção'!$W$4,0%,Ranking!M$5)</f>
        <v>0.05</v>
      </c>
      <c r="N312" s="48">
        <f>IF('Resultado da inspeção'!R312='Resultado da inspeção'!$W$4,0%,Ranking!N$5)</f>
        <v>0.02</v>
      </c>
      <c r="O312" s="48">
        <f>IF('Resultado da inspeção'!S312='Resultado da inspeção'!$W$4,0%,Ranking!O$5)</f>
        <v>0.02</v>
      </c>
      <c r="P312" s="47">
        <f t="shared" si="73"/>
        <v>0.57000000000000006</v>
      </c>
      <c r="Q312" s="49">
        <f t="shared" si="88"/>
        <v>0.42999999999999994</v>
      </c>
      <c r="R312" s="50">
        <f t="shared" si="74"/>
        <v>3.5087719298245612E-2</v>
      </c>
      <c r="S312" s="50">
        <f t="shared" si="75"/>
        <v>5.2631578947368411E-2</v>
      </c>
      <c r="T312" s="50">
        <f t="shared" si="76"/>
        <v>5.2631578947368411E-2</v>
      </c>
      <c r="U312" s="50">
        <f t="shared" si="77"/>
        <v>0</v>
      </c>
      <c r="V312" s="50">
        <f t="shared" si="78"/>
        <v>0.36842105263157887</v>
      </c>
      <c r="W312" s="50">
        <f t="shared" si="79"/>
        <v>8.771929824561403E-2</v>
      </c>
      <c r="X312" s="50">
        <f t="shared" si="80"/>
        <v>0</v>
      </c>
      <c r="Y312" s="50">
        <f t="shared" si="81"/>
        <v>0</v>
      </c>
      <c r="Z312" s="50">
        <f t="shared" si="82"/>
        <v>0</v>
      </c>
      <c r="AA312" s="50">
        <f t="shared" si="83"/>
        <v>0.10526315789473682</v>
      </c>
      <c r="AB312" s="50">
        <f t="shared" si="84"/>
        <v>0.14035087719298245</v>
      </c>
      <c r="AC312" s="50">
        <f t="shared" si="85"/>
        <v>8.771929824561403E-2</v>
      </c>
      <c r="AD312" s="50">
        <f t="shared" si="86"/>
        <v>3.5087719298245612E-2</v>
      </c>
      <c r="AE312" s="50">
        <f t="shared" si="87"/>
        <v>3.5087719298245612E-2</v>
      </c>
      <c r="AF312" s="47">
        <f t="shared" si="89"/>
        <v>0.99999999999999978</v>
      </c>
      <c r="AG312" s="50">
        <f>IF('Resultado da inspeção'!F312='Resultado da inspeção'!$W$3,0%,Ranking!R312)</f>
        <v>3.5087719298245612E-2</v>
      </c>
      <c r="AH312" s="50">
        <f>IF('Resultado da inspeção'!G312='Resultado da inspeção'!$W$3,0%,Ranking!S312)</f>
        <v>0</v>
      </c>
      <c r="AI312" s="50">
        <f>IF('Resultado da inspeção'!H312='Resultado da inspeção'!$W$3,0%,Ranking!T312)</f>
        <v>0</v>
      </c>
      <c r="AJ312" s="50">
        <f>IF('Resultado da inspeção'!I312='Resultado da inspeção'!$W$3,0%,Ranking!U312)</f>
        <v>0</v>
      </c>
      <c r="AK312" s="50">
        <f>IF('Resultado da inspeção'!J312='Resultado da inspeção'!$W$3,0%,Ranking!V312)</f>
        <v>0</v>
      </c>
      <c r="AL312" s="50">
        <f>IF('Resultado da inspeção'!K312='Resultado da inspeção'!$W$3,0%,Ranking!W312)</f>
        <v>0</v>
      </c>
      <c r="AM312" s="50">
        <f>IF('Resultado da inspeção'!L312='Resultado da inspeção'!$W$3,0%,Ranking!X312)</f>
        <v>0</v>
      </c>
      <c r="AN312" s="50">
        <f>IF('Resultado da inspeção'!M312='Resultado da inspeção'!$W$3,0%,Ranking!Y312)</f>
        <v>0</v>
      </c>
      <c r="AO312" s="50">
        <f>IF('Resultado da inspeção'!N312='Resultado da inspeção'!$W$3,0%,Ranking!Z312)</f>
        <v>0</v>
      </c>
      <c r="AP312" s="50">
        <f>IF('Resultado da inspeção'!O312='Resultado da inspeção'!$W$3,0%,Ranking!AA312)</f>
        <v>0.10526315789473682</v>
      </c>
      <c r="AQ312" s="50">
        <f>IF('Resultado da inspeção'!P312='Resultado da inspeção'!$W$3,0%,Ranking!AB312)</f>
        <v>0.14035087719298245</v>
      </c>
      <c r="AR312" s="50">
        <f>IF('Resultado da inspeção'!Q312='Resultado da inspeção'!$W$3,0%,Ranking!AC312)</f>
        <v>8.771929824561403E-2</v>
      </c>
      <c r="AS312" s="50">
        <f>IF('Resultado da inspeção'!R312='Resultado da inspeção'!$W$3,0%,Ranking!AD312)</f>
        <v>3.5087719298245612E-2</v>
      </c>
      <c r="AT312" s="50">
        <f>IF('Resultado da inspeção'!S312='Resultado da inspeção'!$W$3,0%,Ranking!AE312)</f>
        <v>3.5087719298245612E-2</v>
      </c>
      <c r="AU312" s="49">
        <f t="shared" si="90"/>
        <v>0.43859649122807015</v>
      </c>
    </row>
    <row r="313" spans="2:47" x14ac:dyDescent="0.25">
      <c r="B313" s="48">
        <f>IF('Resultado da inspeção'!F313='Resultado da inspeção'!$W$4,0%,Ranking!B$5)</f>
        <v>0.02</v>
      </c>
      <c r="C313" s="48">
        <f>IF('Resultado da inspeção'!G313='Resultado da inspeção'!$W$4,0%,Ranking!C$5)</f>
        <v>0.03</v>
      </c>
      <c r="D313" s="48">
        <f>IF('Resultado da inspeção'!H313='Resultado da inspeção'!$W$4,0%,Ranking!D$5)</f>
        <v>0.03</v>
      </c>
      <c r="E313" s="48">
        <f>IF('Resultado da inspeção'!I313='Resultado da inspeção'!$W$4,0%,Ranking!E$5)</f>
        <v>0</v>
      </c>
      <c r="F313" s="48">
        <f>IF('Resultado da inspeção'!J313='Resultado da inspeção'!$W$4,0%,Ranking!F$5)</f>
        <v>0.21</v>
      </c>
      <c r="G313" s="48">
        <f>IF('Resultado da inspeção'!K313='Resultado da inspeção'!$W$4,0%,Ranking!G$5)</f>
        <v>0.05</v>
      </c>
      <c r="H313" s="48">
        <f>IF('Resultado da inspeção'!L313='Resultado da inspeção'!$W$4,0%,Ranking!H$5)</f>
        <v>0</v>
      </c>
      <c r="I313" s="48">
        <f>IF('Resultado da inspeção'!M313='Resultado da inspeção'!$W$4,0%,Ranking!I$5)</f>
        <v>0</v>
      </c>
      <c r="J313" s="48">
        <f>IF('Resultado da inspeção'!N313='Resultado da inspeção'!$W$4,0%,Ranking!J$5)</f>
        <v>0</v>
      </c>
      <c r="K313" s="48">
        <f>IF('Resultado da inspeção'!O313='Resultado da inspeção'!$W$4,0%,Ranking!K$5)</f>
        <v>0.06</v>
      </c>
      <c r="L313" s="48">
        <f>IF('Resultado da inspeção'!P313='Resultado da inspeção'!$W$4,0%,Ranking!L$5)</f>
        <v>0.08</v>
      </c>
      <c r="M313" s="48">
        <f>IF('Resultado da inspeção'!Q313='Resultado da inspeção'!$W$4,0%,Ranking!M$5)</f>
        <v>0.05</v>
      </c>
      <c r="N313" s="48">
        <f>IF('Resultado da inspeção'!R313='Resultado da inspeção'!$W$4,0%,Ranking!N$5)</f>
        <v>0.02</v>
      </c>
      <c r="O313" s="48">
        <f>IF('Resultado da inspeção'!S313='Resultado da inspeção'!$W$4,0%,Ranking!O$5)</f>
        <v>0.02</v>
      </c>
      <c r="P313" s="47">
        <f t="shared" si="73"/>
        <v>0.57000000000000006</v>
      </c>
      <c r="Q313" s="49">
        <f t="shared" si="88"/>
        <v>0.42999999999999994</v>
      </c>
      <c r="R313" s="50">
        <f t="shared" si="74"/>
        <v>3.5087719298245612E-2</v>
      </c>
      <c r="S313" s="50">
        <f t="shared" si="75"/>
        <v>5.2631578947368411E-2</v>
      </c>
      <c r="T313" s="50">
        <f t="shared" si="76"/>
        <v>5.2631578947368411E-2</v>
      </c>
      <c r="U313" s="50">
        <f t="shared" si="77"/>
        <v>0</v>
      </c>
      <c r="V313" s="50">
        <f t="shared" si="78"/>
        <v>0.36842105263157887</v>
      </c>
      <c r="W313" s="50">
        <f t="shared" si="79"/>
        <v>8.771929824561403E-2</v>
      </c>
      <c r="X313" s="50">
        <f t="shared" si="80"/>
        <v>0</v>
      </c>
      <c r="Y313" s="50">
        <f t="shared" si="81"/>
        <v>0</v>
      </c>
      <c r="Z313" s="50">
        <f t="shared" si="82"/>
        <v>0</v>
      </c>
      <c r="AA313" s="50">
        <f t="shared" si="83"/>
        <v>0.10526315789473682</v>
      </c>
      <c r="AB313" s="50">
        <f t="shared" si="84"/>
        <v>0.14035087719298245</v>
      </c>
      <c r="AC313" s="50">
        <f t="shared" si="85"/>
        <v>8.771929824561403E-2</v>
      </c>
      <c r="AD313" s="50">
        <f t="shared" si="86"/>
        <v>3.5087719298245612E-2</v>
      </c>
      <c r="AE313" s="50">
        <f t="shared" si="87"/>
        <v>3.5087719298245612E-2</v>
      </c>
      <c r="AF313" s="47">
        <f t="shared" si="89"/>
        <v>0.99999999999999978</v>
      </c>
      <c r="AG313" s="50">
        <f>IF('Resultado da inspeção'!F313='Resultado da inspeção'!$W$3,0%,Ranking!R313)</f>
        <v>3.5087719298245612E-2</v>
      </c>
      <c r="AH313" s="50">
        <f>IF('Resultado da inspeção'!G313='Resultado da inspeção'!$W$3,0%,Ranking!S313)</f>
        <v>0</v>
      </c>
      <c r="AI313" s="50">
        <f>IF('Resultado da inspeção'!H313='Resultado da inspeção'!$W$3,0%,Ranking!T313)</f>
        <v>0</v>
      </c>
      <c r="AJ313" s="50">
        <f>IF('Resultado da inspeção'!I313='Resultado da inspeção'!$W$3,0%,Ranking!U313)</f>
        <v>0</v>
      </c>
      <c r="AK313" s="50">
        <f>IF('Resultado da inspeção'!J313='Resultado da inspeção'!$W$3,0%,Ranking!V313)</f>
        <v>0</v>
      </c>
      <c r="AL313" s="50">
        <f>IF('Resultado da inspeção'!K313='Resultado da inspeção'!$W$3,0%,Ranking!W313)</f>
        <v>0</v>
      </c>
      <c r="AM313" s="50">
        <f>IF('Resultado da inspeção'!L313='Resultado da inspeção'!$W$3,0%,Ranking!X313)</f>
        <v>0</v>
      </c>
      <c r="AN313" s="50">
        <f>IF('Resultado da inspeção'!M313='Resultado da inspeção'!$W$3,0%,Ranking!Y313)</f>
        <v>0</v>
      </c>
      <c r="AO313" s="50">
        <f>IF('Resultado da inspeção'!N313='Resultado da inspeção'!$W$3,0%,Ranking!Z313)</f>
        <v>0</v>
      </c>
      <c r="AP313" s="50">
        <f>IF('Resultado da inspeção'!O313='Resultado da inspeção'!$W$3,0%,Ranking!AA313)</f>
        <v>0.10526315789473682</v>
      </c>
      <c r="AQ313" s="50">
        <f>IF('Resultado da inspeção'!P313='Resultado da inspeção'!$W$3,0%,Ranking!AB313)</f>
        <v>0.14035087719298245</v>
      </c>
      <c r="AR313" s="50">
        <f>IF('Resultado da inspeção'!Q313='Resultado da inspeção'!$W$3,0%,Ranking!AC313)</f>
        <v>8.771929824561403E-2</v>
      </c>
      <c r="AS313" s="50">
        <f>IF('Resultado da inspeção'!R313='Resultado da inspeção'!$W$3,0%,Ranking!AD313)</f>
        <v>3.5087719298245612E-2</v>
      </c>
      <c r="AT313" s="50">
        <f>IF('Resultado da inspeção'!S313='Resultado da inspeção'!$W$3,0%,Ranking!AE313)</f>
        <v>3.5087719298245612E-2</v>
      </c>
      <c r="AU313" s="49">
        <f t="shared" si="90"/>
        <v>0.43859649122807015</v>
      </c>
    </row>
    <row r="314" spans="2:47" x14ac:dyDescent="0.25">
      <c r="B314" s="48">
        <f>IF('Resultado da inspeção'!F314='Resultado da inspeção'!$W$4,0%,Ranking!B$5)</f>
        <v>0.02</v>
      </c>
      <c r="C314" s="48">
        <f>IF('Resultado da inspeção'!G314='Resultado da inspeção'!$W$4,0%,Ranking!C$5)</f>
        <v>0.03</v>
      </c>
      <c r="D314" s="48">
        <f>IF('Resultado da inspeção'!H314='Resultado da inspeção'!$W$4,0%,Ranking!D$5)</f>
        <v>0.03</v>
      </c>
      <c r="E314" s="48">
        <f>IF('Resultado da inspeção'!I314='Resultado da inspeção'!$W$4,0%,Ranking!E$5)</f>
        <v>0</v>
      </c>
      <c r="F314" s="48">
        <f>IF('Resultado da inspeção'!J314='Resultado da inspeção'!$W$4,0%,Ranking!F$5)</f>
        <v>0.21</v>
      </c>
      <c r="G314" s="48">
        <f>IF('Resultado da inspeção'!K314='Resultado da inspeção'!$W$4,0%,Ranking!G$5)</f>
        <v>0.05</v>
      </c>
      <c r="H314" s="48">
        <f>IF('Resultado da inspeção'!L314='Resultado da inspeção'!$W$4,0%,Ranking!H$5)</f>
        <v>0</v>
      </c>
      <c r="I314" s="48">
        <f>IF('Resultado da inspeção'!M314='Resultado da inspeção'!$W$4,0%,Ranking!I$5)</f>
        <v>0</v>
      </c>
      <c r="J314" s="48">
        <f>IF('Resultado da inspeção'!N314='Resultado da inspeção'!$W$4,0%,Ranking!J$5)</f>
        <v>0</v>
      </c>
      <c r="K314" s="48">
        <f>IF('Resultado da inspeção'!O314='Resultado da inspeção'!$W$4,0%,Ranking!K$5)</f>
        <v>0.06</v>
      </c>
      <c r="L314" s="48">
        <f>IF('Resultado da inspeção'!P314='Resultado da inspeção'!$W$4,0%,Ranking!L$5)</f>
        <v>0.08</v>
      </c>
      <c r="M314" s="48">
        <f>IF('Resultado da inspeção'!Q314='Resultado da inspeção'!$W$4,0%,Ranking!M$5)</f>
        <v>0.05</v>
      </c>
      <c r="N314" s="48">
        <f>IF('Resultado da inspeção'!R314='Resultado da inspeção'!$W$4,0%,Ranking!N$5)</f>
        <v>0.02</v>
      </c>
      <c r="O314" s="48">
        <f>IF('Resultado da inspeção'!S314='Resultado da inspeção'!$W$4,0%,Ranking!O$5)</f>
        <v>0.02</v>
      </c>
      <c r="P314" s="47">
        <f t="shared" si="73"/>
        <v>0.57000000000000006</v>
      </c>
      <c r="Q314" s="49">
        <f t="shared" si="88"/>
        <v>0.42999999999999994</v>
      </c>
      <c r="R314" s="50">
        <f t="shared" si="74"/>
        <v>3.5087719298245612E-2</v>
      </c>
      <c r="S314" s="50">
        <f t="shared" si="75"/>
        <v>5.2631578947368411E-2</v>
      </c>
      <c r="T314" s="50">
        <f t="shared" si="76"/>
        <v>5.2631578947368411E-2</v>
      </c>
      <c r="U314" s="50">
        <f t="shared" si="77"/>
        <v>0</v>
      </c>
      <c r="V314" s="50">
        <f t="shared" si="78"/>
        <v>0.36842105263157887</v>
      </c>
      <c r="W314" s="50">
        <f t="shared" si="79"/>
        <v>8.771929824561403E-2</v>
      </c>
      <c r="X314" s="50">
        <f t="shared" si="80"/>
        <v>0</v>
      </c>
      <c r="Y314" s="50">
        <f t="shared" si="81"/>
        <v>0</v>
      </c>
      <c r="Z314" s="50">
        <f t="shared" si="82"/>
        <v>0</v>
      </c>
      <c r="AA314" s="50">
        <f t="shared" si="83"/>
        <v>0.10526315789473682</v>
      </c>
      <c r="AB314" s="50">
        <f t="shared" si="84"/>
        <v>0.14035087719298245</v>
      </c>
      <c r="AC314" s="50">
        <f t="shared" si="85"/>
        <v>8.771929824561403E-2</v>
      </c>
      <c r="AD314" s="50">
        <f t="shared" si="86"/>
        <v>3.5087719298245612E-2</v>
      </c>
      <c r="AE314" s="50">
        <f t="shared" si="87"/>
        <v>3.5087719298245612E-2</v>
      </c>
      <c r="AF314" s="47">
        <f t="shared" si="89"/>
        <v>0.99999999999999978</v>
      </c>
      <c r="AG314" s="50">
        <f>IF('Resultado da inspeção'!F314='Resultado da inspeção'!$W$3,0%,Ranking!R314)</f>
        <v>3.5087719298245612E-2</v>
      </c>
      <c r="AH314" s="50">
        <f>IF('Resultado da inspeção'!G314='Resultado da inspeção'!$W$3,0%,Ranking!S314)</f>
        <v>0</v>
      </c>
      <c r="AI314" s="50">
        <f>IF('Resultado da inspeção'!H314='Resultado da inspeção'!$W$3,0%,Ranking!T314)</f>
        <v>0</v>
      </c>
      <c r="AJ314" s="50">
        <f>IF('Resultado da inspeção'!I314='Resultado da inspeção'!$W$3,0%,Ranking!U314)</f>
        <v>0</v>
      </c>
      <c r="AK314" s="50">
        <f>IF('Resultado da inspeção'!J314='Resultado da inspeção'!$W$3,0%,Ranking!V314)</f>
        <v>0</v>
      </c>
      <c r="AL314" s="50">
        <f>IF('Resultado da inspeção'!K314='Resultado da inspeção'!$W$3,0%,Ranking!W314)</f>
        <v>8.771929824561403E-2</v>
      </c>
      <c r="AM314" s="50">
        <f>IF('Resultado da inspeção'!L314='Resultado da inspeção'!$W$3,0%,Ranking!X314)</f>
        <v>0</v>
      </c>
      <c r="AN314" s="50">
        <f>IF('Resultado da inspeção'!M314='Resultado da inspeção'!$W$3,0%,Ranking!Y314)</f>
        <v>0</v>
      </c>
      <c r="AO314" s="50">
        <f>IF('Resultado da inspeção'!N314='Resultado da inspeção'!$W$3,0%,Ranking!Z314)</f>
        <v>0</v>
      </c>
      <c r="AP314" s="50">
        <f>IF('Resultado da inspeção'!O314='Resultado da inspeção'!$W$3,0%,Ranking!AA314)</f>
        <v>0.10526315789473682</v>
      </c>
      <c r="AQ314" s="50">
        <f>IF('Resultado da inspeção'!P314='Resultado da inspeção'!$W$3,0%,Ranking!AB314)</f>
        <v>0.14035087719298245</v>
      </c>
      <c r="AR314" s="50">
        <f>IF('Resultado da inspeção'!Q314='Resultado da inspeção'!$W$3,0%,Ranking!AC314)</f>
        <v>8.771929824561403E-2</v>
      </c>
      <c r="AS314" s="50">
        <f>IF('Resultado da inspeção'!R314='Resultado da inspeção'!$W$3,0%,Ranking!AD314)</f>
        <v>3.5087719298245612E-2</v>
      </c>
      <c r="AT314" s="50">
        <f>IF('Resultado da inspeção'!S314='Resultado da inspeção'!$W$3,0%,Ranking!AE314)</f>
        <v>3.5087719298245612E-2</v>
      </c>
      <c r="AU314" s="49">
        <f t="shared" si="90"/>
        <v>0.52631578947368418</v>
      </c>
    </row>
    <row r="315" spans="2:47" x14ac:dyDescent="0.25">
      <c r="B315" s="48">
        <f>IF('Resultado da inspeção'!F315='Resultado da inspeção'!$W$4,0%,Ranking!B$5)</f>
        <v>0.02</v>
      </c>
      <c r="C315" s="48">
        <f>IF('Resultado da inspeção'!G315='Resultado da inspeção'!$W$4,0%,Ranking!C$5)</f>
        <v>0.03</v>
      </c>
      <c r="D315" s="48">
        <f>IF('Resultado da inspeção'!H315='Resultado da inspeção'!$W$4,0%,Ranking!D$5)</f>
        <v>0.03</v>
      </c>
      <c r="E315" s="48">
        <f>IF('Resultado da inspeção'!I315='Resultado da inspeção'!$W$4,0%,Ranking!E$5)</f>
        <v>0.1</v>
      </c>
      <c r="F315" s="48">
        <f>IF('Resultado da inspeção'!J315='Resultado da inspeção'!$W$4,0%,Ranking!F$5)</f>
        <v>0.21</v>
      </c>
      <c r="G315" s="48">
        <f>IF('Resultado da inspeção'!K315='Resultado da inspeção'!$W$4,0%,Ranking!G$5)</f>
        <v>0.05</v>
      </c>
      <c r="H315" s="48">
        <f>IF('Resultado da inspeção'!L315='Resultado da inspeção'!$W$4,0%,Ranking!H$5)</f>
        <v>0</v>
      </c>
      <c r="I315" s="48">
        <f>IF('Resultado da inspeção'!M315='Resultado da inspeção'!$W$4,0%,Ranking!I$5)</f>
        <v>0</v>
      </c>
      <c r="J315" s="48">
        <f>IF('Resultado da inspeção'!N315='Resultado da inspeção'!$W$4,0%,Ranking!J$5)</f>
        <v>0</v>
      </c>
      <c r="K315" s="48">
        <f>IF('Resultado da inspeção'!O315='Resultado da inspeção'!$W$4,0%,Ranking!K$5)</f>
        <v>0.06</v>
      </c>
      <c r="L315" s="48">
        <f>IF('Resultado da inspeção'!P315='Resultado da inspeção'!$W$4,0%,Ranking!L$5)</f>
        <v>0.08</v>
      </c>
      <c r="M315" s="48">
        <f>IF('Resultado da inspeção'!Q315='Resultado da inspeção'!$W$4,0%,Ranking!M$5)</f>
        <v>0.05</v>
      </c>
      <c r="N315" s="48">
        <f>IF('Resultado da inspeção'!R315='Resultado da inspeção'!$W$4,0%,Ranking!N$5)</f>
        <v>0.02</v>
      </c>
      <c r="O315" s="48">
        <f>IF('Resultado da inspeção'!S315='Resultado da inspeção'!$W$4,0%,Ranking!O$5)</f>
        <v>0.02</v>
      </c>
      <c r="P315" s="47">
        <f t="shared" si="73"/>
        <v>0.67</v>
      </c>
      <c r="Q315" s="49">
        <f t="shared" si="88"/>
        <v>0.32999999999999996</v>
      </c>
      <c r="R315" s="50">
        <f t="shared" si="74"/>
        <v>2.9850746268656716E-2</v>
      </c>
      <c r="S315" s="50">
        <f t="shared" si="75"/>
        <v>4.4776119402985072E-2</v>
      </c>
      <c r="T315" s="50">
        <f t="shared" si="76"/>
        <v>4.4776119402985072E-2</v>
      </c>
      <c r="U315" s="50">
        <f t="shared" si="77"/>
        <v>0.14925373134328357</v>
      </c>
      <c r="V315" s="50">
        <f t="shared" si="78"/>
        <v>0.31343283582089548</v>
      </c>
      <c r="W315" s="50">
        <f t="shared" si="79"/>
        <v>7.4626865671641784E-2</v>
      </c>
      <c r="X315" s="50">
        <f t="shared" si="80"/>
        <v>0</v>
      </c>
      <c r="Y315" s="50">
        <f t="shared" si="81"/>
        <v>0</v>
      </c>
      <c r="Z315" s="50">
        <f t="shared" si="82"/>
        <v>0</v>
      </c>
      <c r="AA315" s="50">
        <f t="shared" si="83"/>
        <v>8.9552238805970144E-2</v>
      </c>
      <c r="AB315" s="50">
        <f t="shared" si="84"/>
        <v>0.11940298507462686</v>
      </c>
      <c r="AC315" s="50">
        <f t="shared" si="85"/>
        <v>7.4626865671641784E-2</v>
      </c>
      <c r="AD315" s="50">
        <f t="shared" si="86"/>
        <v>2.9850746268656716E-2</v>
      </c>
      <c r="AE315" s="50">
        <f t="shared" si="87"/>
        <v>2.9850746268656716E-2</v>
      </c>
      <c r="AF315" s="47">
        <f t="shared" si="89"/>
        <v>0.99999999999999989</v>
      </c>
      <c r="AG315" s="50">
        <f>IF('Resultado da inspeção'!F315='Resultado da inspeção'!$W$3,0%,Ranking!R315)</f>
        <v>2.9850746268656716E-2</v>
      </c>
      <c r="AH315" s="50">
        <f>IF('Resultado da inspeção'!G315='Resultado da inspeção'!$W$3,0%,Ranking!S315)</f>
        <v>0</v>
      </c>
      <c r="AI315" s="50">
        <f>IF('Resultado da inspeção'!H315='Resultado da inspeção'!$W$3,0%,Ranking!T315)</f>
        <v>0</v>
      </c>
      <c r="AJ315" s="50">
        <f>IF('Resultado da inspeção'!I315='Resultado da inspeção'!$W$3,0%,Ranking!U315)</f>
        <v>0</v>
      </c>
      <c r="AK315" s="50">
        <f>IF('Resultado da inspeção'!J315='Resultado da inspeção'!$W$3,0%,Ranking!V315)</f>
        <v>0</v>
      </c>
      <c r="AL315" s="50">
        <f>IF('Resultado da inspeção'!K315='Resultado da inspeção'!$W$3,0%,Ranking!W315)</f>
        <v>0</v>
      </c>
      <c r="AM315" s="50">
        <f>IF('Resultado da inspeção'!L315='Resultado da inspeção'!$W$3,0%,Ranking!X315)</f>
        <v>0</v>
      </c>
      <c r="AN315" s="50">
        <f>IF('Resultado da inspeção'!M315='Resultado da inspeção'!$W$3,0%,Ranking!Y315)</f>
        <v>0</v>
      </c>
      <c r="AO315" s="50">
        <f>IF('Resultado da inspeção'!N315='Resultado da inspeção'!$W$3,0%,Ranking!Z315)</f>
        <v>0</v>
      </c>
      <c r="AP315" s="50">
        <f>IF('Resultado da inspeção'!O315='Resultado da inspeção'!$W$3,0%,Ranking!AA315)</f>
        <v>8.9552238805970144E-2</v>
      </c>
      <c r="AQ315" s="50">
        <f>IF('Resultado da inspeção'!P315='Resultado da inspeção'!$W$3,0%,Ranking!AB315)</f>
        <v>0.11940298507462686</v>
      </c>
      <c r="AR315" s="50">
        <f>IF('Resultado da inspeção'!Q315='Resultado da inspeção'!$W$3,0%,Ranking!AC315)</f>
        <v>7.4626865671641784E-2</v>
      </c>
      <c r="AS315" s="50">
        <f>IF('Resultado da inspeção'!R315='Resultado da inspeção'!$W$3,0%,Ranking!AD315)</f>
        <v>2.9850746268656716E-2</v>
      </c>
      <c r="AT315" s="50">
        <f>IF('Resultado da inspeção'!S315='Resultado da inspeção'!$W$3,0%,Ranking!AE315)</f>
        <v>2.9850746268656716E-2</v>
      </c>
      <c r="AU315" s="49">
        <f t="shared" si="90"/>
        <v>0.37313432835820892</v>
      </c>
    </row>
    <row r="316" spans="2:47" x14ac:dyDescent="0.25">
      <c r="B316" s="48">
        <f>IF('Resultado da inspeção'!F316='Resultado da inspeção'!$W$4,0%,Ranking!B$5)</f>
        <v>0.02</v>
      </c>
      <c r="C316" s="48">
        <f>IF('Resultado da inspeção'!G316='Resultado da inspeção'!$W$4,0%,Ranking!C$5)</f>
        <v>0.03</v>
      </c>
      <c r="D316" s="48">
        <f>IF('Resultado da inspeção'!H316='Resultado da inspeção'!$W$4,0%,Ranking!D$5)</f>
        <v>0.03</v>
      </c>
      <c r="E316" s="48">
        <f>IF('Resultado da inspeção'!I316='Resultado da inspeção'!$W$4,0%,Ranking!E$5)</f>
        <v>0.1</v>
      </c>
      <c r="F316" s="48">
        <f>IF('Resultado da inspeção'!J316='Resultado da inspeção'!$W$4,0%,Ranking!F$5)</f>
        <v>0.21</v>
      </c>
      <c r="G316" s="48">
        <f>IF('Resultado da inspeção'!K316='Resultado da inspeção'!$W$4,0%,Ranking!G$5)</f>
        <v>0.05</v>
      </c>
      <c r="H316" s="48">
        <f>IF('Resultado da inspeção'!L316='Resultado da inspeção'!$W$4,0%,Ranking!H$5)</f>
        <v>0.24</v>
      </c>
      <c r="I316" s="48">
        <f>IF('Resultado da inspeção'!M316='Resultado da inspeção'!$W$4,0%,Ranking!I$5)</f>
        <v>0</v>
      </c>
      <c r="J316" s="48">
        <f>IF('Resultado da inspeção'!N316='Resultado da inspeção'!$W$4,0%,Ranking!J$5)</f>
        <v>0</v>
      </c>
      <c r="K316" s="48">
        <f>IF('Resultado da inspeção'!O316='Resultado da inspeção'!$W$4,0%,Ranking!K$5)</f>
        <v>0.06</v>
      </c>
      <c r="L316" s="48">
        <f>IF('Resultado da inspeção'!P316='Resultado da inspeção'!$W$4,0%,Ranking!L$5)</f>
        <v>0.08</v>
      </c>
      <c r="M316" s="48">
        <f>IF('Resultado da inspeção'!Q316='Resultado da inspeção'!$W$4,0%,Ranking!M$5)</f>
        <v>0.05</v>
      </c>
      <c r="N316" s="48">
        <f>IF('Resultado da inspeção'!R316='Resultado da inspeção'!$W$4,0%,Ranking!N$5)</f>
        <v>0.02</v>
      </c>
      <c r="O316" s="48">
        <f>IF('Resultado da inspeção'!S316='Resultado da inspeção'!$W$4,0%,Ranking!O$5)</f>
        <v>0.02</v>
      </c>
      <c r="P316" s="47">
        <f t="shared" si="73"/>
        <v>0.91</v>
      </c>
      <c r="Q316" s="49">
        <f t="shared" si="88"/>
        <v>8.9999999999999969E-2</v>
      </c>
      <c r="R316" s="50">
        <f t="shared" si="74"/>
        <v>2.1978021978021976E-2</v>
      </c>
      <c r="S316" s="50">
        <f t="shared" si="75"/>
        <v>3.2967032967032968E-2</v>
      </c>
      <c r="T316" s="50">
        <f t="shared" si="76"/>
        <v>3.2967032967032968E-2</v>
      </c>
      <c r="U316" s="50">
        <f t="shared" si="77"/>
        <v>0.10989010989010989</v>
      </c>
      <c r="V316" s="50">
        <f t="shared" si="78"/>
        <v>0.23076923076923075</v>
      </c>
      <c r="W316" s="50">
        <f t="shared" si="79"/>
        <v>5.4945054945054944E-2</v>
      </c>
      <c r="X316" s="50">
        <f t="shared" si="80"/>
        <v>0.26373626373626374</v>
      </c>
      <c r="Y316" s="50">
        <f t="shared" si="81"/>
        <v>0</v>
      </c>
      <c r="Z316" s="50">
        <f t="shared" si="82"/>
        <v>0</v>
      </c>
      <c r="AA316" s="50">
        <f t="shared" si="83"/>
        <v>6.5934065934065936E-2</v>
      </c>
      <c r="AB316" s="50">
        <f t="shared" si="84"/>
        <v>8.7912087912087905E-2</v>
      </c>
      <c r="AC316" s="50">
        <f t="shared" si="85"/>
        <v>5.4945054945054944E-2</v>
      </c>
      <c r="AD316" s="50">
        <f t="shared" si="86"/>
        <v>2.1978021978021976E-2</v>
      </c>
      <c r="AE316" s="50">
        <f t="shared" si="87"/>
        <v>2.1978021978021976E-2</v>
      </c>
      <c r="AF316" s="47">
        <f t="shared" si="89"/>
        <v>1</v>
      </c>
      <c r="AG316" s="50">
        <f>IF('Resultado da inspeção'!F316='Resultado da inspeção'!$W$3,0%,Ranking!R316)</f>
        <v>2.1978021978021976E-2</v>
      </c>
      <c r="AH316" s="50">
        <f>IF('Resultado da inspeção'!G316='Resultado da inspeção'!$W$3,0%,Ranking!S316)</f>
        <v>0</v>
      </c>
      <c r="AI316" s="50">
        <f>IF('Resultado da inspeção'!H316='Resultado da inspeção'!$W$3,0%,Ranking!T316)</f>
        <v>0</v>
      </c>
      <c r="AJ316" s="50">
        <f>IF('Resultado da inspeção'!I316='Resultado da inspeção'!$W$3,0%,Ranking!U316)</f>
        <v>0</v>
      </c>
      <c r="AK316" s="50">
        <f>IF('Resultado da inspeção'!J316='Resultado da inspeção'!$W$3,0%,Ranking!V316)</f>
        <v>0</v>
      </c>
      <c r="AL316" s="50">
        <f>IF('Resultado da inspeção'!K316='Resultado da inspeção'!$W$3,0%,Ranking!W316)</f>
        <v>0</v>
      </c>
      <c r="AM316" s="50">
        <f>IF('Resultado da inspeção'!L316='Resultado da inspeção'!$W$3,0%,Ranking!X316)</f>
        <v>0.26373626373626374</v>
      </c>
      <c r="AN316" s="50">
        <f>IF('Resultado da inspeção'!M316='Resultado da inspeção'!$W$3,0%,Ranking!Y316)</f>
        <v>0</v>
      </c>
      <c r="AO316" s="50">
        <f>IF('Resultado da inspeção'!N316='Resultado da inspeção'!$W$3,0%,Ranking!Z316)</f>
        <v>0</v>
      </c>
      <c r="AP316" s="50">
        <f>IF('Resultado da inspeção'!O316='Resultado da inspeção'!$W$3,0%,Ranking!AA316)</f>
        <v>6.5934065934065936E-2</v>
      </c>
      <c r="AQ316" s="50">
        <f>IF('Resultado da inspeção'!P316='Resultado da inspeção'!$W$3,0%,Ranking!AB316)</f>
        <v>8.7912087912087905E-2</v>
      </c>
      <c r="AR316" s="50">
        <f>IF('Resultado da inspeção'!Q316='Resultado da inspeção'!$W$3,0%,Ranking!AC316)</f>
        <v>5.4945054945054944E-2</v>
      </c>
      <c r="AS316" s="50">
        <f>IF('Resultado da inspeção'!R316='Resultado da inspeção'!$W$3,0%,Ranking!AD316)</f>
        <v>2.1978021978021976E-2</v>
      </c>
      <c r="AT316" s="50">
        <f>IF('Resultado da inspeção'!S316='Resultado da inspeção'!$W$3,0%,Ranking!AE316)</f>
        <v>2.1978021978021976E-2</v>
      </c>
      <c r="AU316" s="49">
        <f t="shared" si="90"/>
        <v>0.53846153846153855</v>
      </c>
    </row>
    <row r="317" spans="2:47" x14ac:dyDescent="0.25">
      <c r="B317" s="48">
        <f>IF('Resultado da inspeção'!F317='Resultado da inspeção'!$W$4,0%,Ranking!B$5)</f>
        <v>0.02</v>
      </c>
      <c r="C317" s="48">
        <f>IF('Resultado da inspeção'!G317='Resultado da inspeção'!$W$4,0%,Ranking!C$5)</f>
        <v>0.03</v>
      </c>
      <c r="D317" s="48">
        <f>IF('Resultado da inspeção'!H317='Resultado da inspeção'!$W$4,0%,Ranking!D$5)</f>
        <v>0.03</v>
      </c>
      <c r="E317" s="48">
        <f>IF('Resultado da inspeção'!I317='Resultado da inspeção'!$W$4,0%,Ranking!E$5)</f>
        <v>0.1</v>
      </c>
      <c r="F317" s="48">
        <f>IF('Resultado da inspeção'!J317='Resultado da inspeção'!$W$4,0%,Ranking!F$5)</f>
        <v>0.21</v>
      </c>
      <c r="G317" s="48">
        <f>IF('Resultado da inspeção'!K317='Resultado da inspeção'!$W$4,0%,Ranking!G$5)</f>
        <v>0.05</v>
      </c>
      <c r="H317" s="48">
        <f>IF('Resultado da inspeção'!L317='Resultado da inspeção'!$W$4,0%,Ranking!H$5)</f>
        <v>0.24</v>
      </c>
      <c r="I317" s="48">
        <f>IF('Resultado da inspeção'!M317='Resultado da inspeção'!$W$4,0%,Ranking!I$5)</f>
        <v>0</v>
      </c>
      <c r="J317" s="48">
        <f>IF('Resultado da inspeção'!N317='Resultado da inspeção'!$W$4,0%,Ranking!J$5)</f>
        <v>0</v>
      </c>
      <c r="K317" s="48">
        <f>IF('Resultado da inspeção'!O317='Resultado da inspeção'!$W$4,0%,Ranking!K$5)</f>
        <v>0.06</v>
      </c>
      <c r="L317" s="48">
        <f>IF('Resultado da inspeção'!P317='Resultado da inspeção'!$W$4,0%,Ranking!L$5)</f>
        <v>0.08</v>
      </c>
      <c r="M317" s="48">
        <f>IF('Resultado da inspeção'!Q317='Resultado da inspeção'!$W$4,0%,Ranking!M$5)</f>
        <v>0.05</v>
      </c>
      <c r="N317" s="48">
        <f>IF('Resultado da inspeção'!R317='Resultado da inspeção'!$W$4,0%,Ranking!N$5)</f>
        <v>0.02</v>
      </c>
      <c r="O317" s="48">
        <f>IF('Resultado da inspeção'!S317='Resultado da inspeção'!$W$4,0%,Ranking!O$5)</f>
        <v>0.02</v>
      </c>
      <c r="P317" s="47">
        <f t="shared" si="73"/>
        <v>0.91</v>
      </c>
      <c r="Q317" s="49">
        <f t="shared" si="88"/>
        <v>8.9999999999999969E-2</v>
      </c>
      <c r="R317" s="50">
        <f t="shared" si="74"/>
        <v>2.1978021978021976E-2</v>
      </c>
      <c r="S317" s="50">
        <f t="shared" si="75"/>
        <v>3.2967032967032968E-2</v>
      </c>
      <c r="T317" s="50">
        <f t="shared" si="76"/>
        <v>3.2967032967032968E-2</v>
      </c>
      <c r="U317" s="50">
        <f t="shared" si="77"/>
        <v>0.10989010989010989</v>
      </c>
      <c r="V317" s="50">
        <f t="shared" si="78"/>
        <v>0.23076923076923075</v>
      </c>
      <c r="W317" s="50">
        <f t="shared" si="79"/>
        <v>5.4945054945054944E-2</v>
      </c>
      <c r="X317" s="50">
        <f t="shared" si="80"/>
        <v>0.26373626373626374</v>
      </c>
      <c r="Y317" s="50">
        <f t="shared" si="81"/>
        <v>0</v>
      </c>
      <c r="Z317" s="50">
        <f t="shared" si="82"/>
        <v>0</v>
      </c>
      <c r="AA317" s="50">
        <f t="shared" si="83"/>
        <v>6.5934065934065936E-2</v>
      </c>
      <c r="AB317" s="50">
        <f t="shared" si="84"/>
        <v>8.7912087912087905E-2</v>
      </c>
      <c r="AC317" s="50">
        <f t="shared" si="85"/>
        <v>5.4945054945054944E-2</v>
      </c>
      <c r="AD317" s="50">
        <f t="shared" si="86"/>
        <v>2.1978021978021976E-2</v>
      </c>
      <c r="AE317" s="50">
        <f t="shared" si="87"/>
        <v>2.1978021978021976E-2</v>
      </c>
      <c r="AF317" s="47">
        <f t="shared" si="89"/>
        <v>1</v>
      </c>
      <c r="AG317" s="50">
        <f>IF('Resultado da inspeção'!F317='Resultado da inspeção'!$W$3,0%,Ranking!R317)</f>
        <v>2.1978021978021976E-2</v>
      </c>
      <c r="AH317" s="50">
        <f>IF('Resultado da inspeção'!G317='Resultado da inspeção'!$W$3,0%,Ranking!S317)</f>
        <v>0</v>
      </c>
      <c r="AI317" s="50">
        <f>IF('Resultado da inspeção'!H317='Resultado da inspeção'!$W$3,0%,Ranking!T317)</f>
        <v>0</v>
      </c>
      <c r="AJ317" s="50">
        <f>IF('Resultado da inspeção'!I317='Resultado da inspeção'!$W$3,0%,Ranking!U317)</f>
        <v>0</v>
      </c>
      <c r="AK317" s="50">
        <f>IF('Resultado da inspeção'!J317='Resultado da inspeção'!$W$3,0%,Ranking!V317)</f>
        <v>0</v>
      </c>
      <c r="AL317" s="50">
        <f>IF('Resultado da inspeção'!K317='Resultado da inspeção'!$W$3,0%,Ranking!W317)</f>
        <v>0</v>
      </c>
      <c r="AM317" s="50">
        <f>IF('Resultado da inspeção'!L317='Resultado da inspeção'!$W$3,0%,Ranking!X317)</f>
        <v>0</v>
      </c>
      <c r="AN317" s="50">
        <f>IF('Resultado da inspeção'!M317='Resultado da inspeção'!$W$3,0%,Ranking!Y317)</f>
        <v>0</v>
      </c>
      <c r="AO317" s="50">
        <f>IF('Resultado da inspeção'!N317='Resultado da inspeção'!$W$3,0%,Ranking!Z317)</f>
        <v>0</v>
      </c>
      <c r="AP317" s="50">
        <f>IF('Resultado da inspeção'!O317='Resultado da inspeção'!$W$3,0%,Ranking!AA317)</f>
        <v>6.5934065934065936E-2</v>
      </c>
      <c r="AQ317" s="50">
        <f>IF('Resultado da inspeção'!P317='Resultado da inspeção'!$W$3,0%,Ranking!AB317)</f>
        <v>8.7912087912087905E-2</v>
      </c>
      <c r="AR317" s="50">
        <f>IF('Resultado da inspeção'!Q317='Resultado da inspeção'!$W$3,0%,Ranking!AC317)</f>
        <v>5.4945054945054944E-2</v>
      </c>
      <c r="AS317" s="50">
        <f>IF('Resultado da inspeção'!R317='Resultado da inspeção'!$W$3,0%,Ranking!AD317)</f>
        <v>2.1978021978021976E-2</v>
      </c>
      <c r="AT317" s="50">
        <f>IF('Resultado da inspeção'!S317='Resultado da inspeção'!$W$3,0%,Ranking!AE317)</f>
        <v>2.1978021978021976E-2</v>
      </c>
      <c r="AU317" s="49">
        <f t="shared" si="90"/>
        <v>0.27472527472527469</v>
      </c>
    </row>
    <row r="318" spans="2:47" x14ac:dyDescent="0.25">
      <c r="B318" s="48">
        <f>IF('Resultado da inspeção'!F318='Resultado da inspeção'!$W$4,0%,Ranking!B$5)</f>
        <v>0.02</v>
      </c>
      <c r="C318" s="48">
        <f>IF('Resultado da inspeção'!G318='Resultado da inspeção'!$W$4,0%,Ranking!C$5)</f>
        <v>0.03</v>
      </c>
      <c r="D318" s="48">
        <f>IF('Resultado da inspeção'!H318='Resultado da inspeção'!$W$4,0%,Ranking!D$5)</f>
        <v>0.03</v>
      </c>
      <c r="E318" s="48">
        <f>IF('Resultado da inspeção'!I318='Resultado da inspeção'!$W$4,0%,Ranking!E$5)</f>
        <v>0.1</v>
      </c>
      <c r="F318" s="48">
        <f>IF('Resultado da inspeção'!J318='Resultado da inspeção'!$W$4,0%,Ranking!F$5)</f>
        <v>0.21</v>
      </c>
      <c r="G318" s="48">
        <f>IF('Resultado da inspeção'!K318='Resultado da inspeção'!$W$4,0%,Ranking!G$5)</f>
        <v>0.05</v>
      </c>
      <c r="H318" s="48">
        <f>IF('Resultado da inspeção'!L318='Resultado da inspeção'!$W$4,0%,Ranking!H$5)</f>
        <v>0.24</v>
      </c>
      <c r="I318" s="48">
        <f>IF('Resultado da inspeção'!M318='Resultado da inspeção'!$W$4,0%,Ranking!I$5)</f>
        <v>0</v>
      </c>
      <c r="J318" s="48">
        <f>IF('Resultado da inspeção'!N318='Resultado da inspeção'!$W$4,0%,Ranking!J$5)</f>
        <v>0</v>
      </c>
      <c r="K318" s="48">
        <f>IF('Resultado da inspeção'!O318='Resultado da inspeção'!$W$4,0%,Ranking!K$5)</f>
        <v>0.06</v>
      </c>
      <c r="L318" s="48">
        <f>IF('Resultado da inspeção'!P318='Resultado da inspeção'!$W$4,0%,Ranking!L$5)</f>
        <v>0.08</v>
      </c>
      <c r="M318" s="48">
        <f>IF('Resultado da inspeção'!Q318='Resultado da inspeção'!$W$4,0%,Ranking!M$5)</f>
        <v>0.05</v>
      </c>
      <c r="N318" s="48">
        <f>IF('Resultado da inspeção'!R318='Resultado da inspeção'!$W$4,0%,Ranking!N$5)</f>
        <v>0.02</v>
      </c>
      <c r="O318" s="48">
        <f>IF('Resultado da inspeção'!S318='Resultado da inspeção'!$W$4,0%,Ranking!O$5)</f>
        <v>0.02</v>
      </c>
      <c r="P318" s="47">
        <f t="shared" si="73"/>
        <v>0.91</v>
      </c>
      <c r="Q318" s="49">
        <f t="shared" si="88"/>
        <v>8.9999999999999969E-2</v>
      </c>
      <c r="R318" s="50">
        <f t="shared" si="74"/>
        <v>2.1978021978021976E-2</v>
      </c>
      <c r="S318" s="50">
        <f t="shared" si="75"/>
        <v>3.2967032967032968E-2</v>
      </c>
      <c r="T318" s="50">
        <f t="shared" si="76"/>
        <v>3.2967032967032968E-2</v>
      </c>
      <c r="U318" s="50">
        <f t="shared" si="77"/>
        <v>0.10989010989010989</v>
      </c>
      <c r="V318" s="50">
        <f t="shared" si="78"/>
        <v>0.23076923076923075</v>
      </c>
      <c r="W318" s="50">
        <f t="shared" si="79"/>
        <v>5.4945054945054944E-2</v>
      </c>
      <c r="X318" s="50">
        <f t="shared" si="80"/>
        <v>0.26373626373626374</v>
      </c>
      <c r="Y318" s="50">
        <f t="shared" si="81"/>
        <v>0</v>
      </c>
      <c r="Z318" s="50">
        <f t="shared" si="82"/>
        <v>0</v>
      </c>
      <c r="AA318" s="50">
        <f t="shared" si="83"/>
        <v>6.5934065934065936E-2</v>
      </c>
      <c r="AB318" s="50">
        <f t="shared" si="84"/>
        <v>8.7912087912087905E-2</v>
      </c>
      <c r="AC318" s="50">
        <f t="shared" si="85"/>
        <v>5.4945054945054944E-2</v>
      </c>
      <c r="AD318" s="50">
        <f t="shared" si="86"/>
        <v>2.1978021978021976E-2</v>
      </c>
      <c r="AE318" s="50">
        <f t="shared" si="87"/>
        <v>2.1978021978021976E-2</v>
      </c>
      <c r="AF318" s="47">
        <f t="shared" si="89"/>
        <v>1</v>
      </c>
      <c r="AG318" s="50">
        <f>IF('Resultado da inspeção'!F318='Resultado da inspeção'!$W$3,0%,Ranking!R318)</f>
        <v>2.1978021978021976E-2</v>
      </c>
      <c r="AH318" s="50">
        <f>IF('Resultado da inspeção'!G318='Resultado da inspeção'!$W$3,0%,Ranking!S318)</f>
        <v>0</v>
      </c>
      <c r="AI318" s="50">
        <f>IF('Resultado da inspeção'!H318='Resultado da inspeção'!$W$3,0%,Ranking!T318)</f>
        <v>0</v>
      </c>
      <c r="AJ318" s="50">
        <f>IF('Resultado da inspeção'!I318='Resultado da inspeção'!$W$3,0%,Ranking!U318)</f>
        <v>0</v>
      </c>
      <c r="AK318" s="50">
        <f>IF('Resultado da inspeção'!J318='Resultado da inspeção'!$W$3,0%,Ranking!V318)</f>
        <v>0</v>
      </c>
      <c r="AL318" s="50">
        <f>IF('Resultado da inspeção'!K318='Resultado da inspeção'!$W$3,0%,Ranking!W318)</f>
        <v>0</v>
      </c>
      <c r="AM318" s="50">
        <f>IF('Resultado da inspeção'!L318='Resultado da inspeção'!$W$3,0%,Ranking!X318)</f>
        <v>0.26373626373626374</v>
      </c>
      <c r="AN318" s="50">
        <f>IF('Resultado da inspeção'!M318='Resultado da inspeção'!$W$3,0%,Ranking!Y318)</f>
        <v>0</v>
      </c>
      <c r="AO318" s="50">
        <f>IF('Resultado da inspeção'!N318='Resultado da inspeção'!$W$3,0%,Ranking!Z318)</f>
        <v>0</v>
      </c>
      <c r="AP318" s="50">
        <f>IF('Resultado da inspeção'!O318='Resultado da inspeção'!$W$3,0%,Ranking!AA318)</f>
        <v>6.5934065934065936E-2</v>
      </c>
      <c r="AQ318" s="50">
        <f>IF('Resultado da inspeção'!P318='Resultado da inspeção'!$W$3,0%,Ranking!AB318)</f>
        <v>8.7912087912087905E-2</v>
      </c>
      <c r="AR318" s="50">
        <f>IF('Resultado da inspeção'!Q318='Resultado da inspeção'!$W$3,0%,Ranking!AC318)</f>
        <v>5.4945054945054944E-2</v>
      </c>
      <c r="AS318" s="50">
        <f>IF('Resultado da inspeção'!R318='Resultado da inspeção'!$W$3,0%,Ranking!AD318)</f>
        <v>2.1978021978021976E-2</v>
      </c>
      <c r="AT318" s="50">
        <f>IF('Resultado da inspeção'!S318='Resultado da inspeção'!$W$3,0%,Ranking!AE318)</f>
        <v>2.1978021978021976E-2</v>
      </c>
      <c r="AU318" s="49">
        <f t="shared" si="90"/>
        <v>0.53846153846153855</v>
      </c>
    </row>
    <row r="319" spans="2:47" x14ac:dyDescent="0.25">
      <c r="B319" s="48">
        <f>IF('Resultado da inspeção'!F319='Resultado da inspeção'!$W$4,0%,Ranking!B$5)</f>
        <v>0.02</v>
      </c>
      <c r="C319" s="48">
        <f>IF('Resultado da inspeção'!G319='Resultado da inspeção'!$W$4,0%,Ranking!C$5)</f>
        <v>0.03</v>
      </c>
      <c r="D319" s="48">
        <f>IF('Resultado da inspeção'!H319='Resultado da inspeção'!$W$4,0%,Ranking!D$5)</f>
        <v>0.03</v>
      </c>
      <c r="E319" s="48">
        <f>IF('Resultado da inspeção'!I319='Resultado da inspeção'!$W$4,0%,Ranking!E$5)</f>
        <v>0.1</v>
      </c>
      <c r="F319" s="48">
        <f>IF('Resultado da inspeção'!J319='Resultado da inspeção'!$W$4,0%,Ranking!F$5)</f>
        <v>0.21</v>
      </c>
      <c r="G319" s="48">
        <f>IF('Resultado da inspeção'!K319='Resultado da inspeção'!$W$4,0%,Ranking!G$5)</f>
        <v>0.05</v>
      </c>
      <c r="H319" s="48">
        <f>IF('Resultado da inspeção'!L319='Resultado da inspeção'!$W$4,0%,Ranking!H$5)</f>
        <v>0.24</v>
      </c>
      <c r="I319" s="48">
        <f>IF('Resultado da inspeção'!M319='Resultado da inspeção'!$W$4,0%,Ranking!I$5)</f>
        <v>0</v>
      </c>
      <c r="J319" s="48">
        <f>IF('Resultado da inspeção'!N319='Resultado da inspeção'!$W$4,0%,Ranking!J$5)</f>
        <v>0</v>
      </c>
      <c r="K319" s="48">
        <f>IF('Resultado da inspeção'!O319='Resultado da inspeção'!$W$4,0%,Ranking!K$5)</f>
        <v>0.06</v>
      </c>
      <c r="L319" s="48">
        <f>IF('Resultado da inspeção'!P319='Resultado da inspeção'!$W$4,0%,Ranking!L$5)</f>
        <v>0.08</v>
      </c>
      <c r="M319" s="48">
        <f>IF('Resultado da inspeção'!Q319='Resultado da inspeção'!$W$4,0%,Ranking!M$5)</f>
        <v>0.05</v>
      </c>
      <c r="N319" s="48">
        <f>IF('Resultado da inspeção'!R319='Resultado da inspeção'!$W$4,0%,Ranking!N$5)</f>
        <v>0.02</v>
      </c>
      <c r="O319" s="48">
        <f>IF('Resultado da inspeção'!S319='Resultado da inspeção'!$W$4,0%,Ranking!O$5)</f>
        <v>0.02</v>
      </c>
      <c r="P319" s="47">
        <f t="shared" si="73"/>
        <v>0.91</v>
      </c>
      <c r="Q319" s="49">
        <f t="shared" si="88"/>
        <v>8.9999999999999969E-2</v>
      </c>
      <c r="R319" s="50">
        <f t="shared" si="74"/>
        <v>2.1978021978021976E-2</v>
      </c>
      <c r="S319" s="50">
        <f t="shared" si="75"/>
        <v>3.2967032967032968E-2</v>
      </c>
      <c r="T319" s="50">
        <f t="shared" si="76"/>
        <v>3.2967032967032968E-2</v>
      </c>
      <c r="U319" s="50">
        <f t="shared" si="77"/>
        <v>0.10989010989010989</v>
      </c>
      <c r="V319" s="50">
        <f t="shared" si="78"/>
        <v>0.23076923076923075</v>
      </c>
      <c r="W319" s="50">
        <f t="shared" si="79"/>
        <v>5.4945054945054944E-2</v>
      </c>
      <c r="X319" s="50">
        <f t="shared" si="80"/>
        <v>0.26373626373626374</v>
      </c>
      <c r="Y319" s="50">
        <f t="shared" si="81"/>
        <v>0</v>
      </c>
      <c r="Z319" s="50">
        <f t="shared" si="82"/>
        <v>0</v>
      </c>
      <c r="AA319" s="50">
        <f t="shared" si="83"/>
        <v>6.5934065934065936E-2</v>
      </c>
      <c r="AB319" s="50">
        <f t="shared" si="84"/>
        <v>8.7912087912087905E-2</v>
      </c>
      <c r="AC319" s="50">
        <f t="shared" si="85"/>
        <v>5.4945054945054944E-2</v>
      </c>
      <c r="AD319" s="50">
        <f t="shared" si="86"/>
        <v>2.1978021978021976E-2</v>
      </c>
      <c r="AE319" s="50">
        <f t="shared" si="87"/>
        <v>2.1978021978021976E-2</v>
      </c>
      <c r="AF319" s="47">
        <f t="shared" si="89"/>
        <v>1</v>
      </c>
      <c r="AG319" s="50">
        <f>IF('Resultado da inspeção'!F319='Resultado da inspeção'!$W$3,0%,Ranking!R319)</f>
        <v>2.1978021978021976E-2</v>
      </c>
      <c r="AH319" s="50">
        <f>IF('Resultado da inspeção'!G319='Resultado da inspeção'!$W$3,0%,Ranking!S319)</f>
        <v>0</v>
      </c>
      <c r="AI319" s="50">
        <f>IF('Resultado da inspeção'!H319='Resultado da inspeção'!$W$3,0%,Ranking!T319)</f>
        <v>0</v>
      </c>
      <c r="AJ319" s="50">
        <f>IF('Resultado da inspeção'!I319='Resultado da inspeção'!$W$3,0%,Ranking!U319)</f>
        <v>0</v>
      </c>
      <c r="AK319" s="50">
        <f>IF('Resultado da inspeção'!J319='Resultado da inspeção'!$W$3,0%,Ranking!V319)</f>
        <v>0</v>
      </c>
      <c r="AL319" s="50">
        <f>IF('Resultado da inspeção'!K319='Resultado da inspeção'!$W$3,0%,Ranking!W319)</f>
        <v>0</v>
      </c>
      <c r="AM319" s="50">
        <f>IF('Resultado da inspeção'!L319='Resultado da inspeção'!$W$3,0%,Ranking!X319)</f>
        <v>0.26373626373626374</v>
      </c>
      <c r="AN319" s="50">
        <f>IF('Resultado da inspeção'!M319='Resultado da inspeção'!$W$3,0%,Ranking!Y319)</f>
        <v>0</v>
      </c>
      <c r="AO319" s="50">
        <f>IF('Resultado da inspeção'!N319='Resultado da inspeção'!$W$3,0%,Ranking!Z319)</f>
        <v>0</v>
      </c>
      <c r="AP319" s="50">
        <f>IF('Resultado da inspeção'!O319='Resultado da inspeção'!$W$3,0%,Ranking!AA319)</f>
        <v>6.5934065934065936E-2</v>
      </c>
      <c r="AQ319" s="50">
        <f>IF('Resultado da inspeção'!P319='Resultado da inspeção'!$W$3,0%,Ranking!AB319)</f>
        <v>8.7912087912087905E-2</v>
      </c>
      <c r="AR319" s="50">
        <f>IF('Resultado da inspeção'!Q319='Resultado da inspeção'!$W$3,0%,Ranking!AC319)</f>
        <v>5.4945054945054944E-2</v>
      </c>
      <c r="AS319" s="50">
        <f>IF('Resultado da inspeção'!R319='Resultado da inspeção'!$W$3,0%,Ranking!AD319)</f>
        <v>2.1978021978021976E-2</v>
      </c>
      <c r="AT319" s="50">
        <f>IF('Resultado da inspeção'!S319='Resultado da inspeção'!$W$3,0%,Ranking!AE319)</f>
        <v>2.1978021978021976E-2</v>
      </c>
      <c r="AU319" s="49">
        <f t="shared" si="90"/>
        <v>0.53846153846153855</v>
      </c>
    </row>
    <row r="320" spans="2:47" x14ac:dyDescent="0.25">
      <c r="B320" s="48">
        <f>IF('Resultado da inspeção'!F320='Resultado da inspeção'!$W$4,0%,Ranking!B$5)</f>
        <v>0.02</v>
      </c>
      <c r="C320" s="48">
        <f>IF('Resultado da inspeção'!G320='Resultado da inspeção'!$W$4,0%,Ranking!C$5)</f>
        <v>0.03</v>
      </c>
      <c r="D320" s="48">
        <f>IF('Resultado da inspeção'!H320='Resultado da inspeção'!$W$4,0%,Ranking!D$5)</f>
        <v>0.03</v>
      </c>
      <c r="E320" s="48">
        <f>IF('Resultado da inspeção'!I320='Resultado da inspeção'!$W$4,0%,Ranking!E$5)</f>
        <v>0.1</v>
      </c>
      <c r="F320" s="48">
        <f>IF('Resultado da inspeção'!J320='Resultado da inspeção'!$W$4,0%,Ranking!F$5)</f>
        <v>0.21</v>
      </c>
      <c r="G320" s="48">
        <f>IF('Resultado da inspeção'!K320='Resultado da inspeção'!$W$4,0%,Ranking!G$5)</f>
        <v>0.05</v>
      </c>
      <c r="H320" s="48">
        <f>IF('Resultado da inspeção'!L320='Resultado da inspeção'!$W$4,0%,Ranking!H$5)</f>
        <v>0.24</v>
      </c>
      <c r="I320" s="48">
        <f>IF('Resultado da inspeção'!M320='Resultado da inspeção'!$W$4,0%,Ranking!I$5)</f>
        <v>0</v>
      </c>
      <c r="J320" s="48">
        <f>IF('Resultado da inspeção'!N320='Resultado da inspeção'!$W$4,0%,Ranking!J$5)</f>
        <v>0</v>
      </c>
      <c r="K320" s="48">
        <f>IF('Resultado da inspeção'!O320='Resultado da inspeção'!$W$4,0%,Ranking!K$5)</f>
        <v>0.06</v>
      </c>
      <c r="L320" s="48">
        <f>IF('Resultado da inspeção'!P320='Resultado da inspeção'!$W$4,0%,Ranking!L$5)</f>
        <v>0.08</v>
      </c>
      <c r="M320" s="48">
        <f>IF('Resultado da inspeção'!Q320='Resultado da inspeção'!$W$4,0%,Ranking!M$5)</f>
        <v>0.05</v>
      </c>
      <c r="N320" s="48">
        <f>IF('Resultado da inspeção'!R320='Resultado da inspeção'!$W$4,0%,Ranking!N$5)</f>
        <v>0.02</v>
      </c>
      <c r="O320" s="48">
        <f>IF('Resultado da inspeção'!S320='Resultado da inspeção'!$W$4,0%,Ranking!O$5)</f>
        <v>0.02</v>
      </c>
      <c r="P320" s="47">
        <f t="shared" si="73"/>
        <v>0.91</v>
      </c>
      <c r="Q320" s="49">
        <f t="shared" si="88"/>
        <v>8.9999999999999969E-2</v>
      </c>
      <c r="R320" s="50">
        <f t="shared" si="74"/>
        <v>2.1978021978021976E-2</v>
      </c>
      <c r="S320" s="50">
        <f t="shared" si="75"/>
        <v>3.2967032967032968E-2</v>
      </c>
      <c r="T320" s="50">
        <f t="shared" si="76"/>
        <v>3.2967032967032968E-2</v>
      </c>
      <c r="U320" s="50">
        <f t="shared" si="77"/>
        <v>0.10989010989010989</v>
      </c>
      <c r="V320" s="50">
        <f t="shared" si="78"/>
        <v>0.23076923076923075</v>
      </c>
      <c r="W320" s="50">
        <f t="shared" si="79"/>
        <v>5.4945054945054944E-2</v>
      </c>
      <c r="X320" s="50">
        <f t="shared" si="80"/>
        <v>0.26373626373626374</v>
      </c>
      <c r="Y320" s="50">
        <f t="shared" si="81"/>
        <v>0</v>
      </c>
      <c r="Z320" s="50">
        <f t="shared" si="82"/>
        <v>0</v>
      </c>
      <c r="AA320" s="50">
        <f t="shared" si="83"/>
        <v>6.5934065934065936E-2</v>
      </c>
      <c r="AB320" s="50">
        <f t="shared" si="84"/>
        <v>8.7912087912087905E-2</v>
      </c>
      <c r="AC320" s="50">
        <f t="shared" si="85"/>
        <v>5.4945054945054944E-2</v>
      </c>
      <c r="AD320" s="50">
        <f t="shared" si="86"/>
        <v>2.1978021978021976E-2</v>
      </c>
      <c r="AE320" s="50">
        <f t="shared" si="87"/>
        <v>2.1978021978021976E-2</v>
      </c>
      <c r="AF320" s="47">
        <f t="shared" si="89"/>
        <v>1</v>
      </c>
      <c r="AG320" s="50">
        <f>IF('Resultado da inspeção'!F320='Resultado da inspeção'!$W$3,0%,Ranking!R320)</f>
        <v>2.1978021978021976E-2</v>
      </c>
      <c r="AH320" s="50">
        <f>IF('Resultado da inspeção'!G320='Resultado da inspeção'!$W$3,0%,Ranking!S320)</f>
        <v>0</v>
      </c>
      <c r="AI320" s="50">
        <f>IF('Resultado da inspeção'!H320='Resultado da inspeção'!$W$3,0%,Ranking!T320)</f>
        <v>0</v>
      </c>
      <c r="AJ320" s="50">
        <f>IF('Resultado da inspeção'!I320='Resultado da inspeção'!$W$3,0%,Ranking!U320)</f>
        <v>0</v>
      </c>
      <c r="AK320" s="50">
        <f>IF('Resultado da inspeção'!J320='Resultado da inspeção'!$W$3,0%,Ranking!V320)</f>
        <v>0</v>
      </c>
      <c r="AL320" s="50">
        <f>IF('Resultado da inspeção'!K320='Resultado da inspeção'!$W$3,0%,Ranking!W320)</f>
        <v>0</v>
      </c>
      <c r="AM320" s="50">
        <f>IF('Resultado da inspeção'!L320='Resultado da inspeção'!$W$3,0%,Ranking!X320)</f>
        <v>0</v>
      </c>
      <c r="AN320" s="50">
        <f>IF('Resultado da inspeção'!M320='Resultado da inspeção'!$W$3,0%,Ranking!Y320)</f>
        <v>0</v>
      </c>
      <c r="AO320" s="50">
        <f>IF('Resultado da inspeção'!N320='Resultado da inspeção'!$W$3,0%,Ranking!Z320)</f>
        <v>0</v>
      </c>
      <c r="AP320" s="50">
        <f>IF('Resultado da inspeção'!O320='Resultado da inspeção'!$W$3,0%,Ranking!AA320)</f>
        <v>6.5934065934065936E-2</v>
      </c>
      <c r="AQ320" s="50">
        <f>IF('Resultado da inspeção'!P320='Resultado da inspeção'!$W$3,0%,Ranking!AB320)</f>
        <v>8.7912087912087905E-2</v>
      </c>
      <c r="AR320" s="50">
        <f>IF('Resultado da inspeção'!Q320='Resultado da inspeção'!$W$3,0%,Ranking!AC320)</f>
        <v>5.4945054945054944E-2</v>
      </c>
      <c r="AS320" s="50">
        <f>IF('Resultado da inspeção'!R320='Resultado da inspeção'!$W$3,0%,Ranking!AD320)</f>
        <v>2.1978021978021976E-2</v>
      </c>
      <c r="AT320" s="50">
        <f>IF('Resultado da inspeção'!S320='Resultado da inspeção'!$W$3,0%,Ranking!AE320)</f>
        <v>2.1978021978021976E-2</v>
      </c>
      <c r="AU320" s="49">
        <f t="shared" si="90"/>
        <v>0.27472527472527469</v>
      </c>
    </row>
    <row r="321" spans="2:47" x14ac:dyDescent="0.25">
      <c r="B321" s="48">
        <f>IF('Resultado da inspeção'!F321='Resultado da inspeção'!$W$4,0%,Ranking!B$5)</f>
        <v>0.02</v>
      </c>
      <c r="C321" s="48">
        <f>IF('Resultado da inspeção'!G321='Resultado da inspeção'!$W$4,0%,Ranking!C$5)</f>
        <v>0.03</v>
      </c>
      <c r="D321" s="48">
        <f>IF('Resultado da inspeção'!H321='Resultado da inspeção'!$W$4,0%,Ranking!D$5)</f>
        <v>0.03</v>
      </c>
      <c r="E321" s="48">
        <f>IF('Resultado da inspeção'!I321='Resultado da inspeção'!$W$4,0%,Ranking!E$5)</f>
        <v>0.1</v>
      </c>
      <c r="F321" s="48">
        <f>IF('Resultado da inspeção'!J321='Resultado da inspeção'!$W$4,0%,Ranking!F$5)</f>
        <v>0.21</v>
      </c>
      <c r="G321" s="48">
        <f>IF('Resultado da inspeção'!K321='Resultado da inspeção'!$W$4,0%,Ranking!G$5)</f>
        <v>0.05</v>
      </c>
      <c r="H321" s="48">
        <f>IF('Resultado da inspeção'!L321='Resultado da inspeção'!$W$4,0%,Ranking!H$5)</f>
        <v>0</v>
      </c>
      <c r="I321" s="48">
        <f>IF('Resultado da inspeção'!M321='Resultado da inspeção'!$W$4,0%,Ranking!I$5)</f>
        <v>0</v>
      </c>
      <c r="J321" s="48">
        <f>IF('Resultado da inspeção'!N321='Resultado da inspeção'!$W$4,0%,Ranking!J$5)</f>
        <v>0</v>
      </c>
      <c r="K321" s="48">
        <f>IF('Resultado da inspeção'!O321='Resultado da inspeção'!$W$4,0%,Ranking!K$5)</f>
        <v>0.06</v>
      </c>
      <c r="L321" s="48">
        <f>IF('Resultado da inspeção'!P321='Resultado da inspeção'!$W$4,0%,Ranking!L$5)</f>
        <v>0.08</v>
      </c>
      <c r="M321" s="48">
        <f>IF('Resultado da inspeção'!Q321='Resultado da inspeção'!$W$4,0%,Ranking!M$5)</f>
        <v>0.05</v>
      </c>
      <c r="N321" s="48">
        <f>IF('Resultado da inspeção'!R321='Resultado da inspeção'!$W$4,0%,Ranking!N$5)</f>
        <v>0.02</v>
      </c>
      <c r="O321" s="48">
        <f>IF('Resultado da inspeção'!S321='Resultado da inspeção'!$W$4,0%,Ranking!O$5)</f>
        <v>0.02</v>
      </c>
      <c r="P321" s="47">
        <f t="shared" si="73"/>
        <v>0.67</v>
      </c>
      <c r="Q321" s="49">
        <f t="shared" si="88"/>
        <v>0.32999999999999996</v>
      </c>
      <c r="R321" s="50">
        <f t="shared" si="74"/>
        <v>2.9850746268656716E-2</v>
      </c>
      <c r="S321" s="50">
        <f t="shared" si="75"/>
        <v>4.4776119402985072E-2</v>
      </c>
      <c r="T321" s="50">
        <f t="shared" si="76"/>
        <v>4.4776119402985072E-2</v>
      </c>
      <c r="U321" s="50">
        <f t="shared" si="77"/>
        <v>0.14925373134328357</v>
      </c>
      <c r="V321" s="50">
        <f t="shared" si="78"/>
        <v>0.31343283582089548</v>
      </c>
      <c r="W321" s="50">
        <f t="shared" si="79"/>
        <v>7.4626865671641784E-2</v>
      </c>
      <c r="X321" s="50">
        <f t="shared" si="80"/>
        <v>0</v>
      </c>
      <c r="Y321" s="50">
        <f t="shared" si="81"/>
        <v>0</v>
      </c>
      <c r="Z321" s="50">
        <f t="shared" si="82"/>
        <v>0</v>
      </c>
      <c r="AA321" s="50">
        <f t="shared" si="83"/>
        <v>8.9552238805970144E-2</v>
      </c>
      <c r="AB321" s="50">
        <f t="shared" si="84"/>
        <v>0.11940298507462686</v>
      </c>
      <c r="AC321" s="50">
        <f t="shared" si="85"/>
        <v>7.4626865671641784E-2</v>
      </c>
      <c r="AD321" s="50">
        <f t="shared" si="86"/>
        <v>2.9850746268656716E-2</v>
      </c>
      <c r="AE321" s="50">
        <f t="shared" si="87"/>
        <v>2.9850746268656716E-2</v>
      </c>
      <c r="AF321" s="47">
        <f t="shared" si="89"/>
        <v>0.99999999999999989</v>
      </c>
      <c r="AG321" s="50">
        <f>IF('Resultado da inspeção'!F321='Resultado da inspeção'!$W$3,0%,Ranking!R321)</f>
        <v>2.9850746268656716E-2</v>
      </c>
      <c r="AH321" s="50">
        <f>IF('Resultado da inspeção'!G321='Resultado da inspeção'!$W$3,0%,Ranking!S321)</f>
        <v>0</v>
      </c>
      <c r="AI321" s="50">
        <f>IF('Resultado da inspeção'!H321='Resultado da inspeção'!$W$3,0%,Ranking!T321)</f>
        <v>0</v>
      </c>
      <c r="AJ321" s="50">
        <f>IF('Resultado da inspeção'!I321='Resultado da inspeção'!$W$3,0%,Ranking!U321)</f>
        <v>0</v>
      </c>
      <c r="AK321" s="50">
        <f>IF('Resultado da inspeção'!J321='Resultado da inspeção'!$W$3,0%,Ranking!V321)</f>
        <v>0</v>
      </c>
      <c r="AL321" s="50">
        <f>IF('Resultado da inspeção'!K321='Resultado da inspeção'!$W$3,0%,Ranking!W321)</f>
        <v>0</v>
      </c>
      <c r="AM321" s="50">
        <f>IF('Resultado da inspeção'!L321='Resultado da inspeção'!$W$3,0%,Ranking!X321)</f>
        <v>0</v>
      </c>
      <c r="AN321" s="50">
        <f>IF('Resultado da inspeção'!M321='Resultado da inspeção'!$W$3,0%,Ranking!Y321)</f>
        <v>0</v>
      </c>
      <c r="AO321" s="50">
        <f>IF('Resultado da inspeção'!N321='Resultado da inspeção'!$W$3,0%,Ranking!Z321)</f>
        <v>0</v>
      </c>
      <c r="AP321" s="50">
        <f>IF('Resultado da inspeção'!O321='Resultado da inspeção'!$W$3,0%,Ranking!AA321)</f>
        <v>8.9552238805970144E-2</v>
      </c>
      <c r="AQ321" s="50">
        <f>IF('Resultado da inspeção'!P321='Resultado da inspeção'!$W$3,0%,Ranking!AB321)</f>
        <v>0.11940298507462686</v>
      </c>
      <c r="AR321" s="50">
        <f>IF('Resultado da inspeção'!Q321='Resultado da inspeção'!$W$3,0%,Ranking!AC321)</f>
        <v>7.4626865671641784E-2</v>
      </c>
      <c r="AS321" s="50">
        <f>IF('Resultado da inspeção'!R321='Resultado da inspeção'!$W$3,0%,Ranking!AD321)</f>
        <v>2.9850746268656716E-2</v>
      </c>
      <c r="AT321" s="50">
        <f>IF('Resultado da inspeção'!S321='Resultado da inspeção'!$W$3,0%,Ranking!AE321)</f>
        <v>2.9850746268656716E-2</v>
      </c>
      <c r="AU321" s="49">
        <f t="shared" si="90"/>
        <v>0.37313432835820892</v>
      </c>
    </row>
    <row r="322" spans="2:47" x14ac:dyDescent="0.25">
      <c r="B322" s="48">
        <f>IF('Resultado da inspeção'!F322='Resultado da inspeção'!$W$4,0%,Ranking!B$5)</f>
        <v>0.02</v>
      </c>
      <c r="C322" s="48">
        <f>IF('Resultado da inspeção'!G322='Resultado da inspeção'!$W$4,0%,Ranking!C$5)</f>
        <v>0.03</v>
      </c>
      <c r="D322" s="48">
        <f>IF('Resultado da inspeção'!H322='Resultado da inspeção'!$W$4,0%,Ranking!D$5)</f>
        <v>0.03</v>
      </c>
      <c r="E322" s="48">
        <f>IF('Resultado da inspeção'!I322='Resultado da inspeção'!$W$4,0%,Ranking!E$5)</f>
        <v>0.1</v>
      </c>
      <c r="F322" s="48">
        <f>IF('Resultado da inspeção'!J322='Resultado da inspeção'!$W$4,0%,Ranking!F$5)</f>
        <v>0.21</v>
      </c>
      <c r="G322" s="48">
        <f>IF('Resultado da inspeção'!K322='Resultado da inspeção'!$W$4,0%,Ranking!G$5)</f>
        <v>0.05</v>
      </c>
      <c r="H322" s="48">
        <f>IF('Resultado da inspeção'!L322='Resultado da inspeção'!$W$4,0%,Ranking!H$5)</f>
        <v>0.24</v>
      </c>
      <c r="I322" s="48">
        <f>IF('Resultado da inspeção'!M322='Resultado da inspeção'!$W$4,0%,Ranking!I$5)</f>
        <v>0</v>
      </c>
      <c r="J322" s="48">
        <f>IF('Resultado da inspeção'!N322='Resultado da inspeção'!$W$4,0%,Ranking!J$5)</f>
        <v>0</v>
      </c>
      <c r="K322" s="48">
        <f>IF('Resultado da inspeção'!O322='Resultado da inspeção'!$W$4,0%,Ranking!K$5)</f>
        <v>0.06</v>
      </c>
      <c r="L322" s="48">
        <f>IF('Resultado da inspeção'!P322='Resultado da inspeção'!$W$4,0%,Ranking!L$5)</f>
        <v>0.08</v>
      </c>
      <c r="M322" s="48">
        <f>IF('Resultado da inspeção'!Q322='Resultado da inspeção'!$W$4,0%,Ranking!M$5)</f>
        <v>0.05</v>
      </c>
      <c r="N322" s="48">
        <f>IF('Resultado da inspeção'!R322='Resultado da inspeção'!$W$4,0%,Ranking!N$5)</f>
        <v>0.02</v>
      </c>
      <c r="O322" s="48">
        <f>IF('Resultado da inspeção'!S322='Resultado da inspeção'!$W$4,0%,Ranking!O$5)</f>
        <v>0.02</v>
      </c>
      <c r="P322" s="47">
        <f t="shared" si="73"/>
        <v>0.91</v>
      </c>
      <c r="Q322" s="49">
        <f t="shared" si="88"/>
        <v>8.9999999999999969E-2</v>
      </c>
      <c r="R322" s="50">
        <f t="shared" si="74"/>
        <v>2.1978021978021976E-2</v>
      </c>
      <c r="S322" s="50">
        <f t="shared" si="75"/>
        <v>3.2967032967032968E-2</v>
      </c>
      <c r="T322" s="50">
        <f t="shared" si="76"/>
        <v>3.2967032967032968E-2</v>
      </c>
      <c r="U322" s="50">
        <f t="shared" si="77"/>
        <v>0.10989010989010989</v>
      </c>
      <c r="V322" s="50">
        <f t="shared" si="78"/>
        <v>0.23076923076923075</v>
      </c>
      <c r="W322" s="50">
        <f t="shared" si="79"/>
        <v>5.4945054945054944E-2</v>
      </c>
      <c r="X322" s="50">
        <f t="shared" si="80"/>
        <v>0.26373626373626374</v>
      </c>
      <c r="Y322" s="50">
        <f t="shared" si="81"/>
        <v>0</v>
      </c>
      <c r="Z322" s="50">
        <f t="shared" si="82"/>
        <v>0</v>
      </c>
      <c r="AA322" s="50">
        <f t="shared" si="83"/>
        <v>6.5934065934065936E-2</v>
      </c>
      <c r="AB322" s="50">
        <f t="shared" si="84"/>
        <v>8.7912087912087905E-2</v>
      </c>
      <c r="AC322" s="50">
        <f t="shared" si="85"/>
        <v>5.4945054945054944E-2</v>
      </c>
      <c r="AD322" s="50">
        <f t="shared" si="86"/>
        <v>2.1978021978021976E-2</v>
      </c>
      <c r="AE322" s="50">
        <f t="shared" si="87"/>
        <v>2.1978021978021976E-2</v>
      </c>
      <c r="AF322" s="47">
        <f t="shared" si="89"/>
        <v>1</v>
      </c>
      <c r="AG322" s="50">
        <f>IF('Resultado da inspeção'!F322='Resultado da inspeção'!$W$3,0%,Ranking!R322)</f>
        <v>2.1978021978021976E-2</v>
      </c>
      <c r="AH322" s="50">
        <f>IF('Resultado da inspeção'!G322='Resultado da inspeção'!$W$3,0%,Ranking!S322)</f>
        <v>3.2967032967032968E-2</v>
      </c>
      <c r="AI322" s="50">
        <f>IF('Resultado da inspeção'!H322='Resultado da inspeção'!$W$3,0%,Ranking!T322)</f>
        <v>3.2967032967032968E-2</v>
      </c>
      <c r="AJ322" s="50">
        <f>IF('Resultado da inspeção'!I322='Resultado da inspeção'!$W$3,0%,Ranking!U322)</f>
        <v>0</v>
      </c>
      <c r="AK322" s="50">
        <f>IF('Resultado da inspeção'!J322='Resultado da inspeção'!$W$3,0%,Ranking!V322)</f>
        <v>0.23076923076923075</v>
      </c>
      <c r="AL322" s="50">
        <f>IF('Resultado da inspeção'!K322='Resultado da inspeção'!$W$3,0%,Ranking!W322)</f>
        <v>0</v>
      </c>
      <c r="AM322" s="50">
        <f>IF('Resultado da inspeção'!L322='Resultado da inspeção'!$W$3,0%,Ranking!X322)</f>
        <v>0.26373626373626374</v>
      </c>
      <c r="AN322" s="50">
        <f>IF('Resultado da inspeção'!M322='Resultado da inspeção'!$W$3,0%,Ranking!Y322)</f>
        <v>0</v>
      </c>
      <c r="AO322" s="50">
        <f>IF('Resultado da inspeção'!N322='Resultado da inspeção'!$W$3,0%,Ranking!Z322)</f>
        <v>0</v>
      </c>
      <c r="AP322" s="50">
        <f>IF('Resultado da inspeção'!O322='Resultado da inspeção'!$W$3,0%,Ranking!AA322)</f>
        <v>6.5934065934065936E-2</v>
      </c>
      <c r="AQ322" s="50">
        <f>IF('Resultado da inspeção'!P322='Resultado da inspeção'!$W$3,0%,Ranking!AB322)</f>
        <v>8.7912087912087905E-2</v>
      </c>
      <c r="AR322" s="50">
        <f>IF('Resultado da inspeção'!Q322='Resultado da inspeção'!$W$3,0%,Ranking!AC322)</f>
        <v>5.4945054945054944E-2</v>
      </c>
      <c r="AS322" s="50">
        <f>IF('Resultado da inspeção'!R322='Resultado da inspeção'!$W$3,0%,Ranking!AD322)</f>
        <v>2.1978021978021976E-2</v>
      </c>
      <c r="AT322" s="50">
        <f>IF('Resultado da inspeção'!S322='Resultado da inspeção'!$W$3,0%,Ranking!AE322)</f>
        <v>2.1978021978021976E-2</v>
      </c>
      <c r="AU322" s="49">
        <f t="shared" si="90"/>
        <v>0.8351648351648352</v>
      </c>
    </row>
    <row r="323" spans="2:47" x14ac:dyDescent="0.25">
      <c r="B323" s="48">
        <f>IF('Resultado da inspeção'!F323='Resultado da inspeção'!$W$4,0%,Ranking!B$5)</f>
        <v>0.02</v>
      </c>
      <c r="C323" s="48">
        <f>IF('Resultado da inspeção'!G323='Resultado da inspeção'!$W$4,0%,Ranking!C$5)</f>
        <v>0.03</v>
      </c>
      <c r="D323" s="48">
        <f>IF('Resultado da inspeção'!H323='Resultado da inspeção'!$W$4,0%,Ranking!D$5)</f>
        <v>0.03</v>
      </c>
      <c r="E323" s="48">
        <f>IF('Resultado da inspeção'!I323='Resultado da inspeção'!$W$4,0%,Ranking!E$5)</f>
        <v>0.1</v>
      </c>
      <c r="F323" s="48">
        <f>IF('Resultado da inspeção'!J323='Resultado da inspeção'!$W$4,0%,Ranking!F$5)</f>
        <v>0.21</v>
      </c>
      <c r="G323" s="48">
        <f>IF('Resultado da inspeção'!K323='Resultado da inspeção'!$W$4,0%,Ranking!G$5)</f>
        <v>0.05</v>
      </c>
      <c r="H323" s="48">
        <f>IF('Resultado da inspeção'!L323='Resultado da inspeção'!$W$4,0%,Ranking!H$5)</f>
        <v>0.24</v>
      </c>
      <c r="I323" s="48">
        <f>IF('Resultado da inspeção'!M323='Resultado da inspeção'!$W$4,0%,Ranking!I$5)</f>
        <v>0</v>
      </c>
      <c r="J323" s="48">
        <f>IF('Resultado da inspeção'!N323='Resultado da inspeção'!$W$4,0%,Ranking!J$5)</f>
        <v>0</v>
      </c>
      <c r="K323" s="48">
        <f>IF('Resultado da inspeção'!O323='Resultado da inspeção'!$W$4,0%,Ranking!K$5)</f>
        <v>0.06</v>
      </c>
      <c r="L323" s="48">
        <f>IF('Resultado da inspeção'!P323='Resultado da inspeção'!$W$4,0%,Ranking!L$5)</f>
        <v>0.08</v>
      </c>
      <c r="M323" s="48">
        <f>IF('Resultado da inspeção'!Q323='Resultado da inspeção'!$W$4,0%,Ranking!M$5)</f>
        <v>0.05</v>
      </c>
      <c r="N323" s="48">
        <f>IF('Resultado da inspeção'!R323='Resultado da inspeção'!$W$4,0%,Ranking!N$5)</f>
        <v>0.02</v>
      </c>
      <c r="O323" s="48">
        <f>IF('Resultado da inspeção'!S323='Resultado da inspeção'!$W$4,0%,Ranking!O$5)</f>
        <v>0.02</v>
      </c>
      <c r="P323" s="47">
        <f t="shared" si="73"/>
        <v>0.91</v>
      </c>
      <c r="Q323" s="49">
        <f t="shared" si="88"/>
        <v>8.9999999999999969E-2</v>
      </c>
      <c r="R323" s="50">
        <f t="shared" si="74"/>
        <v>2.1978021978021976E-2</v>
      </c>
      <c r="S323" s="50">
        <f t="shared" si="75"/>
        <v>3.2967032967032968E-2</v>
      </c>
      <c r="T323" s="50">
        <f t="shared" si="76"/>
        <v>3.2967032967032968E-2</v>
      </c>
      <c r="U323" s="50">
        <f t="shared" si="77"/>
        <v>0.10989010989010989</v>
      </c>
      <c r="V323" s="50">
        <f t="shared" si="78"/>
        <v>0.23076923076923075</v>
      </c>
      <c r="W323" s="50">
        <f t="shared" si="79"/>
        <v>5.4945054945054944E-2</v>
      </c>
      <c r="X323" s="50">
        <f t="shared" si="80"/>
        <v>0.26373626373626374</v>
      </c>
      <c r="Y323" s="50">
        <f t="shared" si="81"/>
        <v>0</v>
      </c>
      <c r="Z323" s="50">
        <f t="shared" si="82"/>
        <v>0</v>
      </c>
      <c r="AA323" s="50">
        <f t="shared" si="83"/>
        <v>6.5934065934065936E-2</v>
      </c>
      <c r="AB323" s="50">
        <f t="shared" si="84"/>
        <v>8.7912087912087905E-2</v>
      </c>
      <c r="AC323" s="50">
        <f t="shared" si="85"/>
        <v>5.4945054945054944E-2</v>
      </c>
      <c r="AD323" s="50">
        <f t="shared" si="86"/>
        <v>2.1978021978021976E-2</v>
      </c>
      <c r="AE323" s="50">
        <f t="shared" si="87"/>
        <v>2.1978021978021976E-2</v>
      </c>
      <c r="AF323" s="47">
        <f t="shared" si="89"/>
        <v>1</v>
      </c>
      <c r="AG323" s="50">
        <f>IF('Resultado da inspeção'!F323='Resultado da inspeção'!$W$3,0%,Ranking!R323)</f>
        <v>2.1978021978021976E-2</v>
      </c>
      <c r="AH323" s="50">
        <f>IF('Resultado da inspeção'!G323='Resultado da inspeção'!$W$3,0%,Ranking!S323)</f>
        <v>3.2967032967032968E-2</v>
      </c>
      <c r="AI323" s="50">
        <f>IF('Resultado da inspeção'!H323='Resultado da inspeção'!$W$3,0%,Ranking!T323)</f>
        <v>3.2967032967032968E-2</v>
      </c>
      <c r="AJ323" s="50">
        <f>IF('Resultado da inspeção'!I323='Resultado da inspeção'!$W$3,0%,Ranking!U323)</f>
        <v>0</v>
      </c>
      <c r="AK323" s="50">
        <f>IF('Resultado da inspeção'!J323='Resultado da inspeção'!$W$3,0%,Ranking!V323)</f>
        <v>0.23076923076923075</v>
      </c>
      <c r="AL323" s="50">
        <f>IF('Resultado da inspeção'!K323='Resultado da inspeção'!$W$3,0%,Ranking!W323)</f>
        <v>0</v>
      </c>
      <c r="AM323" s="50">
        <f>IF('Resultado da inspeção'!L323='Resultado da inspeção'!$W$3,0%,Ranking!X323)</f>
        <v>0.26373626373626374</v>
      </c>
      <c r="AN323" s="50">
        <f>IF('Resultado da inspeção'!M323='Resultado da inspeção'!$W$3,0%,Ranking!Y323)</f>
        <v>0</v>
      </c>
      <c r="AO323" s="50">
        <f>IF('Resultado da inspeção'!N323='Resultado da inspeção'!$W$3,0%,Ranking!Z323)</f>
        <v>0</v>
      </c>
      <c r="AP323" s="50">
        <f>IF('Resultado da inspeção'!O323='Resultado da inspeção'!$W$3,0%,Ranking!AA323)</f>
        <v>6.5934065934065936E-2</v>
      </c>
      <c r="AQ323" s="50">
        <f>IF('Resultado da inspeção'!P323='Resultado da inspeção'!$W$3,0%,Ranking!AB323)</f>
        <v>8.7912087912087905E-2</v>
      </c>
      <c r="AR323" s="50">
        <f>IF('Resultado da inspeção'!Q323='Resultado da inspeção'!$W$3,0%,Ranking!AC323)</f>
        <v>5.4945054945054944E-2</v>
      </c>
      <c r="AS323" s="50">
        <f>IF('Resultado da inspeção'!R323='Resultado da inspeção'!$W$3,0%,Ranking!AD323)</f>
        <v>2.1978021978021976E-2</v>
      </c>
      <c r="AT323" s="50">
        <f>IF('Resultado da inspeção'!S323='Resultado da inspeção'!$W$3,0%,Ranking!AE323)</f>
        <v>2.1978021978021976E-2</v>
      </c>
      <c r="AU323" s="49">
        <f t="shared" si="90"/>
        <v>0.8351648351648352</v>
      </c>
    </row>
    <row r="324" spans="2:47" x14ac:dyDescent="0.25">
      <c r="B324" s="48">
        <f>IF('Resultado da inspeção'!F324='Resultado da inspeção'!$W$4,0%,Ranking!B$5)</f>
        <v>0.02</v>
      </c>
      <c r="C324" s="48">
        <f>IF('Resultado da inspeção'!G324='Resultado da inspeção'!$W$4,0%,Ranking!C$5)</f>
        <v>0.03</v>
      </c>
      <c r="D324" s="48">
        <f>IF('Resultado da inspeção'!H324='Resultado da inspeção'!$W$4,0%,Ranking!D$5)</f>
        <v>0.03</v>
      </c>
      <c r="E324" s="48">
        <f>IF('Resultado da inspeção'!I324='Resultado da inspeção'!$W$4,0%,Ranking!E$5)</f>
        <v>0.1</v>
      </c>
      <c r="F324" s="48">
        <f>IF('Resultado da inspeção'!J324='Resultado da inspeção'!$W$4,0%,Ranking!F$5)</f>
        <v>0.21</v>
      </c>
      <c r="G324" s="48">
        <f>IF('Resultado da inspeção'!K324='Resultado da inspeção'!$W$4,0%,Ranking!G$5)</f>
        <v>0.05</v>
      </c>
      <c r="H324" s="48">
        <f>IF('Resultado da inspeção'!L324='Resultado da inspeção'!$W$4,0%,Ranking!H$5)</f>
        <v>0.24</v>
      </c>
      <c r="I324" s="48">
        <f>IF('Resultado da inspeção'!M324='Resultado da inspeção'!$W$4,0%,Ranking!I$5)</f>
        <v>0</v>
      </c>
      <c r="J324" s="48">
        <f>IF('Resultado da inspeção'!N324='Resultado da inspeção'!$W$4,0%,Ranking!J$5)</f>
        <v>0</v>
      </c>
      <c r="K324" s="48">
        <f>IF('Resultado da inspeção'!O324='Resultado da inspeção'!$W$4,0%,Ranking!K$5)</f>
        <v>0.06</v>
      </c>
      <c r="L324" s="48">
        <f>IF('Resultado da inspeção'!P324='Resultado da inspeção'!$W$4,0%,Ranking!L$5)</f>
        <v>0.08</v>
      </c>
      <c r="M324" s="48">
        <f>IF('Resultado da inspeção'!Q324='Resultado da inspeção'!$W$4,0%,Ranking!M$5)</f>
        <v>0.05</v>
      </c>
      <c r="N324" s="48">
        <f>IF('Resultado da inspeção'!R324='Resultado da inspeção'!$W$4,0%,Ranking!N$5)</f>
        <v>0.02</v>
      </c>
      <c r="O324" s="48">
        <f>IF('Resultado da inspeção'!S324='Resultado da inspeção'!$W$4,0%,Ranking!O$5)</f>
        <v>0.02</v>
      </c>
      <c r="P324" s="47">
        <f t="shared" si="73"/>
        <v>0.91</v>
      </c>
      <c r="Q324" s="49">
        <f t="shared" si="88"/>
        <v>8.9999999999999969E-2</v>
      </c>
      <c r="R324" s="50">
        <f t="shared" si="74"/>
        <v>2.1978021978021976E-2</v>
      </c>
      <c r="S324" s="50">
        <f t="shared" si="75"/>
        <v>3.2967032967032968E-2</v>
      </c>
      <c r="T324" s="50">
        <f t="shared" si="76"/>
        <v>3.2967032967032968E-2</v>
      </c>
      <c r="U324" s="50">
        <f t="shared" si="77"/>
        <v>0.10989010989010989</v>
      </c>
      <c r="V324" s="50">
        <f t="shared" si="78"/>
        <v>0.23076923076923075</v>
      </c>
      <c r="W324" s="50">
        <f t="shared" si="79"/>
        <v>5.4945054945054944E-2</v>
      </c>
      <c r="X324" s="50">
        <f t="shared" si="80"/>
        <v>0.26373626373626374</v>
      </c>
      <c r="Y324" s="50">
        <f t="shared" si="81"/>
        <v>0</v>
      </c>
      <c r="Z324" s="50">
        <f t="shared" si="82"/>
        <v>0</v>
      </c>
      <c r="AA324" s="50">
        <f t="shared" si="83"/>
        <v>6.5934065934065936E-2</v>
      </c>
      <c r="AB324" s="50">
        <f t="shared" si="84"/>
        <v>8.7912087912087905E-2</v>
      </c>
      <c r="AC324" s="50">
        <f t="shared" si="85"/>
        <v>5.4945054945054944E-2</v>
      </c>
      <c r="AD324" s="50">
        <f t="shared" si="86"/>
        <v>2.1978021978021976E-2</v>
      </c>
      <c r="AE324" s="50">
        <f t="shared" si="87"/>
        <v>2.1978021978021976E-2</v>
      </c>
      <c r="AF324" s="47">
        <f t="shared" si="89"/>
        <v>1</v>
      </c>
      <c r="AG324" s="50">
        <f>IF('Resultado da inspeção'!F324='Resultado da inspeção'!$W$3,0%,Ranking!R324)</f>
        <v>2.1978021978021976E-2</v>
      </c>
      <c r="AH324" s="50">
        <f>IF('Resultado da inspeção'!G324='Resultado da inspeção'!$W$3,0%,Ranking!S324)</f>
        <v>0</v>
      </c>
      <c r="AI324" s="50">
        <f>IF('Resultado da inspeção'!H324='Resultado da inspeção'!$W$3,0%,Ranking!T324)</f>
        <v>0</v>
      </c>
      <c r="AJ324" s="50">
        <f>IF('Resultado da inspeção'!I324='Resultado da inspeção'!$W$3,0%,Ranking!U324)</f>
        <v>0</v>
      </c>
      <c r="AK324" s="50">
        <f>IF('Resultado da inspeção'!J324='Resultado da inspeção'!$W$3,0%,Ranking!V324)</f>
        <v>0.23076923076923075</v>
      </c>
      <c r="AL324" s="50">
        <f>IF('Resultado da inspeção'!K324='Resultado da inspeção'!$W$3,0%,Ranking!W324)</f>
        <v>0</v>
      </c>
      <c r="AM324" s="50">
        <f>IF('Resultado da inspeção'!L324='Resultado da inspeção'!$W$3,0%,Ranking!X324)</f>
        <v>0.26373626373626374</v>
      </c>
      <c r="AN324" s="50">
        <f>IF('Resultado da inspeção'!M324='Resultado da inspeção'!$W$3,0%,Ranking!Y324)</f>
        <v>0</v>
      </c>
      <c r="AO324" s="50">
        <f>IF('Resultado da inspeção'!N324='Resultado da inspeção'!$W$3,0%,Ranking!Z324)</f>
        <v>0</v>
      </c>
      <c r="AP324" s="50">
        <f>IF('Resultado da inspeção'!O324='Resultado da inspeção'!$W$3,0%,Ranking!AA324)</f>
        <v>6.5934065934065936E-2</v>
      </c>
      <c r="AQ324" s="50">
        <f>IF('Resultado da inspeção'!P324='Resultado da inspeção'!$W$3,0%,Ranking!AB324)</f>
        <v>8.7912087912087905E-2</v>
      </c>
      <c r="AR324" s="50">
        <f>IF('Resultado da inspeção'!Q324='Resultado da inspeção'!$W$3,0%,Ranking!AC324)</f>
        <v>5.4945054945054944E-2</v>
      </c>
      <c r="AS324" s="50">
        <f>IF('Resultado da inspeção'!R324='Resultado da inspeção'!$W$3,0%,Ranking!AD324)</f>
        <v>2.1978021978021976E-2</v>
      </c>
      <c r="AT324" s="50">
        <f>IF('Resultado da inspeção'!S324='Resultado da inspeção'!$W$3,0%,Ranking!AE324)</f>
        <v>2.1978021978021976E-2</v>
      </c>
      <c r="AU324" s="49">
        <f t="shared" si="90"/>
        <v>0.76923076923076927</v>
      </c>
    </row>
    <row r="325" spans="2:47" x14ac:dyDescent="0.25">
      <c r="B325" s="48">
        <f>IF('Resultado da inspeção'!F325='Resultado da inspeção'!$W$4,0%,Ranking!B$5)</f>
        <v>0.02</v>
      </c>
      <c r="C325" s="48">
        <f>IF('Resultado da inspeção'!G325='Resultado da inspeção'!$W$4,0%,Ranking!C$5)</f>
        <v>0.03</v>
      </c>
      <c r="D325" s="48">
        <f>IF('Resultado da inspeção'!H325='Resultado da inspeção'!$W$4,0%,Ranking!D$5)</f>
        <v>0.03</v>
      </c>
      <c r="E325" s="48">
        <f>IF('Resultado da inspeção'!I325='Resultado da inspeção'!$W$4,0%,Ranking!E$5)</f>
        <v>0.1</v>
      </c>
      <c r="F325" s="48">
        <f>IF('Resultado da inspeção'!J325='Resultado da inspeção'!$W$4,0%,Ranking!F$5)</f>
        <v>0.21</v>
      </c>
      <c r="G325" s="48">
        <f>IF('Resultado da inspeção'!K325='Resultado da inspeção'!$W$4,0%,Ranking!G$5)</f>
        <v>0.05</v>
      </c>
      <c r="H325" s="48">
        <f>IF('Resultado da inspeção'!L325='Resultado da inspeção'!$W$4,0%,Ranking!H$5)</f>
        <v>0.24</v>
      </c>
      <c r="I325" s="48">
        <f>IF('Resultado da inspeção'!M325='Resultado da inspeção'!$W$4,0%,Ranking!I$5)</f>
        <v>0</v>
      </c>
      <c r="J325" s="48">
        <f>IF('Resultado da inspeção'!N325='Resultado da inspeção'!$W$4,0%,Ranking!J$5)</f>
        <v>0</v>
      </c>
      <c r="K325" s="48">
        <f>IF('Resultado da inspeção'!O325='Resultado da inspeção'!$W$4,0%,Ranking!K$5)</f>
        <v>0.06</v>
      </c>
      <c r="L325" s="48">
        <f>IF('Resultado da inspeção'!P325='Resultado da inspeção'!$W$4,0%,Ranking!L$5)</f>
        <v>0.08</v>
      </c>
      <c r="M325" s="48">
        <f>IF('Resultado da inspeção'!Q325='Resultado da inspeção'!$W$4,0%,Ranking!M$5)</f>
        <v>0.05</v>
      </c>
      <c r="N325" s="48">
        <f>IF('Resultado da inspeção'!R325='Resultado da inspeção'!$W$4,0%,Ranking!N$5)</f>
        <v>0.02</v>
      </c>
      <c r="O325" s="48">
        <f>IF('Resultado da inspeção'!S325='Resultado da inspeção'!$W$4,0%,Ranking!O$5)</f>
        <v>0.02</v>
      </c>
      <c r="P325" s="47">
        <f t="shared" ref="P325:P348" si="91">SUM(B325:O325)</f>
        <v>0.91</v>
      </c>
      <c r="Q325" s="49">
        <f t="shared" si="88"/>
        <v>8.9999999999999969E-2</v>
      </c>
      <c r="R325" s="50">
        <f t="shared" si="74"/>
        <v>2.1978021978021976E-2</v>
      </c>
      <c r="S325" s="50">
        <f t="shared" si="75"/>
        <v>3.2967032967032968E-2</v>
      </c>
      <c r="T325" s="50">
        <f t="shared" si="76"/>
        <v>3.2967032967032968E-2</v>
      </c>
      <c r="U325" s="50">
        <f t="shared" si="77"/>
        <v>0.10989010989010989</v>
      </c>
      <c r="V325" s="50">
        <f t="shared" si="78"/>
        <v>0.23076923076923075</v>
      </c>
      <c r="W325" s="50">
        <f t="shared" si="79"/>
        <v>5.4945054945054944E-2</v>
      </c>
      <c r="X325" s="50">
        <f t="shared" si="80"/>
        <v>0.26373626373626374</v>
      </c>
      <c r="Y325" s="50">
        <f t="shared" si="81"/>
        <v>0</v>
      </c>
      <c r="Z325" s="50">
        <f t="shared" si="82"/>
        <v>0</v>
      </c>
      <c r="AA325" s="50">
        <f t="shared" si="83"/>
        <v>6.5934065934065936E-2</v>
      </c>
      <c r="AB325" s="50">
        <f t="shared" si="84"/>
        <v>8.7912087912087905E-2</v>
      </c>
      <c r="AC325" s="50">
        <f t="shared" si="85"/>
        <v>5.4945054945054944E-2</v>
      </c>
      <c r="AD325" s="50">
        <f t="shared" si="86"/>
        <v>2.1978021978021976E-2</v>
      </c>
      <c r="AE325" s="50">
        <f t="shared" si="87"/>
        <v>2.1978021978021976E-2</v>
      </c>
      <c r="AF325" s="47">
        <f t="shared" si="89"/>
        <v>1</v>
      </c>
      <c r="AG325" s="50">
        <f>IF('Resultado da inspeção'!F325='Resultado da inspeção'!$W$3,0%,Ranking!R325)</f>
        <v>2.1978021978021976E-2</v>
      </c>
      <c r="AH325" s="50">
        <f>IF('Resultado da inspeção'!G325='Resultado da inspeção'!$W$3,0%,Ranking!S325)</f>
        <v>3.2967032967032968E-2</v>
      </c>
      <c r="AI325" s="50">
        <f>IF('Resultado da inspeção'!H325='Resultado da inspeção'!$W$3,0%,Ranking!T325)</f>
        <v>3.2967032967032968E-2</v>
      </c>
      <c r="AJ325" s="50">
        <f>IF('Resultado da inspeção'!I325='Resultado da inspeção'!$W$3,0%,Ranking!U325)</f>
        <v>0</v>
      </c>
      <c r="AK325" s="50">
        <f>IF('Resultado da inspeção'!J325='Resultado da inspeção'!$W$3,0%,Ranking!V325)</f>
        <v>0.23076923076923075</v>
      </c>
      <c r="AL325" s="50">
        <f>IF('Resultado da inspeção'!K325='Resultado da inspeção'!$W$3,0%,Ranking!W325)</f>
        <v>0</v>
      </c>
      <c r="AM325" s="50">
        <f>IF('Resultado da inspeção'!L325='Resultado da inspeção'!$W$3,0%,Ranking!X325)</f>
        <v>0.26373626373626374</v>
      </c>
      <c r="AN325" s="50">
        <f>IF('Resultado da inspeção'!M325='Resultado da inspeção'!$W$3,0%,Ranking!Y325)</f>
        <v>0</v>
      </c>
      <c r="AO325" s="50">
        <f>IF('Resultado da inspeção'!N325='Resultado da inspeção'!$W$3,0%,Ranking!Z325)</f>
        <v>0</v>
      </c>
      <c r="AP325" s="50">
        <f>IF('Resultado da inspeção'!O325='Resultado da inspeção'!$W$3,0%,Ranking!AA325)</f>
        <v>6.5934065934065936E-2</v>
      </c>
      <c r="AQ325" s="50">
        <f>IF('Resultado da inspeção'!P325='Resultado da inspeção'!$W$3,0%,Ranking!AB325)</f>
        <v>8.7912087912087905E-2</v>
      </c>
      <c r="AR325" s="50">
        <f>IF('Resultado da inspeção'!Q325='Resultado da inspeção'!$W$3,0%,Ranking!AC325)</f>
        <v>5.4945054945054944E-2</v>
      </c>
      <c r="AS325" s="50">
        <f>IF('Resultado da inspeção'!R325='Resultado da inspeção'!$W$3,0%,Ranking!AD325)</f>
        <v>2.1978021978021976E-2</v>
      </c>
      <c r="AT325" s="50">
        <f>IF('Resultado da inspeção'!S325='Resultado da inspeção'!$W$3,0%,Ranking!AE325)</f>
        <v>2.1978021978021976E-2</v>
      </c>
      <c r="AU325" s="49">
        <f t="shared" si="90"/>
        <v>0.8351648351648352</v>
      </c>
    </row>
    <row r="326" spans="2:47" x14ac:dyDescent="0.25">
      <c r="B326" s="48">
        <f>IF('Resultado da inspeção'!F326='Resultado da inspeção'!$W$4,0%,Ranking!B$5)</f>
        <v>0.02</v>
      </c>
      <c r="C326" s="48">
        <f>IF('Resultado da inspeção'!G326='Resultado da inspeção'!$W$4,0%,Ranking!C$5)</f>
        <v>0.03</v>
      </c>
      <c r="D326" s="48">
        <f>IF('Resultado da inspeção'!H326='Resultado da inspeção'!$W$4,0%,Ranking!D$5)</f>
        <v>0.03</v>
      </c>
      <c r="E326" s="48">
        <f>IF('Resultado da inspeção'!I326='Resultado da inspeção'!$W$4,0%,Ranking!E$5)</f>
        <v>0.1</v>
      </c>
      <c r="F326" s="48">
        <f>IF('Resultado da inspeção'!J326='Resultado da inspeção'!$W$4,0%,Ranking!F$5)</f>
        <v>0.21</v>
      </c>
      <c r="G326" s="48">
        <f>IF('Resultado da inspeção'!K326='Resultado da inspeção'!$W$4,0%,Ranking!G$5)</f>
        <v>0.05</v>
      </c>
      <c r="H326" s="48">
        <f>IF('Resultado da inspeção'!L326='Resultado da inspeção'!$W$4,0%,Ranking!H$5)</f>
        <v>0.24</v>
      </c>
      <c r="I326" s="48">
        <f>IF('Resultado da inspeção'!M326='Resultado da inspeção'!$W$4,0%,Ranking!I$5)</f>
        <v>0</v>
      </c>
      <c r="J326" s="48">
        <f>IF('Resultado da inspeção'!N326='Resultado da inspeção'!$W$4,0%,Ranking!J$5)</f>
        <v>0</v>
      </c>
      <c r="K326" s="48">
        <f>IF('Resultado da inspeção'!O326='Resultado da inspeção'!$W$4,0%,Ranking!K$5)</f>
        <v>0.06</v>
      </c>
      <c r="L326" s="48">
        <f>IF('Resultado da inspeção'!P326='Resultado da inspeção'!$W$4,0%,Ranking!L$5)</f>
        <v>0.08</v>
      </c>
      <c r="M326" s="48">
        <f>IF('Resultado da inspeção'!Q326='Resultado da inspeção'!$W$4,0%,Ranking!M$5)</f>
        <v>0.05</v>
      </c>
      <c r="N326" s="48">
        <f>IF('Resultado da inspeção'!R326='Resultado da inspeção'!$W$4,0%,Ranking!N$5)</f>
        <v>0.02</v>
      </c>
      <c r="O326" s="48">
        <f>IF('Resultado da inspeção'!S326='Resultado da inspeção'!$W$4,0%,Ranking!O$5)</f>
        <v>0.02</v>
      </c>
      <c r="P326" s="47">
        <f t="shared" si="91"/>
        <v>0.91</v>
      </c>
      <c r="Q326" s="49">
        <f t="shared" si="88"/>
        <v>8.9999999999999969E-2</v>
      </c>
      <c r="R326" s="50">
        <f t="shared" ref="R326:R348" si="92">B326/$P326</f>
        <v>2.1978021978021976E-2</v>
      </c>
      <c r="S326" s="50">
        <f t="shared" ref="S326:S348" si="93">C326/$P326</f>
        <v>3.2967032967032968E-2</v>
      </c>
      <c r="T326" s="50">
        <f t="shared" ref="T326:T348" si="94">D326/$P326</f>
        <v>3.2967032967032968E-2</v>
      </c>
      <c r="U326" s="50">
        <f t="shared" ref="U326:U348" si="95">E326/$P326</f>
        <v>0.10989010989010989</v>
      </c>
      <c r="V326" s="50">
        <f t="shared" ref="V326:V348" si="96">F326/$P326</f>
        <v>0.23076923076923075</v>
      </c>
      <c r="W326" s="50">
        <f t="shared" ref="W326:W348" si="97">G326/$P326</f>
        <v>5.4945054945054944E-2</v>
      </c>
      <c r="X326" s="50">
        <f t="shared" ref="X326:X348" si="98">H326/$P326</f>
        <v>0.26373626373626374</v>
      </c>
      <c r="Y326" s="50">
        <f t="shared" ref="Y326:Y348" si="99">I326/$P326</f>
        <v>0</v>
      </c>
      <c r="Z326" s="50">
        <f t="shared" ref="Z326:Z348" si="100">J326/$P326</f>
        <v>0</v>
      </c>
      <c r="AA326" s="50">
        <f t="shared" ref="AA326:AA348" si="101">K326/$P326</f>
        <v>6.5934065934065936E-2</v>
      </c>
      <c r="AB326" s="50">
        <f t="shared" ref="AB326:AB348" si="102">L326/$P326</f>
        <v>8.7912087912087905E-2</v>
      </c>
      <c r="AC326" s="50">
        <f t="shared" ref="AC326:AC348" si="103">M326/$P326</f>
        <v>5.4945054945054944E-2</v>
      </c>
      <c r="AD326" s="50">
        <f t="shared" ref="AD326:AD348" si="104">N326/$P326</f>
        <v>2.1978021978021976E-2</v>
      </c>
      <c r="AE326" s="50">
        <f t="shared" ref="AE326:AE348" si="105">O326/$P326</f>
        <v>2.1978021978021976E-2</v>
      </c>
      <c r="AF326" s="47">
        <f t="shared" si="89"/>
        <v>1</v>
      </c>
      <c r="AG326" s="50">
        <f>IF('Resultado da inspeção'!F326='Resultado da inspeção'!$W$3,0%,Ranking!R326)</f>
        <v>2.1978021978021976E-2</v>
      </c>
      <c r="AH326" s="50">
        <f>IF('Resultado da inspeção'!G326='Resultado da inspeção'!$W$3,0%,Ranking!S326)</f>
        <v>3.2967032967032968E-2</v>
      </c>
      <c r="AI326" s="50">
        <f>IF('Resultado da inspeção'!H326='Resultado da inspeção'!$W$3,0%,Ranking!T326)</f>
        <v>3.2967032967032968E-2</v>
      </c>
      <c r="AJ326" s="50">
        <f>IF('Resultado da inspeção'!I326='Resultado da inspeção'!$W$3,0%,Ranking!U326)</f>
        <v>0</v>
      </c>
      <c r="AK326" s="50">
        <f>IF('Resultado da inspeção'!J326='Resultado da inspeção'!$W$3,0%,Ranking!V326)</f>
        <v>0.23076923076923075</v>
      </c>
      <c r="AL326" s="50">
        <f>IF('Resultado da inspeção'!K326='Resultado da inspeção'!$W$3,0%,Ranking!W326)</f>
        <v>0</v>
      </c>
      <c r="AM326" s="50">
        <f>IF('Resultado da inspeção'!L326='Resultado da inspeção'!$W$3,0%,Ranking!X326)</f>
        <v>0.26373626373626374</v>
      </c>
      <c r="AN326" s="50">
        <f>IF('Resultado da inspeção'!M326='Resultado da inspeção'!$W$3,0%,Ranking!Y326)</f>
        <v>0</v>
      </c>
      <c r="AO326" s="50">
        <f>IF('Resultado da inspeção'!N326='Resultado da inspeção'!$W$3,0%,Ranking!Z326)</f>
        <v>0</v>
      </c>
      <c r="AP326" s="50">
        <f>IF('Resultado da inspeção'!O326='Resultado da inspeção'!$W$3,0%,Ranking!AA326)</f>
        <v>6.5934065934065936E-2</v>
      </c>
      <c r="AQ326" s="50">
        <f>IF('Resultado da inspeção'!P326='Resultado da inspeção'!$W$3,0%,Ranking!AB326)</f>
        <v>8.7912087912087905E-2</v>
      </c>
      <c r="AR326" s="50">
        <f>IF('Resultado da inspeção'!Q326='Resultado da inspeção'!$W$3,0%,Ranking!AC326)</f>
        <v>5.4945054945054944E-2</v>
      </c>
      <c r="AS326" s="50">
        <f>IF('Resultado da inspeção'!R326='Resultado da inspeção'!$W$3,0%,Ranking!AD326)</f>
        <v>2.1978021978021976E-2</v>
      </c>
      <c r="AT326" s="50">
        <f>IF('Resultado da inspeção'!S326='Resultado da inspeção'!$W$3,0%,Ranking!AE326)</f>
        <v>2.1978021978021976E-2</v>
      </c>
      <c r="AU326" s="49">
        <f t="shared" si="90"/>
        <v>0.8351648351648352</v>
      </c>
    </row>
    <row r="327" spans="2:47" x14ac:dyDescent="0.25">
      <c r="B327" s="48">
        <f>IF('Resultado da inspeção'!F327='Resultado da inspeção'!$W$4,0%,Ranking!B$5)</f>
        <v>0.02</v>
      </c>
      <c r="C327" s="48">
        <f>IF('Resultado da inspeção'!G327='Resultado da inspeção'!$W$4,0%,Ranking!C$5)</f>
        <v>0.03</v>
      </c>
      <c r="D327" s="48">
        <f>IF('Resultado da inspeção'!H327='Resultado da inspeção'!$W$4,0%,Ranking!D$5)</f>
        <v>0.03</v>
      </c>
      <c r="E327" s="48">
        <f>IF('Resultado da inspeção'!I327='Resultado da inspeção'!$W$4,0%,Ranking!E$5)</f>
        <v>0.1</v>
      </c>
      <c r="F327" s="48">
        <f>IF('Resultado da inspeção'!J327='Resultado da inspeção'!$W$4,0%,Ranking!F$5)</f>
        <v>0.21</v>
      </c>
      <c r="G327" s="48">
        <f>IF('Resultado da inspeção'!K327='Resultado da inspeção'!$W$4,0%,Ranking!G$5)</f>
        <v>0.05</v>
      </c>
      <c r="H327" s="48">
        <f>IF('Resultado da inspeção'!L327='Resultado da inspeção'!$W$4,0%,Ranking!H$5)</f>
        <v>0.24</v>
      </c>
      <c r="I327" s="48">
        <f>IF('Resultado da inspeção'!M327='Resultado da inspeção'!$W$4,0%,Ranking!I$5)</f>
        <v>0</v>
      </c>
      <c r="J327" s="48">
        <f>IF('Resultado da inspeção'!N327='Resultado da inspeção'!$W$4,0%,Ranking!J$5)</f>
        <v>0</v>
      </c>
      <c r="K327" s="48">
        <f>IF('Resultado da inspeção'!O327='Resultado da inspeção'!$W$4,0%,Ranking!K$5)</f>
        <v>0.06</v>
      </c>
      <c r="L327" s="48">
        <f>IF('Resultado da inspeção'!P327='Resultado da inspeção'!$W$4,0%,Ranking!L$5)</f>
        <v>0.08</v>
      </c>
      <c r="M327" s="48">
        <f>IF('Resultado da inspeção'!Q327='Resultado da inspeção'!$W$4,0%,Ranking!M$5)</f>
        <v>0.05</v>
      </c>
      <c r="N327" s="48">
        <f>IF('Resultado da inspeção'!R327='Resultado da inspeção'!$W$4,0%,Ranking!N$5)</f>
        <v>0.02</v>
      </c>
      <c r="O327" s="48">
        <f>IF('Resultado da inspeção'!S327='Resultado da inspeção'!$W$4,0%,Ranking!O$5)</f>
        <v>0.02</v>
      </c>
      <c r="P327" s="47">
        <f t="shared" si="91"/>
        <v>0.91</v>
      </c>
      <c r="Q327" s="49">
        <f t="shared" ref="Q327:Q348" si="106">100%-P327</f>
        <v>8.9999999999999969E-2</v>
      </c>
      <c r="R327" s="50">
        <f t="shared" si="92"/>
        <v>2.1978021978021976E-2</v>
      </c>
      <c r="S327" s="50">
        <f t="shared" si="93"/>
        <v>3.2967032967032968E-2</v>
      </c>
      <c r="T327" s="50">
        <f t="shared" si="94"/>
        <v>3.2967032967032968E-2</v>
      </c>
      <c r="U327" s="50">
        <f t="shared" si="95"/>
        <v>0.10989010989010989</v>
      </c>
      <c r="V327" s="50">
        <f t="shared" si="96"/>
        <v>0.23076923076923075</v>
      </c>
      <c r="W327" s="50">
        <f t="shared" si="97"/>
        <v>5.4945054945054944E-2</v>
      </c>
      <c r="X327" s="50">
        <f t="shared" si="98"/>
        <v>0.26373626373626374</v>
      </c>
      <c r="Y327" s="50">
        <f t="shared" si="99"/>
        <v>0</v>
      </c>
      <c r="Z327" s="50">
        <f t="shared" si="100"/>
        <v>0</v>
      </c>
      <c r="AA327" s="50">
        <f t="shared" si="101"/>
        <v>6.5934065934065936E-2</v>
      </c>
      <c r="AB327" s="50">
        <f t="shared" si="102"/>
        <v>8.7912087912087905E-2</v>
      </c>
      <c r="AC327" s="50">
        <f t="shared" si="103"/>
        <v>5.4945054945054944E-2</v>
      </c>
      <c r="AD327" s="50">
        <f t="shared" si="104"/>
        <v>2.1978021978021976E-2</v>
      </c>
      <c r="AE327" s="50">
        <f t="shared" si="105"/>
        <v>2.1978021978021976E-2</v>
      </c>
      <c r="AF327" s="47">
        <f t="shared" ref="AF327:AF348" si="107">SUM(R327:AE327)</f>
        <v>1</v>
      </c>
      <c r="AG327" s="50">
        <f>IF('Resultado da inspeção'!F327='Resultado da inspeção'!$W$3,0%,Ranking!R327)</f>
        <v>2.1978021978021976E-2</v>
      </c>
      <c r="AH327" s="50">
        <f>IF('Resultado da inspeção'!G327='Resultado da inspeção'!$W$3,0%,Ranking!S327)</f>
        <v>0</v>
      </c>
      <c r="AI327" s="50">
        <f>IF('Resultado da inspeção'!H327='Resultado da inspeção'!$W$3,0%,Ranking!T327)</f>
        <v>0</v>
      </c>
      <c r="AJ327" s="50">
        <f>IF('Resultado da inspeção'!I327='Resultado da inspeção'!$W$3,0%,Ranking!U327)</f>
        <v>0</v>
      </c>
      <c r="AK327" s="50">
        <f>IF('Resultado da inspeção'!J327='Resultado da inspeção'!$W$3,0%,Ranking!V327)</f>
        <v>0.23076923076923075</v>
      </c>
      <c r="AL327" s="50">
        <f>IF('Resultado da inspeção'!K327='Resultado da inspeção'!$W$3,0%,Ranking!W327)</f>
        <v>0</v>
      </c>
      <c r="AM327" s="50">
        <f>IF('Resultado da inspeção'!L327='Resultado da inspeção'!$W$3,0%,Ranking!X327)</f>
        <v>0.26373626373626374</v>
      </c>
      <c r="AN327" s="50">
        <f>IF('Resultado da inspeção'!M327='Resultado da inspeção'!$W$3,0%,Ranking!Y327)</f>
        <v>0</v>
      </c>
      <c r="AO327" s="50">
        <f>IF('Resultado da inspeção'!N327='Resultado da inspeção'!$W$3,0%,Ranking!Z327)</f>
        <v>0</v>
      </c>
      <c r="AP327" s="50">
        <f>IF('Resultado da inspeção'!O327='Resultado da inspeção'!$W$3,0%,Ranking!AA327)</f>
        <v>6.5934065934065936E-2</v>
      </c>
      <c r="AQ327" s="50">
        <f>IF('Resultado da inspeção'!P327='Resultado da inspeção'!$W$3,0%,Ranking!AB327)</f>
        <v>8.7912087912087905E-2</v>
      </c>
      <c r="AR327" s="50">
        <f>IF('Resultado da inspeção'!Q327='Resultado da inspeção'!$W$3,0%,Ranking!AC327)</f>
        <v>5.4945054945054944E-2</v>
      </c>
      <c r="AS327" s="50">
        <f>IF('Resultado da inspeção'!R327='Resultado da inspeção'!$W$3,0%,Ranking!AD327)</f>
        <v>2.1978021978021976E-2</v>
      </c>
      <c r="AT327" s="50">
        <f>IF('Resultado da inspeção'!S327='Resultado da inspeção'!$W$3,0%,Ranking!AE327)</f>
        <v>2.1978021978021976E-2</v>
      </c>
      <c r="AU327" s="49">
        <f t="shared" ref="AU327:AU348" si="108">SUM(AG327:AT327)</f>
        <v>0.76923076923076927</v>
      </c>
    </row>
    <row r="328" spans="2:47" x14ac:dyDescent="0.25">
      <c r="B328" s="48">
        <f>IF('Resultado da inspeção'!F328='Resultado da inspeção'!$W$4,0%,Ranking!B$5)</f>
        <v>0.02</v>
      </c>
      <c r="C328" s="48">
        <f>IF('Resultado da inspeção'!G328='Resultado da inspeção'!$W$4,0%,Ranking!C$5)</f>
        <v>0.03</v>
      </c>
      <c r="D328" s="48">
        <f>IF('Resultado da inspeção'!H328='Resultado da inspeção'!$W$4,0%,Ranking!D$5)</f>
        <v>0.03</v>
      </c>
      <c r="E328" s="48">
        <f>IF('Resultado da inspeção'!I328='Resultado da inspeção'!$W$4,0%,Ranking!E$5)</f>
        <v>0.1</v>
      </c>
      <c r="F328" s="48">
        <f>IF('Resultado da inspeção'!J328='Resultado da inspeção'!$W$4,0%,Ranking!F$5)</f>
        <v>0.21</v>
      </c>
      <c r="G328" s="48">
        <f>IF('Resultado da inspeção'!K328='Resultado da inspeção'!$W$4,0%,Ranking!G$5)</f>
        <v>0.05</v>
      </c>
      <c r="H328" s="48">
        <f>IF('Resultado da inspeção'!L328='Resultado da inspeção'!$W$4,0%,Ranking!H$5)</f>
        <v>0.24</v>
      </c>
      <c r="I328" s="48">
        <f>IF('Resultado da inspeção'!M328='Resultado da inspeção'!$W$4,0%,Ranking!I$5)</f>
        <v>0</v>
      </c>
      <c r="J328" s="48">
        <f>IF('Resultado da inspeção'!N328='Resultado da inspeção'!$W$4,0%,Ranking!J$5)</f>
        <v>0</v>
      </c>
      <c r="K328" s="48">
        <f>IF('Resultado da inspeção'!O328='Resultado da inspeção'!$W$4,0%,Ranking!K$5)</f>
        <v>0.06</v>
      </c>
      <c r="L328" s="48">
        <f>IF('Resultado da inspeção'!P328='Resultado da inspeção'!$W$4,0%,Ranking!L$5)</f>
        <v>0.08</v>
      </c>
      <c r="M328" s="48">
        <f>IF('Resultado da inspeção'!Q328='Resultado da inspeção'!$W$4,0%,Ranking!M$5)</f>
        <v>0.05</v>
      </c>
      <c r="N328" s="48">
        <f>IF('Resultado da inspeção'!R328='Resultado da inspeção'!$W$4,0%,Ranking!N$5)</f>
        <v>0.02</v>
      </c>
      <c r="O328" s="48">
        <f>IF('Resultado da inspeção'!S328='Resultado da inspeção'!$W$4,0%,Ranking!O$5)</f>
        <v>0.02</v>
      </c>
      <c r="P328" s="47">
        <f t="shared" si="91"/>
        <v>0.91</v>
      </c>
      <c r="Q328" s="49">
        <f t="shared" si="106"/>
        <v>8.9999999999999969E-2</v>
      </c>
      <c r="R328" s="50">
        <f t="shared" si="92"/>
        <v>2.1978021978021976E-2</v>
      </c>
      <c r="S328" s="50">
        <f t="shared" si="93"/>
        <v>3.2967032967032968E-2</v>
      </c>
      <c r="T328" s="50">
        <f t="shared" si="94"/>
        <v>3.2967032967032968E-2</v>
      </c>
      <c r="U328" s="50">
        <f t="shared" si="95"/>
        <v>0.10989010989010989</v>
      </c>
      <c r="V328" s="50">
        <f t="shared" si="96"/>
        <v>0.23076923076923075</v>
      </c>
      <c r="W328" s="50">
        <f t="shared" si="97"/>
        <v>5.4945054945054944E-2</v>
      </c>
      <c r="X328" s="50">
        <f t="shared" si="98"/>
        <v>0.26373626373626374</v>
      </c>
      <c r="Y328" s="50">
        <f t="shared" si="99"/>
        <v>0</v>
      </c>
      <c r="Z328" s="50">
        <f t="shared" si="100"/>
        <v>0</v>
      </c>
      <c r="AA328" s="50">
        <f t="shared" si="101"/>
        <v>6.5934065934065936E-2</v>
      </c>
      <c r="AB328" s="50">
        <f t="shared" si="102"/>
        <v>8.7912087912087905E-2</v>
      </c>
      <c r="AC328" s="50">
        <f t="shared" si="103"/>
        <v>5.4945054945054944E-2</v>
      </c>
      <c r="AD328" s="50">
        <f t="shared" si="104"/>
        <v>2.1978021978021976E-2</v>
      </c>
      <c r="AE328" s="50">
        <f t="shared" si="105"/>
        <v>2.1978021978021976E-2</v>
      </c>
      <c r="AF328" s="47">
        <f t="shared" si="107"/>
        <v>1</v>
      </c>
      <c r="AG328" s="50">
        <f>IF('Resultado da inspeção'!F328='Resultado da inspeção'!$W$3,0%,Ranking!R328)</f>
        <v>2.1978021978021976E-2</v>
      </c>
      <c r="AH328" s="50">
        <f>IF('Resultado da inspeção'!G328='Resultado da inspeção'!$W$3,0%,Ranking!S328)</f>
        <v>3.2967032967032968E-2</v>
      </c>
      <c r="AI328" s="50">
        <f>IF('Resultado da inspeção'!H328='Resultado da inspeção'!$W$3,0%,Ranking!T328)</f>
        <v>3.2967032967032968E-2</v>
      </c>
      <c r="AJ328" s="50">
        <f>IF('Resultado da inspeção'!I328='Resultado da inspeção'!$W$3,0%,Ranking!U328)</f>
        <v>0</v>
      </c>
      <c r="AK328" s="50">
        <f>IF('Resultado da inspeção'!J328='Resultado da inspeção'!$W$3,0%,Ranking!V328)</f>
        <v>0.23076923076923075</v>
      </c>
      <c r="AL328" s="50">
        <f>IF('Resultado da inspeção'!K328='Resultado da inspeção'!$W$3,0%,Ranking!W328)</f>
        <v>0</v>
      </c>
      <c r="AM328" s="50">
        <f>IF('Resultado da inspeção'!L328='Resultado da inspeção'!$W$3,0%,Ranking!X328)</f>
        <v>0</v>
      </c>
      <c r="AN328" s="50">
        <f>IF('Resultado da inspeção'!M328='Resultado da inspeção'!$W$3,0%,Ranking!Y328)</f>
        <v>0</v>
      </c>
      <c r="AO328" s="50">
        <f>IF('Resultado da inspeção'!N328='Resultado da inspeção'!$W$3,0%,Ranking!Z328)</f>
        <v>0</v>
      </c>
      <c r="AP328" s="50">
        <f>IF('Resultado da inspeção'!O328='Resultado da inspeção'!$W$3,0%,Ranking!AA328)</f>
        <v>6.5934065934065936E-2</v>
      </c>
      <c r="AQ328" s="50">
        <f>IF('Resultado da inspeção'!P328='Resultado da inspeção'!$W$3,0%,Ranking!AB328)</f>
        <v>8.7912087912087905E-2</v>
      </c>
      <c r="AR328" s="50">
        <f>IF('Resultado da inspeção'!Q328='Resultado da inspeção'!$W$3,0%,Ranking!AC328)</f>
        <v>5.4945054945054944E-2</v>
      </c>
      <c r="AS328" s="50">
        <f>IF('Resultado da inspeção'!R328='Resultado da inspeção'!$W$3,0%,Ranking!AD328)</f>
        <v>2.1978021978021976E-2</v>
      </c>
      <c r="AT328" s="50">
        <f>IF('Resultado da inspeção'!S328='Resultado da inspeção'!$W$3,0%,Ranking!AE328)</f>
        <v>2.1978021978021976E-2</v>
      </c>
      <c r="AU328" s="49">
        <f t="shared" si="108"/>
        <v>0.57142857142857151</v>
      </c>
    </row>
    <row r="329" spans="2:47" x14ac:dyDescent="0.25">
      <c r="B329" s="48">
        <f>IF('Resultado da inspeção'!F329='Resultado da inspeção'!$W$4,0%,Ranking!B$5)</f>
        <v>0.02</v>
      </c>
      <c r="C329" s="48">
        <f>IF('Resultado da inspeção'!G329='Resultado da inspeção'!$W$4,0%,Ranking!C$5)</f>
        <v>0.03</v>
      </c>
      <c r="D329" s="48">
        <f>IF('Resultado da inspeção'!H329='Resultado da inspeção'!$W$4,0%,Ranking!D$5)</f>
        <v>0.03</v>
      </c>
      <c r="E329" s="48">
        <f>IF('Resultado da inspeção'!I329='Resultado da inspeção'!$W$4,0%,Ranking!E$5)</f>
        <v>0.1</v>
      </c>
      <c r="F329" s="48">
        <f>IF('Resultado da inspeção'!J329='Resultado da inspeção'!$W$4,0%,Ranking!F$5)</f>
        <v>0.21</v>
      </c>
      <c r="G329" s="48">
        <f>IF('Resultado da inspeção'!K329='Resultado da inspeção'!$W$4,0%,Ranking!G$5)</f>
        <v>0.05</v>
      </c>
      <c r="H329" s="48">
        <f>IF('Resultado da inspeção'!L329='Resultado da inspeção'!$W$4,0%,Ranking!H$5)</f>
        <v>0.24</v>
      </c>
      <c r="I329" s="48">
        <f>IF('Resultado da inspeção'!M329='Resultado da inspeção'!$W$4,0%,Ranking!I$5)</f>
        <v>0</v>
      </c>
      <c r="J329" s="48">
        <f>IF('Resultado da inspeção'!N329='Resultado da inspeção'!$W$4,0%,Ranking!J$5)</f>
        <v>0</v>
      </c>
      <c r="K329" s="48">
        <f>IF('Resultado da inspeção'!O329='Resultado da inspeção'!$W$4,0%,Ranking!K$5)</f>
        <v>0.06</v>
      </c>
      <c r="L329" s="48">
        <f>IF('Resultado da inspeção'!P329='Resultado da inspeção'!$W$4,0%,Ranking!L$5)</f>
        <v>0.08</v>
      </c>
      <c r="M329" s="48">
        <f>IF('Resultado da inspeção'!Q329='Resultado da inspeção'!$W$4,0%,Ranking!M$5)</f>
        <v>0.05</v>
      </c>
      <c r="N329" s="48">
        <f>IF('Resultado da inspeção'!R329='Resultado da inspeção'!$W$4,0%,Ranking!N$5)</f>
        <v>0.02</v>
      </c>
      <c r="O329" s="48">
        <f>IF('Resultado da inspeção'!S329='Resultado da inspeção'!$W$4,0%,Ranking!O$5)</f>
        <v>0.02</v>
      </c>
      <c r="P329" s="47">
        <f t="shared" si="91"/>
        <v>0.91</v>
      </c>
      <c r="Q329" s="49">
        <f t="shared" si="106"/>
        <v>8.9999999999999969E-2</v>
      </c>
      <c r="R329" s="50">
        <f t="shared" si="92"/>
        <v>2.1978021978021976E-2</v>
      </c>
      <c r="S329" s="50">
        <f t="shared" si="93"/>
        <v>3.2967032967032968E-2</v>
      </c>
      <c r="T329" s="50">
        <f t="shared" si="94"/>
        <v>3.2967032967032968E-2</v>
      </c>
      <c r="U329" s="50">
        <f t="shared" si="95"/>
        <v>0.10989010989010989</v>
      </c>
      <c r="V329" s="50">
        <f t="shared" si="96"/>
        <v>0.23076923076923075</v>
      </c>
      <c r="W329" s="50">
        <f t="shared" si="97"/>
        <v>5.4945054945054944E-2</v>
      </c>
      <c r="X329" s="50">
        <f t="shared" si="98"/>
        <v>0.26373626373626374</v>
      </c>
      <c r="Y329" s="50">
        <f t="shared" si="99"/>
        <v>0</v>
      </c>
      <c r="Z329" s="50">
        <f t="shared" si="100"/>
        <v>0</v>
      </c>
      <c r="AA329" s="50">
        <f t="shared" si="101"/>
        <v>6.5934065934065936E-2</v>
      </c>
      <c r="AB329" s="50">
        <f t="shared" si="102"/>
        <v>8.7912087912087905E-2</v>
      </c>
      <c r="AC329" s="50">
        <f t="shared" si="103"/>
        <v>5.4945054945054944E-2</v>
      </c>
      <c r="AD329" s="50">
        <f t="shared" si="104"/>
        <v>2.1978021978021976E-2</v>
      </c>
      <c r="AE329" s="50">
        <f t="shared" si="105"/>
        <v>2.1978021978021976E-2</v>
      </c>
      <c r="AF329" s="47">
        <f t="shared" si="107"/>
        <v>1</v>
      </c>
      <c r="AG329" s="50">
        <f>IF('Resultado da inspeção'!F329='Resultado da inspeção'!$W$3,0%,Ranking!R329)</f>
        <v>2.1978021978021976E-2</v>
      </c>
      <c r="AH329" s="50">
        <f>IF('Resultado da inspeção'!G329='Resultado da inspeção'!$W$3,0%,Ranking!S329)</f>
        <v>3.2967032967032968E-2</v>
      </c>
      <c r="AI329" s="50">
        <f>IF('Resultado da inspeção'!H329='Resultado da inspeção'!$W$3,0%,Ranking!T329)</f>
        <v>3.2967032967032968E-2</v>
      </c>
      <c r="AJ329" s="50">
        <f>IF('Resultado da inspeção'!I329='Resultado da inspeção'!$W$3,0%,Ranking!U329)</f>
        <v>0</v>
      </c>
      <c r="AK329" s="50">
        <f>IF('Resultado da inspeção'!J329='Resultado da inspeção'!$W$3,0%,Ranking!V329)</f>
        <v>0.23076923076923075</v>
      </c>
      <c r="AL329" s="50">
        <f>IF('Resultado da inspeção'!K329='Resultado da inspeção'!$W$3,0%,Ranking!W329)</f>
        <v>0</v>
      </c>
      <c r="AM329" s="50">
        <f>IF('Resultado da inspeção'!L329='Resultado da inspeção'!$W$3,0%,Ranking!X329)</f>
        <v>0.26373626373626374</v>
      </c>
      <c r="AN329" s="50">
        <f>IF('Resultado da inspeção'!M329='Resultado da inspeção'!$W$3,0%,Ranking!Y329)</f>
        <v>0</v>
      </c>
      <c r="AO329" s="50">
        <f>IF('Resultado da inspeção'!N329='Resultado da inspeção'!$W$3,0%,Ranking!Z329)</f>
        <v>0</v>
      </c>
      <c r="AP329" s="50">
        <f>IF('Resultado da inspeção'!O329='Resultado da inspeção'!$W$3,0%,Ranking!AA329)</f>
        <v>6.5934065934065936E-2</v>
      </c>
      <c r="AQ329" s="50">
        <f>IF('Resultado da inspeção'!P329='Resultado da inspeção'!$W$3,0%,Ranking!AB329)</f>
        <v>8.7912087912087905E-2</v>
      </c>
      <c r="AR329" s="50">
        <f>IF('Resultado da inspeção'!Q329='Resultado da inspeção'!$W$3,0%,Ranking!AC329)</f>
        <v>5.4945054945054944E-2</v>
      </c>
      <c r="AS329" s="50">
        <f>IF('Resultado da inspeção'!R329='Resultado da inspeção'!$W$3,0%,Ranking!AD329)</f>
        <v>2.1978021978021976E-2</v>
      </c>
      <c r="AT329" s="50">
        <f>IF('Resultado da inspeção'!S329='Resultado da inspeção'!$W$3,0%,Ranking!AE329)</f>
        <v>2.1978021978021976E-2</v>
      </c>
      <c r="AU329" s="49">
        <f t="shared" si="108"/>
        <v>0.8351648351648352</v>
      </c>
    </row>
    <row r="330" spans="2:47" x14ac:dyDescent="0.25">
      <c r="B330" s="48">
        <f>IF('Resultado da inspeção'!F330='Resultado da inspeção'!$W$4,0%,Ranking!B$5)</f>
        <v>0.02</v>
      </c>
      <c r="C330" s="48">
        <f>IF('Resultado da inspeção'!G330='Resultado da inspeção'!$W$4,0%,Ranking!C$5)</f>
        <v>0.03</v>
      </c>
      <c r="D330" s="48">
        <f>IF('Resultado da inspeção'!H330='Resultado da inspeção'!$W$4,0%,Ranking!D$5)</f>
        <v>0.03</v>
      </c>
      <c r="E330" s="48">
        <f>IF('Resultado da inspeção'!I330='Resultado da inspeção'!$W$4,0%,Ranking!E$5)</f>
        <v>0.1</v>
      </c>
      <c r="F330" s="48">
        <f>IF('Resultado da inspeção'!J330='Resultado da inspeção'!$W$4,0%,Ranking!F$5)</f>
        <v>0.21</v>
      </c>
      <c r="G330" s="48">
        <f>IF('Resultado da inspeção'!K330='Resultado da inspeção'!$W$4,0%,Ranking!G$5)</f>
        <v>0.05</v>
      </c>
      <c r="H330" s="48">
        <f>IF('Resultado da inspeção'!L330='Resultado da inspeção'!$W$4,0%,Ranking!H$5)</f>
        <v>0.24</v>
      </c>
      <c r="I330" s="48">
        <f>IF('Resultado da inspeção'!M330='Resultado da inspeção'!$W$4,0%,Ranking!I$5)</f>
        <v>0</v>
      </c>
      <c r="J330" s="48">
        <f>IF('Resultado da inspeção'!N330='Resultado da inspeção'!$W$4,0%,Ranking!J$5)</f>
        <v>0</v>
      </c>
      <c r="K330" s="48">
        <f>IF('Resultado da inspeção'!O330='Resultado da inspeção'!$W$4,0%,Ranking!K$5)</f>
        <v>0.06</v>
      </c>
      <c r="L330" s="48">
        <f>IF('Resultado da inspeção'!P330='Resultado da inspeção'!$W$4,0%,Ranking!L$5)</f>
        <v>0.08</v>
      </c>
      <c r="M330" s="48">
        <f>IF('Resultado da inspeção'!Q330='Resultado da inspeção'!$W$4,0%,Ranking!M$5)</f>
        <v>0.05</v>
      </c>
      <c r="N330" s="48">
        <f>IF('Resultado da inspeção'!R330='Resultado da inspeção'!$W$4,0%,Ranking!N$5)</f>
        <v>0.02</v>
      </c>
      <c r="O330" s="48">
        <f>IF('Resultado da inspeção'!S330='Resultado da inspeção'!$W$4,0%,Ranking!O$5)</f>
        <v>0.02</v>
      </c>
      <c r="P330" s="47">
        <f t="shared" si="91"/>
        <v>0.91</v>
      </c>
      <c r="Q330" s="49">
        <f t="shared" si="106"/>
        <v>8.9999999999999969E-2</v>
      </c>
      <c r="R330" s="50">
        <f t="shared" si="92"/>
        <v>2.1978021978021976E-2</v>
      </c>
      <c r="S330" s="50">
        <f t="shared" si="93"/>
        <v>3.2967032967032968E-2</v>
      </c>
      <c r="T330" s="50">
        <f t="shared" si="94"/>
        <v>3.2967032967032968E-2</v>
      </c>
      <c r="U330" s="50">
        <f t="shared" si="95"/>
        <v>0.10989010989010989</v>
      </c>
      <c r="V330" s="50">
        <f t="shared" si="96"/>
        <v>0.23076923076923075</v>
      </c>
      <c r="W330" s="50">
        <f t="shared" si="97"/>
        <v>5.4945054945054944E-2</v>
      </c>
      <c r="X330" s="50">
        <f t="shared" si="98"/>
        <v>0.26373626373626374</v>
      </c>
      <c r="Y330" s="50">
        <f t="shared" si="99"/>
        <v>0</v>
      </c>
      <c r="Z330" s="50">
        <f t="shared" si="100"/>
        <v>0</v>
      </c>
      <c r="AA330" s="50">
        <f t="shared" si="101"/>
        <v>6.5934065934065936E-2</v>
      </c>
      <c r="AB330" s="50">
        <f t="shared" si="102"/>
        <v>8.7912087912087905E-2</v>
      </c>
      <c r="AC330" s="50">
        <f t="shared" si="103"/>
        <v>5.4945054945054944E-2</v>
      </c>
      <c r="AD330" s="50">
        <f t="shared" si="104"/>
        <v>2.1978021978021976E-2</v>
      </c>
      <c r="AE330" s="50">
        <f t="shared" si="105"/>
        <v>2.1978021978021976E-2</v>
      </c>
      <c r="AF330" s="47">
        <f t="shared" si="107"/>
        <v>1</v>
      </c>
      <c r="AG330" s="50">
        <f>IF('Resultado da inspeção'!F330='Resultado da inspeção'!$W$3,0%,Ranking!R330)</f>
        <v>2.1978021978021976E-2</v>
      </c>
      <c r="AH330" s="50">
        <f>IF('Resultado da inspeção'!G330='Resultado da inspeção'!$W$3,0%,Ranking!S330)</f>
        <v>3.2967032967032968E-2</v>
      </c>
      <c r="AI330" s="50">
        <f>IF('Resultado da inspeção'!H330='Resultado da inspeção'!$W$3,0%,Ranking!T330)</f>
        <v>3.2967032967032968E-2</v>
      </c>
      <c r="AJ330" s="50">
        <f>IF('Resultado da inspeção'!I330='Resultado da inspeção'!$W$3,0%,Ranking!U330)</f>
        <v>0</v>
      </c>
      <c r="AK330" s="50">
        <f>IF('Resultado da inspeção'!J330='Resultado da inspeção'!$W$3,0%,Ranking!V330)</f>
        <v>0.23076923076923075</v>
      </c>
      <c r="AL330" s="50">
        <f>IF('Resultado da inspeção'!K330='Resultado da inspeção'!$W$3,0%,Ranking!W330)</f>
        <v>5.4945054945054944E-2</v>
      </c>
      <c r="AM330" s="50">
        <f>IF('Resultado da inspeção'!L330='Resultado da inspeção'!$W$3,0%,Ranking!X330)</f>
        <v>0.26373626373626374</v>
      </c>
      <c r="AN330" s="50">
        <f>IF('Resultado da inspeção'!M330='Resultado da inspeção'!$W$3,0%,Ranking!Y330)</f>
        <v>0</v>
      </c>
      <c r="AO330" s="50">
        <f>IF('Resultado da inspeção'!N330='Resultado da inspeção'!$W$3,0%,Ranking!Z330)</f>
        <v>0</v>
      </c>
      <c r="AP330" s="50">
        <f>IF('Resultado da inspeção'!O330='Resultado da inspeção'!$W$3,0%,Ranking!AA330)</f>
        <v>6.5934065934065936E-2</v>
      </c>
      <c r="AQ330" s="50">
        <f>IF('Resultado da inspeção'!P330='Resultado da inspeção'!$W$3,0%,Ranking!AB330)</f>
        <v>8.7912087912087905E-2</v>
      </c>
      <c r="AR330" s="50">
        <f>IF('Resultado da inspeção'!Q330='Resultado da inspeção'!$W$3,0%,Ranking!AC330)</f>
        <v>5.4945054945054944E-2</v>
      </c>
      <c r="AS330" s="50">
        <f>IF('Resultado da inspeção'!R330='Resultado da inspeção'!$W$3,0%,Ranking!AD330)</f>
        <v>2.1978021978021976E-2</v>
      </c>
      <c r="AT330" s="50">
        <f>IF('Resultado da inspeção'!S330='Resultado da inspeção'!$W$3,0%,Ranking!AE330)</f>
        <v>2.1978021978021976E-2</v>
      </c>
      <c r="AU330" s="49">
        <f t="shared" si="108"/>
        <v>0.89010989010989017</v>
      </c>
    </row>
    <row r="331" spans="2:47" x14ac:dyDescent="0.25">
      <c r="B331" s="48">
        <f>IF('Resultado da inspeção'!F331='Resultado da inspeção'!$W$4,0%,Ranking!B$5)</f>
        <v>0.02</v>
      </c>
      <c r="C331" s="48">
        <f>IF('Resultado da inspeção'!G331='Resultado da inspeção'!$W$4,0%,Ranking!C$5)</f>
        <v>0.03</v>
      </c>
      <c r="D331" s="48">
        <f>IF('Resultado da inspeção'!H331='Resultado da inspeção'!$W$4,0%,Ranking!D$5)</f>
        <v>0.03</v>
      </c>
      <c r="E331" s="48">
        <f>IF('Resultado da inspeção'!I331='Resultado da inspeção'!$W$4,0%,Ranking!E$5)</f>
        <v>0.1</v>
      </c>
      <c r="F331" s="48">
        <f>IF('Resultado da inspeção'!J331='Resultado da inspeção'!$W$4,0%,Ranking!F$5)</f>
        <v>0.21</v>
      </c>
      <c r="G331" s="48">
        <f>IF('Resultado da inspeção'!K331='Resultado da inspeção'!$W$4,0%,Ranking!G$5)</f>
        <v>0.05</v>
      </c>
      <c r="H331" s="48">
        <f>IF('Resultado da inspeção'!L331='Resultado da inspeção'!$W$4,0%,Ranking!H$5)</f>
        <v>0.24</v>
      </c>
      <c r="I331" s="48">
        <f>IF('Resultado da inspeção'!M331='Resultado da inspeção'!$W$4,0%,Ranking!I$5)</f>
        <v>0.05</v>
      </c>
      <c r="J331" s="48">
        <f>IF('Resultado da inspeção'!N331='Resultado da inspeção'!$W$4,0%,Ranking!J$5)</f>
        <v>0.04</v>
      </c>
      <c r="K331" s="48">
        <f>IF('Resultado da inspeção'!O331='Resultado da inspeção'!$W$4,0%,Ranking!K$5)</f>
        <v>0.06</v>
      </c>
      <c r="L331" s="48">
        <f>IF('Resultado da inspeção'!P331='Resultado da inspeção'!$W$4,0%,Ranking!L$5)</f>
        <v>0.08</v>
      </c>
      <c r="M331" s="48">
        <f>IF('Resultado da inspeção'!Q331='Resultado da inspeção'!$W$4,0%,Ranking!M$5)</f>
        <v>0.05</v>
      </c>
      <c r="N331" s="48">
        <f>IF('Resultado da inspeção'!R331='Resultado da inspeção'!$W$4,0%,Ranking!N$5)</f>
        <v>0.02</v>
      </c>
      <c r="O331" s="48">
        <f>IF('Resultado da inspeção'!S331='Resultado da inspeção'!$W$4,0%,Ranking!O$5)</f>
        <v>0.02</v>
      </c>
      <c r="P331" s="47">
        <f t="shared" si="91"/>
        <v>1</v>
      </c>
      <c r="Q331" s="49">
        <f t="shared" si="106"/>
        <v>0</v>
      </c>
      <c r="R331" s="50">
        <f t="shared" si="92"/>
        <v>0.02</v>
      </c>
      <c r="S331" s="50">
        <f t="shared" si="93"/>
        <v>0.03</v>
      </c>
      <c r="T331" s="50">
        <f t="shared" si="94"/>
        <v>0.03</v>
      </c>
      <c r="U331" s="50">
        <f t="shared" si="95"/>
        <v>0.1</v>
      </c>
      <c r="V331" s="50">
        <f t="shared" si="96"/>
        <v>0.21</v>
      </c>
      <c r="W331" s="50">
        <f t="shared" si="97"/>
        <v>0.05</v>
      </c>
      <c r="X331" s="50">
        <f t="shared" si="98"/>
        <v>0.24</v>
      </c>
      <c r="Y331" s="50">
        <f t="shared" si="99"/>
        <v>0.05</v>
      </c>
      <c r="Z331" s="50">
        <f t="shared" si="100"/>
        <v>0.04</v>
      </c>
      <c r="AA331" s="50">
        <f t="shared" si="101"/>
        <v>0.06</v>
      </c>
      <c r="AB331" s="50">
        <f t="shared" si="102"/>
        <v>0.08</v>
      </c>
      <c r="AC331" s="50">
        <f t="shared" si="103"/>
        <v>0.05</v>
      </c>
      <c r="AD331" s="50">
        <f t="shared" si="104"/>
        <v>0.02</v>
      </c>
      <c r="AE331" s="50">
        <f t="shared" si="105"/>
        <v>0.02</v>
      </c>
      <c r="AF331" s="47">
        <f t="shared" si="107"/>
        <v>1</v>
      </c>
      <c r="AG331" s="50">
        <f>IF('Resultado da inspeção'!F331='Resultado da inspeção'!$W$3,0%,Ranking!R331)</f>
        <v>0</v>
      </c>
      <c r="AH331" s="50">
        <f>IF('Resultado da inspeção'!G331='Resultado da inspeção'!$W$3,0%,Ranking!S331)</f>
        <v>0</v>
      </c>
      <c r="AI331" s="50">
        <f>IF('Resultado da inspeção'!H331='Resultado da inspeção'!$W$3,0%,Ranking!T331)</f>
        <v>0</v>
      </c>
      <c r="AJ331" s="50">
        <f>IF('Resultado da inspeção'!I331='Resultado da inspeção'!$W$3,0%,Ranking!U331)</f>
        <v>0</v>
      </c>
      <c r="AK331" s="50">
        <f>IF('Resultado da inspeção'!J331='Resultado da inspeção'!$W$3,0%,Ranking!V331)</f>
        <v>0</v>
      </c>
      <c r="AL331" s="50">
        <f>IF('Resultado da inspeção'!K331='Resultado da inspeção'!$W$3,0%,Ranking!W331)</f>
        <v>0</v>
      </c>
      <c r="AM331" s="50">
        <f>IF('Resultado da inspeção'!L331='Resultado da inspeção'!$W$3,0%,Ranking!X331)</f>
        <v>0</v>
      </c>
      <c r="AN331" s="50">
        <f>IF('Resultado da inspeção'!M331='Resultado da inspeção'!$W$3,0%,Ranking!Y331)</f>
        <v>0</v>
      </c>
      <c r="AO331" s="50">
        <f>IF('Resultado da inspeção'!N331='Resultado da inspeção'!$W$3,0%,Ranking!Z331)</f>
        <v>0</v>
      </c>
      <c r="AP331" s="50">
        <f>IF('Resultado da inspeção'!O331='Resultado da inspeção'!$W$3,0%,Ranking!AA331)</f>
        <v>0.06</v>
      </c>
      <c r="AQ331" s="50">
        <f>IF('Resultado da inspeção'!P331='Resultado da inspeção'!$W$3,0%,Ranking!AB331)</f>
        <v>0.08</v>
      </c>
      <c r="AR331" s="50">
        <f>IF('Resultado da inspeção'!Q331='Resultado da inspeção'!$W$3,0%,Ranking!AC331)</f>
        <v>0.05</v>
      </c>
      <c r="AS331" s="50">
        <f>IF('Resultado da inspeção'!R331='Resultado da inspeção'!$W$3,0%,Ranking!AD331)</f>
        <v>0.02</v>
      </c>
      <c r="AT331" s="50">
        <f>IF('Resultado da inspeção'!S331='Resultado da inspeção'!$W$3,0%,Ranking!AE331)</f>
        <v>0.02</v>
      </c>
      <c r="AU331" s="49">
        <f t="shared" si="108"/>
        <v>0.22999999999999998</v>
      </c>
    </row>
    <row r="332" spans="2:47" x14ac:dyDescent="0.25">
      <c r="B332" s="48">
        <f>IF('Resultado da inspeção'!F332='Resultado da inspeção'!$W$4,0%,Ranking!B$5)</f>
        <v>0.02</v>
      </c>
      <c r="C332" s="48">
        <f>IF('Resultado da inspeção'!G332='Resultado da inspeção'!$W$4,0%,Ranking!C$5)</f>
        <v>0.03</v>
      </c>
      <c r="D332" s="48">
        <f>IF('Resultado da inspeção'!H332='Resultado da inspeção'!$W$4,0%,Ranking!D$5)</f>
        <v>0.03</v>
      </c>
      <c r="E332" s="48">
        <f>IF('Resultado da inspeção'!I332='Resultado da inspeção'!$W$4,0%,Ranking!E$5)</f>
        <v>0.1</v>
      </c>
      <c r="F332" s="48">
        <f>IF('Resultado da inspeção'!J332='Resultado da inspeção'!$W$4,0%,Ranking!F$5)</f>
        <v>0.21</v>
      </c>
      <c r="G332" s="48">
        <f>IF('Resultado da inspeção'!K332='Resultado da inspeção'!$W$4,0%,Ranking!G$5)</f>
        <v>0.05</v>
      </c>
      <c r="H332" s="48">
        <f>IF('Resultado da inspeção'!L332='Resultado da inspeção'!$W$4,0%,Ranking!H$5)</f>
        <v>0.24</v>
      </c>
      <c r="I332" s="48">
        <f>IF('Resultado da inspeção'!M332='Resultado da inspeção'!$W$4,0%,Ranking!I$5)</f>
        <v>0.05</v>
      </c>
      <c r="J332" s="48">
        <f>IF('Resultado da inspeção'!N332='Resultado da inspeção'!$W$4,0%,Ranking!J$5)</f>
        <v>0.04</v>
      </c>
      <c r="K332" s="48">
        <f>IF('Resultado da inspeção'!O332='Resultado da inspeção'!$W$4,0%,Ranking!K$5)</f>
        <v>0.06</v>
      </c>
      <c r="L332" s="48">
        <f>IF('Resultado da inspeção'!P332='Resultado da inspeção'!$W$4,0%,Ranking!L$5)</f>
        <v>0.08</v>
      </c>
      <c r="M332" s="48">
        <f>IF('Resultado da inspeção'!Q332='Resultado da inspeção'!$W$4,0%,Ranking!M$5)</f>
        <v>0.05</v>
      </c>
      <c r="N332" s="48">
        <f>IF('Resultado da inspeção'!R332='Resultado da inspeção'!$W$4,0%,Ranking!N$5)</f>
        <v>0.02</v>
      </c>
      <c r="O332" s="48">
        <f>IF('Resultado da inspeção'!S332='Resultado da inspeção'!$W$4,0%,Ranking!O$5)</f>
        <v>0.02</v>
      </c>
      <c r="P332" s="47">
        <f t="shared" si="91"/>
        <v>1</v>
      </c>
      <c r="Q332" s="49">
        <f t="shared" si="106"/>
        <v>0</v>
      </c>
      <c r="R332" s="50">
        <f t="shared" si="92"/>
        <v>0.02</v>
      </c>
      <c r="S332" s="50">
        <f t="shared" si="93"/>
        <v>0.03</v>
      </c>
      <c r="T332" s="50">
        <f t="shared" si="94"/>
        <v>0.03</v>
      </c>
      <c r="U332" s="50">
        <f t="shared" si="95"/>
        <v>0.1</v>
      </c>
      <c r="V332" s="50">
        <f t="shared" si="96"/>
        <v>0.21</v>
      </c>
      <c r="W332" s="50">
        <f t="shared" si="97"/>
        <v>0.05</v>
      </c>
      <c r="X332" s="50">
        <f t="shared" si="98"/>
        <v>0.24</v>
      </c>
      <c r="Y332" s="50">
        <f t="shared" si="99"/>
        <v>0.05</v>
      </c>
      <c r="Z332" s="50">
        <f t="shared" si="100"/>
        <v>0.04</v>
      </c>
      <c r="AA332" s="50">
        <f t="shared" si="101"/>
        <v>0.06</v>
      </c>
      <c r="AB332" s="50">
        <f t="shared" si="102"/>
        <v>0.08</v>
      </c>
      <c r="AC332" s="50">
        <f t="shared" si="103"/>
        <v>0.05</v>
      </c>
      <c r="AD332" s="50">
        <f t="shared" si="104"/>
        <v>0.02</v>
      </c>
      <c r="AE332" s="50">
        <f t="shared" si="105"/>
        <v>0.02</v>
      </c>
      <c r="AF332" s="47">
        <f t="shared" si="107"/>
        <v>1</v>
      </c>
      <c r="AG332" s="50">
        <f>IF('Resultado da inspeção'!F332='Resultado da inspeção'!$W$3,0%,Ranking!R332)</f>
        <v>0</v>
      </c>
      <c r="AH332" s="50">
        <f>IF('Resultado da inspeção'!G332='Resultado da inspeção'!$W$3,0%,Ranking!S332)</f>
        <v>0</v>
      </c>
      <c r="AI332" s="50">
        <f>IF('Resultado da inspeção'!H332='Resultado da inspeção'!$W$3,0%,Ranking!T332)</f>
        <v>0</v>
      </c>
      <c r="AJ332" s="50">
        <f>IF('Resultado da inspeção'!I332='Resultado da inspeção'!$W$3,0%,Ranking!U332)</f>
        <v>0</v>
      </c>
      <c r="AK332" s="50">
        <f>IF('Resultado da inspeção'!J332='Resultado da inspeção'!$W$3,0%,Ranking!V332)</f>
        <v>0.21</v>
      </c>
      <c r="AL332" s="50">
        <f>IF('Resultado da inspeção'!K332='Resultado da inspeção'!$W$3,0%,Ranking!W332)</f>
        <v>0</v>
      </c>
      <c r="AM332" s="50">
        <f>IF('Resultado da inspeção'!L332='Resultado da inspeção'!$W$3,0%,Ranking!X332)</f>
        <v>0</v>
      </c>
      <c r="AN332" s="50">
        <f>IF('Resultado da inspeção'!M332='Resultado da inspeção'!$W$3,0%,Ranking!Y332)</f>
        <v>0</v>
      </c>
      <c r="AO332" s="50">
        <f>IF('Resultado da inspeção'!N332='Resultado da inspeção'!$W$3,0%,Ranking!Z332)</f>
        <v>0</v>
      </c>
      <c r="AP332" s="50">
        <f>IF('Resultado da inspeção'!O332='Resultado da inspeção'!$W$3,0%,Ranking!AA332)</f>
        <v>0.06</v>
      </c>
      <c r="AQ332" s="50">
        <f>IF('Resultado da inspeção'!P332='Resultado da inspeção'!$W$3,0%,Ranking!AB332)</f>
        <v>0.08</v>
      </c>
      <c r="AR332" s="50">
        <f>IF('Resultado da inspeção'!Q332='Resultado da inspeção'!$W$3,0%,Ranking!AC332)</f>
        <v>0.05</v>
      </c>
      <c r="AS332" s="50">
        <f>IF('Resultado da inspeção'!R332='Resultado da inspeção'!$W$3,0%,Ranking!AD332)</f>
        <v>0.02</v>
      </c>
      <c r="AT332" s="50">
        <f>IF('Resultado da inspeção'!S332='Resultado da inspeção'!$W$3,0%,Ranking!AE332)</f>
        <v>0.02</v>
      </c>
      <c r="AU332" s="49">
        <f t="shared" si="108"/>
        <v>0.44000000000000006</v>
      </c>
    </row>
    <row r="333" spans="2:47" x14ac:dyDescent="0.25">
      <c r="B333" s="48">
        <f>IF('Resultado da inspeção'!F333='Resultado da inspeção'!$W$4,0%,Ranking!B$5)</f>
        <v>0.02</v>
      </c>
      <c r="C333" s="48">
        <f>IF('Resultado da inspeção'!G333='Resultado da inspeção'!$W$4,0%,Ranking!C$5)</f>
        <v>0.03</v>
      </c>
      <c r="D333" s="48">
        <f>IF('Resultado da inspeção'!H333='Resultado da inspeção'!$W$4,0%,Ranking!D$5)</f>
        <v>0.03</v>
      </c>
      <c r="E333" s="48">
        <f>IF('Resultado da inspeção'!I333='Resultado da inspeção'!$W$4,0%,Ranking!E$5)</f>
        <v>0.1</v>
      </c>
      <c r="F333" s="48">
        <f>IF('Resultado da inspeção'!J333='Resultado da inspeção'!$W$4,0%,Ranking!F$5)</f>
        <v>0.21</v>
      </c>
      <c r="G333" s="48">
        <f>IF('Resultado da inspeção'!K333='Resultado da inspeção'!$W$4,0%,Ranking!G$5)</f>
        <v>0.05</v>
      </c>
      <c r="H333" s="48">
        <f>IF('Resultado da inspeção'!L333='Resultado da inspeção'!$W$4,0%,Ranking!H$5)</f>
        <v>0.24</v>
      </c>
      <c r="I333" s="48">
        <f>IF('Resultado da inspeção'!M333='Resultado da inspeção'!$W$4,0%,Ranking!I$5)</f>
        <v>0</v>
      </c>
      <c r="J333" s="48">
        <f>IF('Resultado da inspeção'!N333='Resultado da inspeção'!$W$4,0%,Ranking!J$5)</f>
        <v>0</v>
      </c>
      <c r="K333" s="48">
        <f>IF('Resultado da inspeção'!O333='Resultado da inspeção'!$W$4,0%,Ranking!K$5)</f>
        <v>0.06</v>
      </c>
      <c r="L333" s="48">
        <f>IF('Resultado da inspeção'!P333='Resultado da inspeção'!$W$4,0%,Ranking!L$5)</f>
        <v>0.08</v>
      </c>
      <c r="M333" s="48">
        <f>IF('Resultado da inspeção'!Q333='Resultado da inspeção'!$W$4,0%,Ranking!M$5)</f>
        <v>0.05</v>
      </c>
      <c r="N333" s="48">
        <f>IF('Resultado da inspeção'!R333='Resultado da inspeção'!$W$4,0%,Ranking!N$5)</f>
        <v>0.02</v>
      </c>
      <c r="O333" s="48">
        <f>IF('Resultado da inspeção'!S333='Resultado da inspeção'!$W$4,0%,Ranking!O$5)</f>
        <v>0.02</v>
      </c>
      <c r="P333" s="47">
        <f t="shared" si="91"/>
        <v>0.91</v>
      </c>
      <c r="Q333" s="49">
        <f t="shared" si="106"/>
        <v>8.9999999999999969E-2</v>
      </c>
      <c r="R333" s="50">
        <f t="shared" si="92"/>
        <v>2.1978021978021976E-2</v>
      </c>
      <c r="S333" s="50">
        <f t="shared" si="93"/>
        <v>3.2967032967032968E-2</v>
      </c>
      <c r="T333" s="50">
        <f t="shared" si="94"/>
        <v>3.2967032967032968E-2</v>
      </c>
      <c r="U333" s="50">
        <f t="shared" si="95"/>
        <v>0.10989010989010989</v>
      </c>
      <c r="V333" s="50">
        <f t="shared" si="96"/>
        <v>0.23076923076923075</v>
      </c>
      <c r="W333" s="50">
        <f t="shared" si="97"/>
        <v>5.4945054945054944E-2</v>
      </c>
      <c r="X333" s="50">
        <f t="shared" si="98"/>
        <v>0.26373626373626374</v>
      </c>
      <c r="Y333" s="50">
        <f t="shared" si="99"/>
        <v>0</v>
      </c>
      <c r="Z333" s="50">
        <f t="shared" si="100"/>
        <v>0</v>
      </c>
      <c r="AA333" s="50">
        <f t="shared" si="101"/>
        <v>6.5934065934065936E-2</v>
      </c>
      <c r="AB333" s="50">
        <f t="shared" si="102"/>
        <v>8.7912087912087905E-2</v>
      </c>
      <c r="AC333" s="50">
        <f t="shared" si="103"/>
        <v>5.4945054945054944E-2</v>
      </c>
      <c r="AD333" s="50">
        <f t="shared" si="104"/>
        <v>2.1978021978021976E-2</v>
      </c>
      <c r="AE333" s="50">
        <f t="shared" si="105"/>
        <v>2.1978021978021976E-2</v>
      </c>
      <c r="AF333" s="47">
        <f t="shared" si="107"/>
        <v>1</v>
      </c>
      <c r="AG333" s="50">
        <f>IF('Resultado da inspeção'!F333='Resultado da inspeção'!$W$3,0%,Ranking!R333)</f>
        <v>0</v>
      </c>
      <c r="AH333" s="50">
        <f>IF('Resultado da inspeção'!G333='Resultado da inspeção'!$W$3,0%,Ranking!S333)</f>
        <v>0</v>
      </c>
      <c r="AI333" s="50">
        <f>IF('Resultado da inspeção'!H333='Resultado da inspeção'!$W$3,0%,Ranking!T333)</f>
        <v>0</v>
      </c>
      <c r="AJ333" s="50">
        <f>IF('Resultado da inspeção'!I333='Resultado da inspeção'!$W$3,0%,Ranking!U333)</f>
        <v>0</v>
      </c>
      <c r="AK333" s="50">
        <f>IF('Resultado da inspeção'!J333='Resultado da inspeção'!$W$3,0%,Ranking!V333)</f>
        <v>0.23076923076923075</v>
      </c>
      <c r="AL333" s="50">
        <f>IF('Resultado da inspeção'!K333='Resultado da inspeção'!$W$3,0%,Ranking!W333)</f>
        <v>0</v>
      </c>
      <c r="AM333" s="50">
        <f>IF('Resultado da inspeção'!L333='Resultado da inspeção'!$W$3,0%,Ranking!X333)</f>
        <v>0</v>
      </c>
      <c r="AN333" s="50">
        <f>IF('Resultado da inspeção'!M333='Resultado da inspeção'!$W$3,0%,Ranking!Y333)</f>
        <v>0</v>
      </c>
      <c r="AO333" s="50">
        <f>IF('Resultado da inspeção'!N333='Resultado da inspeção'!$W$3,0%,Ranking!Z333)</f>
        <v>0</v>
      </c>
      <c r="AP333" s="50">
        <f>IF('Resultado da inspeção'!O333='Resultado da inspeção'!$W$3,0%,Ranking!AA333)</f>
        <v>6.5934065934065936E-2</v>
      </c>
      <c r="AQ333" s="50">
        <f>IF('Resultado da inspeção'!P333='Resultado da inspeção'!$W$3,0%,Ranking!AB333)</f>
        <v>8.7912087912087905E-2</v>
      </c>
      <c r="AR333" s="50">
        <f>IF('Resultado da inspeção'!Q333='Resultado da inspeção'!$W$3,0%,Ranking!AC333)</f>
        <v>5.4945054945054944E-2</v>
      </c>
      <c r="AS333" s="50">
        <f>IF('Resultado da inspeção'!R333='Resultado da inspeção'!$W$3,0%,Ranking!AD333)</f>
        <v>2.1978021978021976E-2</v>
      </c>
      <c r="AT333" s="50">
        <f>IF('Resultado da inspeção'!S333='Resultado da inspeção'!$W$3,0%,Ranking!AE333)</f>
        <v>2.1978021978021976E-2</v>
      </c>
      <c r="AU333" s="49">
        <f t="shared" si="108"/>
        <v>0.48351648351648346</v>
      </c>
    </row>
    <row r="334" spans="2:47" x14ac:dyDescent="0.25">
      <c r="B334" s="48">
        <f>IF('Resultado da inspeção'!F334='Resultado da inspeção'!$W$4,0%,Ranking!B$5)</f>
        <v>0.02</v>
      </c>
      <c r="C334" s="48">
        <f>IF('Resultado da inspeção'!G334='Resultado da inspeção'!$W$4,0%,Ranking!C$5)</f>
        <v>0.03</v>
      </c>
      <c r="D334" s="48">
        <f>IF('Resultado da inspeção'!H334='Resultado da inspeção'!$W$4,0%,Ranking!D$5)</f>
        <v>0.03</v>
      </c>
      <c r="E334" s="48">
        <f>IF('Resultado da inspeção'!I334='Resultado da inspeção'!$W$4,0%,Ranking!E$5)</f>
        <v>0.1</v>
      </c>
      <c r="F334" s="48">
        <f>IF('Resultado da inspeção'!J334='Resultado da inspeção'!$W$4,0%,Ranking!F$5)</f>
        <v>0.21</v>
      </c>
      <c r="G334" s="48">
        <f>IF('Resultado da inspeção'!K334='Resultado da inspeção'!$W$4,0%,Ranking!G$5)</f>
        <v>0.05</v>
      </c>
      <c r="H334" s="48">
        <f>IF('Resultado da inspeção'!L334='Resultado da inspeção'!$W$4,0%,Ranking!H$5)</f>
        <v>0.24</v>
      </c>
      <c r="I334" s="48">
        <f>IF('Resultado da inspeção'!M334='Resultado da inspeção'!$W$4,0%,Ranking!I$5)</f>
        <v>0.05</v>
      </c>
      <c r="J334" s="48">
        <f>IF('Resultado da inspeção'!N334='Resultado da inspeção'!$W$4,0%,Ranking!J$5)</f>
        <v>0.04</v>
      </c>
      <c r="K334" s="48">
        <f>IF('Resultado da inspeção'!O334='Resultado da inspeção'!$W$4,0%,Ranking!K$5)</f>
        <v>0.06</v>
      </c>
      <c r="L334" s="48">
        <f>IF('Resultado da inspeção'!P334='Resultado da inspeção'!$W$4,0%,Ranking!L$5)</f>
        <v>0.08</v>
      </c>
      <c r="M334" s="48">
        <f>IF('Resultado da inspeção'!Q334='Resultado da inspeção'!$W$4,0%,Ranking!M$5)</f>
        <v>0.05</v>
      </c>
      <c r="N334" s="48">
        <f>IF('Resultado da inspeção'!R334='Resultado da inspeção'!$W$4,0%,Ranking!N$5)</f>
        <v>0.02</v>
      </c>
      <c r="O334" s="48">
        <f>IF('Resultado da inspeção'!S334='Resultado da inspeção'!$W$4,0%,Ranking!O$5)</f>
        <v>0.02</v>
      </c>
      <c r="P334" s="47">
        <f t="shared" si="91"/>
        <v>1</v>
      </c>
      <c r="Q334" s="49">
        <f t="shared" si="106"/>
        <v>0</v>
      </c>
      <c r="R334" s="50">
        <f t="shared" si="92"/>
        <v>0.02</v>
      </c>
      <c r="S334" s="50">
        <f t="shared" si="93"/>
        <v>0.03</v>
      </c>
      <c r="T334" s="50">
        <f t="shared" si="94"/>
        <v>0.03</v>
      </c>
      <c r="U334" s="50">
        <f t="shared" si="95"/>
        <v>0.1</v>
      </c>
      <c r="V334" s="50">
        <f t="shared" si="96"/>
        <v>0.21</v>
      </c>
      <c r="W334" s="50">
        <f t="shared" si="97"/>
        <v>0.05</v>
      </c>
      <c r="X334" s="50">
        <f t="shared" si="98"/>
        <v>0.24</v>
      </c>
      <c r="Y334" s="50">
        <f t="shared" si="99"/>
        <v>0.05</v>
      </c>
      <c r="Z334" s="50">
        <f t="shared" si="100"/>
        <v>0.04</v>
      </c>
      <c r="AA334" s="50">
        <f t="shared" si="101"/>
        <v>0.06</v>
      </c>
      <c r="AB334" s="50">
        <f t="shared" si="102"/>
        <v>0.08</v>
      </c>
      <c r="AC334" s="50">
        <f t="shared" si="103"/>
        <v>0.05</v>
      </c>
      <c r="AD334" s="50">
        <f t="shared" si="104"/>
        <v>0.02</v>
      </c>
      <c r="AE334" s="50">
        <f t="shared" si="105"/>
        <v>0.02</v>
      </c>
      <c r="AF334" s="47">
        <f t="shared" si="107"/>
        <v>1</v>
      </c>
      <c r="AG334" s="50">
        <f>IF('Resultado da inspeção'!F334='Resultado da inspeção'!$W$3,0%,Ranking!R334)</f>
        <v>0.02</v>
      </c>
      <c r="AH334" s="50">
        <f>IF('Resultado da inspeção'!G334='Resultado da inspeção'!$W$3,0%,Ranking!S334)</f>
        <v>0</v>
      </c>
      <c r="AI334" s="50">
        <f>IF('Resultado da inspeção'!H334='Resultado da inspeção'!$W$3,0%,Ranking!T334)</f>
        <v>0</v>
      </c>
      <c r="AJ334" s="50">
        <f>IF('Resultado da inspeção'!I334='Resultado da inspeção'!$W$3,0%,Ranking!U334)</f>
        <v>0</v>
      </c>
      <c r="AK334" s="50">
        <f>IF('Resultado da inspeção'!J334='Resultado da inspeção'!$W$3,0%,Ranking!V334)</f>
        <v>0.21</v>
      </c>
      <c r="AL334" s="50">
        <f>IF('Resultado da inspeção'!K334='Resultado da inspeção'!$W$3,0%,Ranking!W334)</f>
        <v>0.05</v>
      </c>
      <c r="AM334" s="50">
        <f>IF('Resultado da inspeção'!L334='Resultado da inspeção'!$W$3,0%,Ranking!X334)</f>
        <v>0</v>
      </c>
      <c r="AN334" s="50">
        <f>IF('Resultado da inspeção'!M334='Resultado da inspeção'!$W$3,0%,Ranking!Y334)</f>
        <v>0.05</v>
      </c>
      <c r="AO334" s="50">
        <f>IF('Resultado da inspeção'!N334='Resultado da inspeção'!$W$3,0%,Ranking!Z334)</f>
        <v>0.04</v>
      </c>
      <c r="AP334" s="50">
        <f>IF('Resultado da inspeção'!O334='Resultado da inspeção'!$W$3,0%,Ranking!AA334)</f>
        <v>0.06</v>
      </c>
      <c r="AQ334" s="50">
        <f>IF('Resultado da inspeção'!P334='Resultado da inspeção'!$W$3,0%,Ranking!AB334)</f>
        <v>0.08</v>
      </c>
      <c r="AR334" s="50">
        <f>IF('Resultado da inspeção'!Q334='Resultado da inspeção'!$W$3,0%,Ranking!AC334)</f>
        <v>0.05</v>
      </c>
      <c r="AS334" s="50">
        <f>IF('Resultado da inspeção'!R334='Resultado da inspeção'!$W$3,0%,Ranking!AD334)</f>
        <v>0.02</v>
      </c>
      <c r="AT334" s="50">
        <f>IF('Resultado da inspeção'!S334='Resultado da inspeção'!$W$3,0%,Ranking!AE334)</f>
        <v>0.02</v>
      </c>
      <c r="AU334" s="49">
        <f t="shared" si="108"/>
        <v>0.6</v>
      </c>
    </row>
    <row r="335" spans="2:47" x14ac:dyDescent="0.25">
      <c r="B335" s="48">
        <f>IF('Resultado da inspeção'!F335='Resultado da inspeção'!$W$4,0%,Ranking!B$5)</f>
        <v>0.02</v>
      </c>
      <c r="C335" s="48">
        <f>IF('Resultado da inspeção'!G335='Resultado da inspeção'!$W$4,0%,Ranking!C$5)</f>
        <v>0.03</v>
      </c>
      <c r="D335" s="48">
        <f>IF('Resultado da inspeção'!H335='Resultado da inspeção'!$W$4,0%,Ranking!D$5)</f>
        <v>0.03</v>
      </c>
      <c r="E335" s="48">
        <f>IF('Resultado da inspeção'!I335='Resultado da inspeção'!$W$4,0%,Ranking!E$5)</f>
        <v>0.1</v>
      </c>
      <c r="F335" s="48">
        <f>IF('Resultado da inspeção'!J335='Resultado da inspeção'!$W$4,0%,Ranking!F$5)</f>
        <v>0.21</v>
      </c>
      <c r="G335" s="48">
        <f>IF('Resultado da inspeção'!K335='Resultado da inspeção'!$W$4,0%,Ranking!G$5)</f>
        <v>0.05</v>
      </c>
      <c r="H335" s="48">
        <f>IF('Resultado da inspeção'!L335='Resultado da inspeção'!$W$4,0%,Ranking!H$5)</f>
        <v>0.24</v>
      </c>
      <c r="I335" s="48">
        <f>IF('Resultado da inspeção'!M335='Resultado da inspeção'!$W$4,0%,Ranking!I$5)</f>
        <v>0.05</v>
      </c>
      <c r="J335" s="48">
        <f>IF('Resultado da inspeção'!N335='Resultado da inspeção'!$W$4,0%,Ranking!J$5)</f>
        <v>0.04</v>
      </c>
      <c r="K335" s="48">
        <f>IF('Resultado da inspeção'!O335='Resultado da inspeção'!$W$4,0%,Ranking!K$5)</f>
        <v>0.06</v>
      </c>
      <c r="L335" s="48">
        <f>IF('Resultado da inspeção'!P335='Resultado da inspeção'!$W$4,0%,Ranking!L$5)</f>
        <v>0.08</v>
      </c>
      <c r="M335" s="48">
        <f>IF('Resultado da inspeção'!Q335='Resultado da inspeção'!$W$4,0%,Ranking!M$5)</f>
        <v>0.05</v>
      </c>
      <c r="N335" s="48">
        <f>IF('Resultado da inspeção'!R335='Resultado da inspeção'!$W$4,0%,Ranking!N$5)</f>
        <v>0.02</v>
      </c>
      <c r="O335" s="48">
        <f>IF('Resultado da inspeção'!S335='Resultado da inspeção'!$W$4,0%,Ranking!O$5)</f>
        <v>0.02</v>
      </c>
      <c r="P335" s="47">
        <f t="shared" si="91"/>
        <v>1</v>
      </c>
      <c r="Q335" s="49">
        <f t="shared" si="106"/>
        <v>0</v>
      </c>
      <c r="R335" s="50">
        <f t="shared" si="92"/>
        <v>0.02</v>
      </c>
      <c r="S335" s="50">
        <f t="shared" si="93"/>
        <v>0.03</v>
      </c>
      <c r="T335" s="50">
        <f t="shared" si="94"/>
        <v>0.03</v>
      </c>
      <c r="U335" s="50">
        <f t="shared" si="95"/>
        <v>0.1</v>
      </c>
      <c r="V335" s="50">
        <f t="shared" si="96"/>
        <v>0.21</v>
      </c>
      <c r="W335" s="50">
        <f t="shared" si="97"/>
        <v>0.05</v>
      </c>
      <c r="X335" s="50">
        <f t="shared" si="98"/>
        <v>0.24</v>
      </c>
      <c r="Y335" s="50">
        <f t="shared" si="99"/>
        <v>0.05</v>
      </c>
      <c r="Z335" s="50">
        <f t="shared" si="100"/>
        <v>0.04</v>
      </c>
      <c r="AA335" s="50">
        <f t="shared" si="101"/>
        <v>0.06</v>
      </c>
      <c r="AB335" s="50">
        <f t="shared" si="102"/>
        <v>0.08</v>
      </c>
      <c r="AC335" s="50">
        <f t="shared" si="103"/>
        <v>0.05</v>
      </c>
      <c r="AD335" s="50">
        <f t="shared" si="104"/>
        <v>0.02</v>
      </c>
      <c r="AE335" s="50">
        <f t="shared" si="105"/>
        <v>0.02</v>
      </c>
      <c r="AF335" s="47">
        <f t="shared" si="107"/>
        <v>1</v>
      </c>
      <c r="AG335" s="50">
        <f>IF('Resultado da inspeção'!F335='Resultado da inspeção'!$W$3,0%,Ranking!R335)</f>
        <v>0</v>
      </c>
      <c r="AH335" s="50">
        <f>IF('Resultado da inspeção'!G335='Resultado da inspeção'!$W$3,0%,Ranking!S335)</f>
        <v>0</v>
      </c>
      <c r="AI335" s="50">
        <f>IF('Resultado da inspeção'!H335='Resultado da inspeção'!$W$3,0%,Ranking!T335)</f>
        <v>0</v>
      </c>
      <c r="AJ335" s="50">
        <f>IF('Resultado da inspeção'!I335='Resultado da inspeção'!$W$3,0%,Ranking!U335)</f>
        <v>0</v>
      </c>
      <c r="AK335" s="50">
        <f>IF('Resultado da inspeção'!J335='Resultado da inspeção'!$W$3,0%,Ranking!V335)</f>
        <v>0.21</v>
      </c>
      <c r="AL335" s="50">
        <f>IF('Resultado da inspeção'!K335='Resultado da inspeção'!$W$3,0%,Ranking!W335)</f>
        <v>0</v>
      </c>
      <c r="AM335" s="50">
        <f>IF('Resultado da inspeção'!L335='Resultado da inspeção'!$W$3,0%,Ranking!X335)</f>
        <v>0.24</v>
      </c>
      <c r="AN335" s="50">
        <f>IF('Resultado da inspeção'!M335='Resultado da inspeção'!$W$3,0%,Ranking!Y335)</f>
        <v>0</v>
      </c>
      <c r="AO335" s="50">
        <f>IF('Resultado da inspeção'!N335='Resultado da inspeção'!$W$3,0%,Ranking!Z335)</f>
        <v>0</v>
      </c>
      <c r="AP335" s="50">
        <f>IF('Resultado da inspeção'!O335='Resultado da inspeção'!$W$3,0%,Ranking!AA335)</f>
        <v>0.06</v>
      </c>
      <c r="AQ335" s="50">
        <f>IF('Resultado da inspeção'!P335='Resultado da inspeção'!$W$3,0%,Ranking!AB335)</f>
        <v>0.08</v>
      </c>
      <c r="AR335" s="50">
        <f>IF('Resultado da inspeção'!Q335='Resultado da inspeção'!$W$3,0%,Ranking!AC335)</f>
        <v>0.05</v>
      </c>
      <c r="AS335" s="50">
        <f>IF('Resultado da inspeção'!R335='Resultado da inspeção'!$W$3,0%,Ranking!AD335)</f>
        <v>0.02</v>
      </c>
      <c r="AT335" s="50">
        <f>IF('Resultado da inspeção'!S335='Resultado da inspeção'!$W$3,0%,Ranking!AE335)</f>
        <v>0.02</v>
      </c>
      <c r="AU335" s="49">
        <f t="shared" si="108"/>
        <v>0.68</v>
      </c>
    </row>
    <row r="336" spans="2:47" x14ac:dyDescent="0.25">
      <c r="B336" s="48">
        <f>IF('Resultado da inspeção'!F336='Resultado da inspeção'!$W$4,0%,Ranking!B$5)</f>
        <v>0.02</v>
      </c>
      <c r="C336" s="48">
        <f>IF('Resultado da inspeção'!G336='Resultado da inspeção'!$W$4,0%,Ranking!C$5)</f>
        <v>0.03</v>
      </c>
      <c r="D336" s="48">
        <f>IF('Resultado da inspeção'!H336='Resultado da inspeção'!$W$4,0%,Ranking!D$5)</f>
        <v>0.03</v>
      </c>
      <c r="E336" s="48">
        <f>IF('Resultado da inspeção'!I336='Resultado da inspeção'!$W$4,0%,Ranking!E$5)</f>
        <v>0.1</v>
      </c>
      <c r="F336" s="48">
        <f>IF('Resultado da inspeção'!J336='Resultado da inspeção'!$W$4,0%,Ranking!F$5)</f>
        <v>0.21</v>
      </c>
      <c r="G336" s="48">
        <f>IF('Resultado da inspeção'!K336='Resultado da inspeção'!$W$4,0%,Ranking!G$5)</f>
        <v>0.05</v>
      </c>
      <c r="H336" s="48">
        <f>IF('Resultado da inspeção'!L336='Resultado da inspeção'!$W$4,0%,Ranking!H$5)</f>
        <v>0.24</v>
      </c>
      <c r="I336" s="48">
        <f>IF('Resultado da inspeção'!M336='Resultado da inspeção'!$W$4,0%,Ranking!I$5)</f>
        <v>0.05</v>
      </c>
      <c r="J336" s="48">
        <f>IF('Resultado da inspeção'!N336='Resultado da inspeção'!$W$4,0%,Ranking!J$5)</f>
        <v>0.04</v>
      </c>
      <c r="K336" s="48">
        <f>IF('Resultado da inspeção'!O336='Resultado da inspeção'!$W$4,0%,Ranking!K$5)</f>
        <v>0.06</v>
      </c>
      <c r="L336" s="48">
        <f>IF('Resultado da inspeção'!P336='Resultado da inspeção'!$W$4,0%,Ranking!L$5)</f>
        <v>0.08</v>
      </c>
      <c r="M336" s="48">
        <f>IF('Resultado da inspeção'!Q336='Resultado da inspeção'!$W$4,0%,Ranking!M$5)</f>
        <v>0.05</v>
      </c>
      <c r="N336" s="48">
        <f>IF('Resultado da inspeção'!R336='Resultado da inspeção'!$W$4,0%,Ranking!N$5)</f>
        <v>0.02</v>
      </c>
      <c r="O336" s="48">
        <f>IF('Resultado da inspeção'!S336='Resultado da inspeção'!$W$4,0%,Ranking!O$5)</f>
        <v>0.02</v>
      </c>
      <c r="P336" s="47">
        <f t="shared" si="91"/>
        <v>1</v>
      </c>
      <c r="Q336" s="49">
        <f t="shared" si="106"/>
        <v>0</v>
      </c>
      <c r="R336" s="50">
        <f t="shared" si="92"/>
        <v>0.02</v>
      </c>
      <c r="S336" s="50">
        <f t="shared" si="93"/>
        <v>0.03</v>
      </c>
      <c r="T336" s="50">
        <f t="shared" si="94"/>
        <v>0.03</v>
      </c>
      <c r="U336" s="50">
        <f t="shared" si="95"/>
        <v>0.1</v>
      </c>
      <c r="V336" s="50">
        <f t="shared" si="96"/>
        <v>0.21</v>
      </c>
      <c r="W336" s="50">
        <f t="shared" si="97"/>
        <v>0.05</v>
      </c>
      <c r="X336" s="50">
        <f t="shared" si="98"/>
        <v>0.24</v>
      </c>
      <c r="Y336" s="50">
        <f t="shared" si="99"/>
        <v>0.05</v>
      </c>
      <c r="Z336" s="50">
        <f t="shared" si="100"/>
        <v>0.04</v>
      </c>
      <c r="AA336" s="50">
        <f t="shared" si="101"/>
        <v>0.06</v>
      </c>
      <c r="AB336" s="50">
        <f t="shared" si="102"/>
        <v>0.08</v>
      </c>
      <c r="AC336" s="50">
        <f t="shared" si="103"/>
        <v>0.05</v>
      </c>
      <c r="AD336" s="50">
        <f t="shared" si="104"/>
        <v>0.02</v>
      </c>
      <c r="AE336" s="50">
        <f t="shared" si="105"/>
        <v>0.02</v>
      </c>
      <c r="AF336" s="47">
        <f t="shared" si="107"/>
        <v>1</v>
      </c>
      <c r="AG336" s="50">
        <f>IF('Resultado da inspeção'!F336='Resultado da inspeção'!$W$3,0%,Ranking!R336)</f>
        <v>0.02</v>
      </c>
      <c r="AH336" s="50">
        <f>IF('Resultado da inspeção'!G336='Resultado da inspeção'!$W$3,0%,Ranking!S336)</f>
        <v>0</v>
      </c>
      <c r="AI336" s="50">
        <f>IF('Resultado da inspeção'!H336='Resultado da inspeção'!$W$3,0%,Ranking!T336)</f>
        <v>0</v>
      </c>
      <c r="AJ336" s="50">
        <f>IF('Resultado da inspeção'!I336='Resultado da inspeção'!$W$3,0%,Ranking!U336)</f>
        <v>0</v>
      </c>
      <c r="AK336" s="50">
        <f>IF('Resultado da inspeção'!J336='Resultado da inspeção'!$W$3,0%,Ranking!V336)</f>
        <v>0.21</v>
      </c>
      <c r="AL336" s="50">
        <f>IF('Resultado da inspeção'!K336='Resultado da inspeção'!$W$3,0%,Ranking!W336)</f>
        <v>0</v>
      </c>
      <c r="AM336" s="50">
        <f>IF('Resultado da inspeção'!L336='Resultado da inspeção'!$W$3,0%,Ranking!X336)</f>
        <v>0</v>
      </c>
      <c r="AN336" s="50">
        <f>IF('Resultado da inspeção'!M336='Resultado da inspeção'!$W$3,0%,Ranking!Y336)</f>
        <v>0.05</v>
      </c>
      <c r="AO336" s="50">
        <f>IF('Resultado da inspeção'!N336='Resultado da inspeção'!$W$3,0%,Ranking!Z336)</f>
        <v>0.04</v>
      </c>
      <c r="AP336" s="50">
        <f>IF('Resultado da inspeção'!O336='Resultado da inspeção'!$W$3,0%,Ranking!AA336)</f>
        <v>0.06</v>
      </c>
      <c r="AQ336" s="50">
        <f>IF('Resultado da inspeção'!P336='Resultado da inspeção'!$W$3,0%,Ranking!AB336)</f>
        <v>0.08</v>
      </c>
      <c r="AR336" s="50">
        <f>IF('Resultado da inspeção'!Q336='Resultado da inspeção'!$W$3,0%,Ranking!AC336)</f>
        <v>0.05</v>
      </c>
      <c r="AS336" s="50">
        <f>IF('Resultado da inspeção'!R336='Resultado da inspeção'!$W$3,0%,Ranking!AD336)</f>
        <v>0.02</v>
      </c>
      <c r="AT336" s="50">
        <f>IF('Resultado da inspeção'!S336='Resultado da inspeção'!$W$3,0%,Ranking!AE336)</f>
        <v>0.02</v>
      </c>
      <c r="AU336" s="49">
        <f t="shared" si="108"/>
        <v>0.55000000000000004</v>
      </c>
    </row>
    <row r="337" spans="2:47" x14ac:dyDescent="0.25">
      <c r="B337" s="48">
        <f>IF('Resultado da inspeção'!F337='Resultado da inspeção'!$W$4,0%,Ranking!B$5)</f>
        <v>0.02</v>
      </c>
      <c r="C337" s="48">
        <f>IF('Resultado da inspeção'!G337='Resultado da inspeção'!$W$4,0%,Ranking!C$5)</f>
        <v>0.03</v>
      </c>
      <c r="D337" s="48">
        <f>IF('Resultado da inspeção'!H337='Resultado da inspeção'!$W$4,0%,Ranking!D$5)</f>
        <v>0.03</v>
      </c>
      <c r="E337" s="48">
        <f>IF('Resultado da inspeção'!I337='Resultado da inspeção'!$W$4,0%,Ranking!E$5)</f>
        <v>0.1</v>
      </c>
      <c r="F337" s="48">
        <f>IF('Resultado da inspeção'!J337='Resultado da inspeção'!$W$4,0%,Ranking!F$5)</f>
        <v>0.21</v>
      </c>
      <c r="G337" s="48">
        <f>IF('Resultado da inspeção'!K337='Resultado da inspeção'!$W$4,0%,Ranking!G$5)</f>
        <v>0.05</v>
      </c>
      <c r="H337" s="48">
        <f>IF('Resultado da inspeção'!L337='Resultado da inspeção'!$W$4,0%,Ranking!H$5)</f>
        <v>0.24</v>
      </c>
      <c r="I337" s="48">
        <f>IF('Resultado da inspeção'!M337='Resultado da inspeção'!$W$4,0%,Ranking!I$5)</f>
        <v>0</v>
      </c>
      <c r="J337" s="48">
        <f>IF('Resultado da inspeção'!N337='Resultado da inspeção'!$W$4,0%,Ranking!J$5)</f>
        <v>0</v>
      </c>
      <c r="K337" s="48">
        <f>IF('Resultado da inspeção'!O337='Resultado da inspeção'!$W$4,0%,Ranking!K$5)</f>
        <v>0.06</v>
      </c>
      <c r="L337" s="48">
        <f>IF('Resultado da inspeção'!P337='Resultado da inspeção'!$W$4,0%,Ranking!L$5)</f>
        <v>0.08</v>
      </c>
      <c r="M337" s="48">
        <f>IF('Resultado da inspeção'!Q337='Resultado da inspeção'!$W$4,0%,Ranking!M$5)</f>
        <v>0.05</v>
      </c>
      <c r="N337" s="48">
        <f>IF('Resultado da inspeção'!R337='Resultado da inspeção'!$W$4,0%,Ranking!N$5)</f>
        <v>0.02</v>
      </c>
      <c r="O337" s="48">
        <f>IF('Resultado da inspeção'!S337='Resultado da inspeção'!$W$4,0%,Ranking!O$5)</f>
        <v>0.02</v>
      </c>
      <c r="P337" s="47">
        <f t="shared" si="91"/>
        <v>0.91</v>
      </c>
      <c r="Q337" s="49">
        <f t="shared" si="106"/>
        <v>8.9999999999999969E-2</v>
      </c>
      <c r="R337" s="50">
        <f t="shared" si="92"/>
        <v>2.1978021978021976E-2</v>
      </c>
      <c r="S337" s="50">
        <f t="shared" si="93"/>
        <v>3.2967032967032968E-2</v>
      </c>
      <c r="T337" s="50">
        <f t="shared" si="94"/>
        <v>3.2967032967032968E-2</v>
      </c>
      <c r="U337" s="50">
        <f t="shared" si="95"/>
        <v>0.10989010989010989</v>
      </c>
      <c r="V337" s="50">
        <f t="shared" si="96"/>
        <v>0.23076923076923075</v>
      </c>
      <c r="W337" s="50">
        <f t="shared" si="97"/>
        <v>5.4945054945054944E-2</v>
      </c>
      <c r="X337" s="50">
        <f t="shared" si="98"/>
        <v>0.26373626373626374</v>
      </c>
      <c r="Y337" s="50">
        <f t="shared" si="99"/>
        <v>0</v>
      </c>
      <c r="Z337" s="50">
        <f t="shared" si="100"/>
        <v>0</v>
      </c>
      <c r="AA337" s="50">
        <f t="shared" si="101"/>
        <v>6.5934065934065936E-2</v>
      </c>
      <c r="AB337" s="50">
        <f t="shared" si="102"/>
        <v>8.7912087912087905E-2</v>
      </c>
      <c r="AC337" s="50">
        <f t="shared" si="103"/>
        <v>5.4945054945054944E-2</v>
      </c>
      <c r="AD337" s="50">
        <f t="shared" si="104"/>
        <v>2.1978021978021976E-2</v>
      </c>
      <c r="AE337" s="50">
        <f t="shared" si="105"/>
        <v>2.1978021978021976E-2</v>
      </c>
      <c r="AF337" s="47">
        <f t="shared" si="107"/>
        <v>1</v>
      </c>
      <c r="AG337" s="50">
        <f>IF('Resultado da inspeção'!F337='Resultado da inspeção'!$W$3,0%,Ranking!R337)</f>
        <v>2.1978021978021976E-2</v>
      </c>
      <c r="AH337" s="50">
        <f>IF('Resultado da inspeção'!G337='Resultado da inspeção'!$W$3,0%,Ranking!S337)</f>
        <v>0</v>
      </c>
      <c r="AI337" s="50">
        <f>IF('Resultado da inspeção'!H337='Resultado da inspeção'!$W$3,0%,Ranking!T337)</f>
        <v>0</v>
      </c>
      <c r="AJ337" s="50">
        <f>IF('Resultado da inspeção'!I337='Resultado da inspeção'!$W$3,0%,Ranking!U337)</f>
        <v>0</v>
      </c>
      <c r="AK337" s="50">
        <f>IF('Resultado da inspeção'!J337='Resultado da inspeção'!$W$3,0%,Ranking!V337)</f>
        <v>0.23076923076923075</v>
      </c>
      <c r="AL337" s="50">
        <f>IF('Resultado da inspeção'!K337='Resultado da inspeção'!$W$3,0%,Ranking!W337)</f>
        <v>5.4945054945054944E-2</v>
      </c>
      <c r="AM337" s="50">
        <f>IF('Resultado da inspeção'!L337='Resultado da inspeção'!$W$3,0%,Ranking!X337)</f>
        <v>0</v>
      </c>
      <c r="AN337" s="50">
        <f>IF('Resultado da inspeção'!M337='Resultado da inspeção'!$W$3,0%,Ranking!Y337)</f>
        <v>0</v>
      </c>
      <c r="AO337" s="50">
        <f>IF('Resultado da inspeção'!N337='Resultado da inspeção'!$W$3,0%,Ranking!Z337)</f>
        <v>0</v>
      </c>
      <c r="AP337" s="50">
        <f>IF('Resultado da inspeção'!O337='Resultado da inspeção'!$W$3,0%,Ranking!AA337)</f>
        <v>6.5934065934065936E-2</v>
      </c>
      <c r="AQ337" s="50">
        <f>IF('Resultado da inspeção'!P337='Resultado da inspeção'!$W$3,0%,Ranking!AB337)</f>
        <v>8.7912087912087905E-2</v>
      </c>
      <c r="AR337" s="50">
        <f>IF('Resultado da inspeção'!Q337='Resultado da inspeção'!$W$3,0%,Ranking!AC337)</f>
        <v>5.4945054945054944E-2</v>
      </c>
      <c r="AS337" s="50">
        <f>IF('Resultado da inspeção'!R337='Resultado da inspeção'!$W$3,0%,Ranking!AD337)</f>
        <v>2.1978021978021976E-2</v>
      </c>
      <c r="AT337" s="50">
        <f>IF('Resultado da inspeção'!S337='Resultado da inspeção'!$W$3,0%,Ranking!AE337)</f>
        <v>2.1978021978021976E-2</v>
      </c>
      <c r="AU337" s="49">
        <f t="shared" si="108"/>
        <v>0.56043956043956056</v>
      </c>
    </row>
    <row r="338" spans="2:47" x14ac:dyDescent="0.25">
      <c r="B338" s="48">
        <f>IF('Resultado da inspeção'!F338='Resultado da inspeção'!$W$4,0%,Ranking!B$5)</f>
        <v>0.02</v>
      </c>
      <c r="C338" s="48">
        <f>IF('Resultado da inspeção'!G338='Resultado da inspeção'!$W$4,0%,Ranking!C$5)</f>
        <v>0.03</v>
      </c>
      <c r="D338" s="48">
        <f>IF('Resultado da inspeção'!H338='Resultado da inspeção'!$W$4,0%,Ranking!D$5)</f>
        <v>0.03</v>
      </c>
      <c r="E338" s="48">
        <f>IF('Resultado da inspeção'!I338='Resultado da inspeção'!$W$4,0%,Ranking!E$5)</f>
        <v>0.1</v>
      </c>
      <c r="F338" s="48">
        <f>IF('Resultado da inspeção'!J338='Resultado da inspeção'!$W$4,0%,Ranking!F$5)</f>
        <v>0.21</v>
      </c>
      <c r="G338" s="48">
        <f>IF('Resultado da inspeção'!K338='Resultado da inspeção'!$W$4,0%,Ranking!G$5)</f>
        <v>0.05</v>
      </c>
      <c r="H338" s="48">
        <f>IF('Resultado da inspeção'!L338='Resultado da inspeção'!$W$4,0%,Ranking!H$5)</f>
        <v>0.24</v>
      </c>
      <c r="I338" s="48">
        <f>IF('Resultado da inspeção'!M338='Resultado da inspeção'!$W$4,0%,Ranking!I$5)</f>
        <v>0.05</v>
      </c>
      <c r="J338" s="48">
        <f>IF('Resultado da inspeção'!N338='Resultado da inspeção'!$W$4,0%,Ranking!J$5)</f>
        <v>0.04</v>
      </c>
      <c r="K338" s="48">
        <f>IF('Resultado da inspeção'!O338='Resultado da inspeção'!$W$4,0%,Ranking!K$5)</f>
        <v>0.06</v>
      </c>
      <c r="L338" s="48">
        <f>IF('Resultado da inspeção'!P338='Resultado da inspeção'!$W$4,0%,Ranking!L$5)</f>
        <v>0.08</v>
      </c>
      <c r="M338" s="48">
        <f>IF('Resultado da inspeção'!Q338='Resultado da inspeção'!$W$4,0%,Ranking!M$5)</f>
        <v>0.05</v>
      </c>
      <c r="N338" s="48">
        <f>IF('Resultado da inspeção'!R338='Resultado da inspeção'!$W$4,0%,Ranking!N$5)</f>
        <v>0.02</v>
      </c>
      <c r="O338" s="48">
        <f>IF('Resultado da inspeção'!S338='Resultado da inspeção'!$W$4,0%,Ranking!O$5)</f>
        <v>0.02</v>
      </c>
      <c r="P338" s="47">
        <f t="shared" si="91"/>
        <v>1</v>
      </c>
      <c r="Q338" s="49">
        <f t="shared" si="106"/>
        <v>0</v>
      </c>
      <c r="R338" s="50">
        <f t="shared" si="92"/>
        <v>0.02</v>
      </c>
      <c r="S338" s="50">
        <f t="shared" si="93"/>
        <v>0.03</v>
      </c>
      <c r="T338" s="50">
        <f t="shared" si="94"/>
        <v>0.03</v>
      </c>
      <c r="U338" s="50">
        <f t="shared" si="95"/>
        <v>0.1</v>
      </c>
      <c r="V338" s="50">
        <f t="shared" si="96"/>
        <v>0.21</v>
      </c>
      <c r="W338" s="50">
        <f t="shared" si="97"/>
        <v>0.05</v>
      </c>
      <c r="X338" s="50">
        <f t="shared" si="98"/>
        <v>0.24</v>
      </c>
      <c r="Y338" s="50">
        <f t="shared" si="99"/>
        <v>0.05</v>
      </c>
      <c r="Z338" s="50">
        <f t="shared" si="100"/>
        <v>0.04</v>
      </c>
      <c r="AA338" s="50">
        <f t="shared" si="101"/>
        <v>0.06</v>
      </c>
      <c r="AB338" s="50">
        <f t="shared" si="102"/>
        <v>0.08</v>
      </c>
      <c r="AC338" s="50">
        <f t="shared" si="103"/>
        <v>0.05</v>
      </c>
      <c r="AD338" s="50">
        <f t="shared" si="104"/>
        <v>0.02</v>
      </c>
      <c r="AE338" s="50">
        <f t="shared" si="105"/>
        <v>0.02</v>
      </c>
      <c r="AF338" s="47">
        <f t="shared" si="107"/>
        <v>1</v>
      </c>
      <c r="AG338" s="50">
        <f>IF('Resultado da inspeção'!F338='Resultado da inspeção'!$W$3,0%,Ranking!R338)</f>
        <v>0.02</v>
      </c>
      <c r="AH338" s="50">
        <f>IF('Resultado da inspeção'!G338='Resultado da inspeção'!$W$3,0%,Ranking!S338)</f>
        <v>0.03</v>
      </c>
      <c r="AI338" s="50">
        <f>IF('Resultado da inspeção'!H338='Resultado da inspeção'!$W$3,0%,Ranking!T338)</f>
        <v>0.03</v>
      </c>
      <c r="AJ338" s="50">
        <f>IF('Resultado da inspeção'!I338='Resultado da inspeção'!$W$3,0%,Ranking!U338)</f>
        <v>0</v>
      </c>
      <c r="AK338" s="50">
        <f>IF('Resultado da inspeção'!J338='Resultado da inspeção'!$W$3,0%,Ranking!V338)</f>
        <v>0.21</v>
      </c>
      <c r="AL338" s="50">
        <f>IF('Resultado da inspeção'!K338='Resultado da inspeção'!$W$3,0%,Ranking!W338)</f>
        <v>0.05</v>
      </c>
      <c r="AM338" s="50">
        <f>IF('Resultado da inspeção'!L338='Resultado da inspeção'!$W$3,0%,Ranking!X338)</f>
        <v>0</v>
      </c>
      <c r="AN338" s="50">
        <f>IF('Resultado da inspeção'!M338='Resultado da inspeção'!$W$3,0%,Ranking!Y338)</f>
        <v>0.05</v>
      </c>
      <c r="AO338" s="50">
        <f>IF('Resultado da inspeção'!N338='Resultado da inspeção'!$W$3,0%,Ranking!Z338)</f>
        <v>0.04</v>
      </c>
      <c r="AP338" s="50">
        <f>IF('Resultado da inspeção'!O338='Resultado da inspeção'!$W$3,0%,Ranking!AA338)</f>
        <v>0.06</v>
      </c>
      <c r="AQ338" s="50">
        <f>IF('Resultado da inspeção'!P338='Resultado da inspeção'!$W$3,0%,Ranking!AB338)</f>
        <v>0.08</v>
      </c>
      <c r="AR338" s="50">
        <f>IF('Resultado da inspeção'!Q338='Resultado da inspeção'!$W$3,0%,Ranking!AC338)</f>
        <v>0.05</v>
      </c>
      <c r="AS338" s="50">
        <f>IF('Resultado da inspeção'!R338='Resultado da inspeção'!$W$3,0%,Ranking!AD338)</f>
        <v>0.02</v>
      </c>
      <c r="AT338" s="50">
        <f>IF('Resultado da inspeção'!S338='Resultado da inspeção'!$W$3,0%,Ranking!AE338)</f>
        <v>0.02</v>
      </c>
      <c r="AU338" s="49">
        <f t="shared" si="108"/>
        <v>0.66</v>
      </c>
    </row>
    <row r="339" spans="2:47" x14ac:dyDescent="0.25">
      <c r="B339" s="48">
        <f>IF('Resultado da inspeção'!F339='Resultado da inspeção'!$W$4,0%,Ranking!B$5)</f>
        <v>0.02</v>
      </c>
      <c r="C339" s="48">
        <f>IF('Resultado da inspeção'!G339='Resultado da inspeção'!$W$4,0%,Ranking!C$5)</f>
        <v>0.03</v>
      </c>
      <c r="D339" s="48">
        <f>IF('Resultado da inspeção'!H339='Resultado da inspeção'!$W$4,0%,Ranking!D$5)</f>
        <v>0.03</v>
      </c>
      <c r="E339" s="48">
        <f>IF('Resultado da inspeção'!I339='Resultado da inspeção'!$W$4,0%,Ranking!E$5)</f>
        <v>0.1</v>
      </c>
      <c r="F339" s="48">
        <f>IF('Resultado da inspeção'!J339='Resultado da inspeção'!$W$4,0%,Ranking!F$5)</f>
        <v>0.21</v>
      </c>
      <c r="G339" s="48">
        <f>IF('Resultado da inspeção'!K339='Resultado da inspeção'!$W$4,0%,Ranking!G$5)</f>
        <v>0.05</v>
      </c>
      <c r="H339" s="48">
        <f>IF('Resultado da inspeção'!L339='Resultado da inspeção'!$W$4,0%,Ranking!H$5)</f>
        <v>0.24</v>
      </c>
      <c r="I339" s="48">
        <f>IF('Resultado da inspeção'!M339='Resultado da inspeção'!$W$4,0%,Ranking!I$5)</f>
        <v>0.05</v>
      </c>
      <c r="J339" s="48">
        <f>IF('Resultado da inspeção'!N339='Resultado da inspeção'!$W$4,0%,Ranking!J$5)</f>
        <v>0.04</v>
      </c>
      <c r="K339" s="48">
        <f>IF('Resultado da inspeção'!O339='Resultado da inspeção'!$W$4,0%,Ranking!K$5)</f>
        <v>0.06</v>
      </c>
      <c r="L339" s="48">
        <f>IF('Resultado da inspeção'!P339='Resultado da inspeção'!$W$4,0%,Ranking!L$5)</f>
        <v>0.08</v>
      </c>
      <c r="M339" s="48">
        <f>IF('Resultado da inspeção'!Q339='Resultado da inspeção'!$W$4,0%,Ranking!M$5)</f>
        <v>0.05</v>
      </c>
      <c r="N339" s="48">
        <f>IF('Resultado da inspeção'!R339='Resultado da inspeção'!$W$4,0%,Ranking!N$5)</f>
        <v>0.02</v>
      </c>
      <c r="O339" s="48">
        <f>IF('Resultado da inspeção'!S339='Resultado da inspeção'!$W$4,0%,Ranking!O$5)</f>
        <v>0.02</v>
      </c>
      <c r="P339" s="47">
        <f t="shared" si="91"/>
        <v>1</v>
      </c>
      <c r="Q339" s="49">
        <f t="shared" si="106"/>
        <v>0</v>
      </c>
      <c r="R339" s="50">
        <f t="shared" si="92"/>
        <v>0.02</v>
      </c>
      <c r="S339" s="50">
        <f t="shared" si="93"/>
        <v>0.03</v>
      </c>
      <c r="T339" s="50">
        <f t="shared" si="94"/>
        <v>0.03</v>
      </c>
      <c r="U339" s="50">
        <f t="shared" si="95"/>
        <v>0.1</v>
      </c>
      <c r="V339" s="50">
        <f t="shared" si="96"/>
        <v>0.21</v>
      </c>
      <c r="W339" s="50">
        <f t="shared" si="97"/>
        <v>0.05</v>
      </c>
      <c r="X339" s="50">
        <f t="shared" si="98"/>
        <v>0.24</v>
      </c>
      <c r="Y339" s="50">
        <f t="shared" si="99"/>
        <v>0.05</v>
      </c>
      <c r="Z339" s="50">
        <f t="shared" si="100"/>
        <v>0.04</v>
      </c>
      <c r="AA339" s="50">
        <f t="shared" si="101"/>
        <v>0.06</v>
      </c>
      <c r="AB339" s="50">
        <f t="shared" si="102"/>
        <v>0.08</v>
      </c>
      <c r="AC339" s="50">
        <f t="shared" si="103"/>
        <v>0.05</v>
      </c>
      <c r="AD339" s="50">
        <f t="shared" si="104"/>
        <v>0.02</v>
      </c>
      <c r="AE339" s="50">
        <f t="shared" si="105"/>
        <v>0.02</v>
      </c>
      <c r="AF339" s="47">
        <f t="shared" si="107"/>
        <v>1</v>
      </c>
      <c r="AG339" s="50">
        <f>IF('Resultado da inspeção'!F339='Resultado da inspeção'!$W$3,0%,Ranking!R339)</f>
        <v>0.02</v>
      </c>
      <c r="AH339" s="50">
        <f>IF('Resultado da inspeção'!G339='Resultado da inspeção'!$W$3,0%,Ranking!S339)</f>
        <v>0</v>
      </c>
      <c r="AI339" s="50">
        <f>IF('Resultado da inspeção'!H339='Resultado da inspeção'!$W$3,0%,Ranking!T339)</f>
        <v>0</v>
      </c>
      <c r="AJ339" s="50">
        <f>IF('Resultado da inspeção'!I339='Resultado da inspeção'!$W$3,0%,Ranking!U339)</f>
        <v>0</v>
      </c>
      <c r="AK339" s="50">
        <f>IF('Resultado da inspeção'!J339='Resultado da inspeção'!$W$3,0%,Ranking!V339)</f>
        <v>0</v>
      </c>
      <c r="AL339" s="50">
        <f>IF('Resultado da inspeção'!K339='Resultado da inspeção'!$W$3,0%,Ranking!W339)</f>
        <v>0.05</v>
      </c>
      <c r="AM339" s="50">
        <f>IF('Resultado da inspeção'!L339='Resultado da inspeção'!$W$3,0%,Ranking!X339)</f>
        <v>0</v>
      </c>
      <c r="AN339" s="50">
        <f>IF('Resultado da inspeção'!M339='Resultado da inspeção'!$W$3,0%,Ranking!Y339)</f>
        <v>0</v>
      </c>
      <c r="AO339" s="50">
        <f>IF('Resultado da inspeção'!N339='Resultado da inspeção'!$W$3,0%,Ranking!Z339)</f>
        <v>0</v>
      </c>
      <c r="AP339" s="50">
        <f>IF('Resultado da inspeção'!O339='Resultado da inspeção'!$W$3,0%,Ranking!AA339)</f>
        <v>0.06</v>
      </c>
      <c r="AQ339" s="50">
        <f>IF('Resultado da inspeção'!P339='Resultado da inspeção'!$W$3,0%,Ranking!AB339)</f>
        <v>0.08</v>
      </c>
      <c r="AR339" s="50">
        <f>IF('Resultado da inspeção'!Q339='Resultado da inspeção'!$W$3,0%,Ranking!AC339)</f>
        <v>0.05</v>
      </c>
      <c r="AS339" s="50">
        <f>IF('Resultado da inspeção'!R339='Resultado da inspeção'!$W$3,0%,Ranking!AD339)</f>
        <v>0.02</v>
      </c>
      <c r="AT339" s="50">
        <f>IF('Resultado da inspeção'!S339='Resultado da inspeção'!$W$3,0%,Ranking!AE339)</f>
        <v>0.02</v>
      </c>
      <c r="AU339" s="49">
        <f t="shared" si="108"/>
        <v>0.30000000000000004</v>
      </c>
    </row>
    <row r="340" spans="2:47" x14ac:dyDescent="0.25">
      <c r="B340" s="48">
        <f>IF('Resultado da inspeção'!F340='Resultado da inspeção'!$W$4,0%,Ranking!B$5)</f>
        <v>0.02</v>
      </c>
      <c r="C340" s="48">
        <f>IF('Resultado da inspeção'!G340='Resultado da inspeção'!$W$4,0%,Ranking!C$5)</f>
        <v>0.03</v>
      </c>
      <c r="D340" s="48">
        <f>IF('Resultado da inspeção'!H340='Resultado da inspeção'!$W$4,0%,Ranking!D$5)</f>
        <v>0.03</v>
      </c>
      <c r="E340" s="48">
        <f>IF('Resultado da inspeção'!I340='Resultado da inspeção'!$W$4,0%,Ranking!E$5)</f>
        <v>0.1</v>
      </c>
      <c r="F340" s="48">
        <f>IF('Resultado da inspeção'!J340='Resultado da inspeção'!$W$4,0%,Ranking!F$5)</f>
        <v>0.21</v>
      </c>
      <c r="G340" s="48">
        <f>IF('Resultado da inspeção'!K340='Resultado da inspeção'!$W$4,0%,Ranking!G$5)</f>
        <v>0.05</v>
      </c>
      <c r="H340" s="48">
        <f>IF('Resultado da inspeção'!L340='Resultado da inspeção'!$W$4,0%,Ranking!H$5)</f>
        <v>0.24</v>
      </c>
      <c r="I340" s="48">
        <f>IF('Resultado da inspeção'!M340='Resultado da inspeção'!$W$4,0%,Ranking!I$5)</f>
        <v>0</v>
      </c>
      <c r="J340" s="48">
        <f>IF('Resultado da inspeção'!N340='Resultado da inspeção'!$W$4,0%,Ranking!J$5)</f>
        <v>0</v>
      </c>
      <c r="K340" s="48">
        <f>IF('Resultado da inspeção'!O340='Resultado da inspeção'!$W$4,0%,Ranking!K$5)</f>
        <v>0.06</v>
      </c>
      <c r="L340" s="48">
        <f>IF('Resultado da inspeção'!P340='Resultado da inspeção'!$W$4,0%,Ranking!L$5)</f>
        <v>0.08</v>
      </c>
      <c r="M340" s="48">
        <f>IF('Resultado da inspeção'!Q340='Resultado da inspeção'!$W$4,0%,Ranking!M$5)</f>
        <v>0.05</v>
      </c>
      <c r="N340" s="48">
        <f>IF('Resultado da inspeção'!R340='Resultado da inspeção'!$W$4,0%,Ranking!N$5)</f>
        <v>0.02</v>
      </c>
      <c r="O340" s="48">
        <f>IF('Resultado da inspeção'!S340='Resultado da inspeção'!$W$4,0%,Ranking!O$5)</f>
        <v>0.02</v>
      </c>
      <c r="P340" s="47">
        <f t="shared" si="91"/>
        <v>0.91</v>
      </c>
      <c r="Q340" s="49">
        <f t="shared" si="106"/>
        <v>8.9999999999999969E-2</v>
      </c>
      <c r="R340" s="50">
        <f t="shared" si="92"/>
        <v>2.1978021978021976E-2</v>
      </c>
      <c r="S340" s="50">
        <f t="shared" si="93"/>
        <v>3.2967032967032968E-2</v>
      </c>
      <c r="T340" s="50">
        <f t="shared" si="94"/>
        <v>3.2967032967032968E-2</v>
      </c>
      <c r="U340" s="50">
        <f t="shared" si="95"/>
        <v>0.10989010989010989</v>
      </c>
      <c r="V340" s="50">
        <f t="shared" si="96"/>
        <v>0.23076923076923075</v>
      </c>
      <c r="W340" s="50">
        <f t="shared" si="97"/>
        <v>5.4945054945054944E-2</v>
      </c>
      <c r="X340" s="50">
        <f t="shared" si="98"/>
        <v>0.26373626373626374</v>
      </c>
      <c r="Y340" s="50">
        <f t="shared" si="99"/>
        <v>0</v>
      </c>
      <c r="Z340" s="50">
        <f t="shared" si="100"/>
        <v>0</v>
      </c>
      <c r="AA340" s="50">
        <f t="shared" si="101"/>
        <v>6.5934065934065936E-2</v>
      </c>
      <c r="AB340" s="50">
        <f t="shared" si="102"/>
        <v>8.7912087912087905E-2</v>
      </c>
      <c r="AC340" s="50">
        <f t="shared" si="103"/>
        <v>5.4945054945054944E-2</v>
      </c>
      <c r="AD340" s="50">
        <f t="shared" si="104"/>
        <v>2.1978021978021976E-2</v>
      </c>
      <c r="AE340" s="50">
        <f t="shared" si="105"/>
        <v>2.1978021978021976E-2</v>
      </c>
      <c r="AF340" s="47">
        <f t="shared" si="107"/>
        <v>1</v>
      </c>
      <c r="AG340" s="50">
        <f>IF('Resultado da inspeção'!F340='Resultado da inspeção'!$W$3,0%,Ranking!R340)</f>
        <v>0</v>
      </c>
      <c r="AH340" s="50">
        <f>IF('Resultado da inspeção'!G340='Resultado da inspeção'!$W$3,0%,Ranking!S340)</f>
        <v>0</v>
      </c>
      <c r="AI340" s="50">
        <f>IF('Resultado da inspeção'!H340='Resultado da inspeção'!$W$3,0%,Ranking!T340)</f>
        <v>0</v>
      </c>
      <c r="AJ340" s="50">
        <f>IF('Resultado da inspeção'!I340='Resultado da inspeção'!$W$3,0%,Ranking!U340)</f>
        <v>0</v>
      </c>
      <c r="AK340" s="50">
        <f>IF('Resultado da inspeção'!J340='Resultado da inspeção'!$W$3,0%,Ranking!V340)</f>
        <v>0.23076923076923075</v>
      </c>
      <c r="AL340" s="50">
        <f>IF('Resultado da inspeção'!K340='Resultado da inspeção'!$W$3,0%,Ranking!W340)</f>
        <v>0</v>
      </c>
      <c r="AM340" s="50">
        <f>IF('Resultado da inspeção'!L340='Resultado da inspeção'!$W$3,0%,Ranking!X340)</f>
        <v>0.26373626373626374</v>
      </c>
      <c r="AN340" s="50">
        <f>IF('Resultado da inspeção'!M340='Resultado da inspeção'!$W$3,0%,Ranking!Y340)</f>
        <v>0</v>
      </c>
      <c r="AO340" s="50">
        <f>IF('Resultado da inspeção'!N340='Resultado da inspeção'!$W$3,0%,Ranking!Z340)</f>
        <v>0</v>
      </c>
      <c r="AP340" s="50">
        <f>IF('Resultado da inspeção'!O340='Resultado da inspeção'!$W$3,0%,Ranking!AA340)</f>
        <v>6.5934065934065936E-2</v>
      </c>
      <c r="AQ340" s="50">
        <f>IF('Resultado da inspeção'!P340='Resultado da inspeção'!$W$3,0%,Ranking!AB340)</f>
        <v>8.7912087912087905E-2</v>
      </c>
      <c r="AR340" s="50">
        <f>IF('Resultado da inspeção'!Q340='Resultado da inspeção'!$W$3,0%,Ranking!AC340)</f>
        <v>5.4945054945054944E-2</v>
      </c>
      <c r="AS340" s="50">
        <f>IF('Resultado da inspeção'!R340='Resultado da inspeção'!$W$3,0%,Ranking!AD340)</f>
        <v>2.1978021978021976E-2</v>
      </c>
      <c r="AT340" s="50">
        <f>IF('Resultado da inspeção'!S340='Resultado da inspeção'!$W$3,0%,Ranking!AE340)</f>
        <v>2.1978021978021976E-2</v>
      </c>
      <c r="AU340" s="49">
        <f t="shared" si="108"/>
        <v>0.74725274725274737</v>
      </c>
    </row>
    <row r="341" spans="2:47" x14ac:dyDescent="0.25">
      <c r="B341" s="48">
        <f>IF('Resultado da inspeção'!F341='Resultado da inspeção'!$W$4,0%,Ranking!B$5)</f>
        <v>0.02</v>
      </c>
      <c r="C341" s="48">
        <f>IF('Resultado da inspeção'!G341='Resultado da inspeção'!$W$4,0%,Ranking!C$5)</f>
        <v>0.03</v>
      </c>
      <c r="D341" s="48">
        <f>IF('Resultado da inspeção'!H341='Resultado da inspeção'!$W$4,0%,Ranking!D$5)</f>
        <v>0.03</v>
      </c>
      <c r="E341" s="48">
        <f>IF('Resultado da inspeção'!I341='Resultado da inspeção'!$W$4,0%,Ranking!E$5)</f>
        <v>0.1</v>
      </c>
      <c r="F341" s="48">
        <f>IF('Resultado da inspeção'!J341='Resultado da inspeção'!$W$4,0%,Ranking!F$5)</f>
        <v>0.21</v>
      </c>
      <c r="G341" s="48">
        <f>IF('Resultado da inspeção'!K341='Resultado da inspeção'!$W$4,0%,Ranking!G$5)</f>
        <v>0.05</v>
      </c>
      <c r="H341" s="48">
        <f>IF('Resultado da inspeção'!L341='Resultado da inspeção'!$W$4,0%,Ranking!H$5)</f>
        <v>0</v>
      </c>
      <c r="I341" s="48">
        <f>IF('Resultado da inspeção'!M341='Resultado da inspeção'!$W$4,0%,Ranking!I$5)</f>
        <v>0</v>
      </c>
      <c r="J341" s="48">
        <f>IF('Resultado da inspeção'!N341='Resultado da inspeção'!$W$4,0%,Ranking!J$5)</f>
        <v>0</v>
      </c>
      <c r="K341" s="48">
        <f>IF('Resultado da inspeção'!O341='Resultado da inspeção'!$W$4,0%,Ranking!K$5)</f>
        <v>0.06</v>
      </c>
      <c r="L341" s="48">
        <f>IF('Resultado da inspeção'!P341='Resultado da inspeção'!$W$4,0%,Ranking!L$5)</f>
        <v>0.08</v>
      </c>
      <c r="M341" s="48">
        <f>IF('Resultado da inspeção'!Q341='Resultado da inspeção'!$W$4,0%,Ranking!M$5)</f>
        <v>0.05</v>
      </c>
      <c r="N341" s="48">
        <f>IF('Resultado da inspeção'!R341='Resultado da inspeção'!$W$4,0%,Ranking!N$5)</f>
        <v>0.02</v>
      </c>
      <c r="O341" s="48">
        <f>IF('Resultado da inspeção'!S341='Resultado da inspeção'!$W$4,0%,Ranking!O$5)</f>
        <v>0.02</v>
      </c>
      <c r="P341" s="47">
        <f t="shared" si="91"/>
        <v>0.67</v>
      </c>
      <c r="Q341" s="49">
        <f t="shared" si="106"/>
        <v>0.32999999999999996</v>
      </c>
      <c r="R341" s="50">
        <f t="shared" si="92"/>
        <v>2.9850746268656716E-2</v>
      </c>
      <c r="S341" s="50">
        <f t="shared" si="93"/>
        <v>4.4776119402985072E-2</v>
      </c>
      <c r="T341" s="50">
        <f t="shared" si="94"/>
        <v>4.4776119402985072E-2</v>
      </c>
      <c r="U341" s="50">
        <f t="shared" si="95"/>
        <v>0.14925373134328357</v>
      </c>
      <c r="V341" s="50">
        <f t="shared" si="96"/>
        <v>0.31343283582089548</v>
      </c>
      <c r="W341" s="50">
        <f t="shared" si="97"/>
        <v>7.4626865671641784E-2</v>
      </c>
      <c r="X341" s="50">
        <f t="shared" si="98"/>
        <v>0</v>
      </c>
      <c r="Y341" s="50">
        <f t="shared" si="99"/>
        <v>0</v>
      </c>
      <c r="Z341" s="50">
        <f t="shared" si="100"/>
        <v>0</v>
      </c>
      <c r="AA341" s="50">
        <f t="shared" si="101"/>
        <v>8.9552238805970144E-2</v>
      </c>
      <c r="AB341" s="50">
        <f t="shared" si="102"/>
        <v>0.11940298507462686</v>
      </c>
      <c r="AC341" s="50">
        <f t="shared" si="103"/>
        <v>7.4626865671641784E-2</v>
      </c>
      <c r="AD341" s="50">
        <f t="shared" si="104"/>
        <v>2.9850746268656716E-2</v>
      </c>
      <c r="AE341" s="50">
        <f t="shared" si="105"/>
        <v>2.9850746268656716E-2</v>
      </c>
      <c r="AF341" s="47">
        <f t="shared" si="107"/>
        <v>0.99999999999999989</v>
      </c>
      <c r="AG341" s="50">
        <f>IF('Resultado da inspeção'!F341='Resultado da inspeção'!$W$3,0%,Ranking!R341)</f>
        <v>0</v>
      </c>
      <c r="AH341" s="50">
        <f>IF('Resultado da inspeção'!G341='Resultado da inspeção'!$W$3,0%,Ranking!S341)</f>
        <v>0</v>
      </c>
      <c r="AI341" s="50">
        <f>IF('Resultado da inspeção'!H341='Resultado da inspeção'!$W$3,0%,Ranking!T341)</f>
        <v>0</v>
      </c>
      <c r="AJ341" s="50">
        <f>IF('Resultado da inspeção'!I341='Resultado da inspeção'!$W$3,0%,Ranking!U341)</f>
        <v>0</v>
      </c>
      <c r="AK341" s="50">
        <f>IF('Resultado da inspeção'!J341='Resultado da inspeção'!$W$3,0%,Ranking!V341)</f>
        <v>0.31343283582089548</v>
      </c>
      <c r="AL341" s="50">
        <f>IF('Resultado da inspeção'!K341='Resultado da inspeção'!$W$3,0%,Ranking!W341)</f>
        <v>0</v>
      </c>
      <c r="AM341" s="50">
        <f>IF('Resultado da inspeção'!L341='Resultado da inspeção'!$W$3,0%,Ranking!X341)</f>
        <v>0</v>
      </c>
      <c r="AN341" s="50">
        <f>IF('Resultado da inspeção'!M341='Resultado da inspeção'!$W$3,0%,Ranking!Y341)</f>
        <v>0</v>
      </c>
      <c r="AO341" s="50">
        <f>IF('Resultado da inspeção'!N341='Resultado da inspeção'!$W$3,0%,Ranking!Z341)</f>
        <v>0</v>
      </c>
      <c r="AP341" s="50">
        <f>IF('Resultado da inspeção'!O341='Resultado da inspeção'!$W$3,0%,Ranking!AA341)</f>
        <v>8.9552238805970144E-2</v>
      </c>
      <c r="AQ341" s="50">
        <f>IF('Resultado da inspeção'!P341='Resultado da inspeção'!$W$3,0%,Ranking!AB341)</f>
        <v>0.11940298507462686</v>
      </c>
      <c r="AR341" s="50">
        <f>IF('Resultado da inspeção'!Q341='Resultado da inspeção'!$W$3,0%,Ranking!AC341)</f>
        <v>7.4626865671641784E-2</v>
      </c>
      <c r="AS341" s="50">
        <f>IF('Resultado da inspeção'!R341='Resultado da inspeção'!$W$3,0%,Ranking!AD341)</f>
        <v>2.9850746268656716E-2</v>
      </c>
      <c r="AT341" s="50">
        <f>IF('Resultado da inspeção'!S341='Resultado da inspeção'!$W$3,0%,Ranking!AE341)</f>
        <v>2.9850746268656716E-2</v>
      </c>
      <c r="AU341" s="49">
        <f t="shared" si="108"/>
        <v>0.65671641791044766</v>
      </c>
    </row>
    <row r="342" spans="2:47" x14ac:dyDescent="0.25">
      <c r="B342" s="48">
        <f>IF('Resultado da inspeção'!F342='Resultado da inspeção'!$W$4,0%,Ranking!B$5)</f>
        <v>0.02</v>
      </c>
      <c r="C342" s="48">
        <f>IF('Resultado da inspeção'!G342='Resultado da inspeção'!$W$4,0%,Ranking!C$5)</f>
        <v>0.03</v>
      </c>
      <c r="D342" s="48">
        <f>IF('Resultado da inspeção'!H342='Resultado da inspeção'!$W$4,0%,Ranking!D$5)</f>
        <v>0.03</v>
      </c>
      <c r="E342" s="48">
        <f>IF('Resultado da inspeção'!I342='Resultado da inspeção'!$W$4,0%,Ranking!E$5)</f>
        <v>0.1</v>
      </c>
      <c r="F342" s="48">
        <f>IF('Resultado da inspeção'!J342='Resultado da inspeção'!$W$4,0%,Ranking!F$5)</f>
        <v>0.21</v>
      </c>
      <c r="G342" s="48">
        <f>IF('Resultado da inspeção'!K342='Resultado da inspeção'!$W$4,0%,Ranking!G$5)</f>
        <v>0.05</v>
      </c>
      <c r="H342" s="48">
        <f>IF('Resultado da inspeção'!L342='Resultado da inspeção'!$W$4,0%,Ranking!H$5)</f>
        <v>0.24</v>
      </c>
      <c r="I342" s="48">
        <f>IF('Resultado da inspeção'!M342='Resultado da inspeção'!$W$4,0%,Ranking!I$5)</f>
        <v>0</v>
      </c>
      <c r="J342" s="48">
        <f>IF('Resultado da inspeção'!N342='Resultado da inspeção'!$W$4,0%,Ranking!J$5)</f>
        <v>0</v>
      </c>
      <c r="K342" s="48">
        <f>IF('Resultado da inspeção'!O342='Resultado da inspeção'!$W$4,0%,Ranking!K$5)</f>
        <v>0.06</v>
      </c>
      <c r="L342" s="48">
        <f>IF('Resultado da inspeção'!P342='Resultado da inspeção'!$W$4,0%,Ranking!L$5)</f>
        <v>0.08</v>
      </c>
      <c r="M342" s="48">
        <f>IF('Resultado da inspeção'!Q342='Resultado da inspeção'!$W$4,0%,Ranking!M$5)</f>
        <v>0.05</v>
      </c>
      <c r="N342" s="48">
        <f>IF('Resultado da inspeção'!R342='Resultado da inspeção'!$W$4,0%,Ranking!N$5)</f>
        <v>0.02</v>
      </c>
      <c r="O342" s="48">
        <f>IF('Resultado da inspeção'!S342='Resultado da inspeção'!$W$4,0%,Ranking!O$5)</f>
        <v>0.02</v>
      </c>
      <c r="P342" s="47">
        <f t="shared" si="91"/>
        <v>0.91</v>
      </c>
      <c r="Q342" s="49">
        <f t="shared" si="106"/>
        <v>8.9999999999999969E-2</v>
      </c>
      <c r="R342" s="50">
        <f t="shared" si="92"/>
        <v>2.1978021978021976E-2</v>
      </c>
      <c r="S342" s="50">
        <f t="shared" si="93"/>
        <v>3.2967032967032968E-2</v>
      </c>
      <c r="T342" s="50">
        <f t="shared" si="94"/>
        <v>3.2967032967032968E-2</v>
      </c>
      <c r="U342" s="50">
        <f t="shared" si="95"/>
        <v>0.10989010989010989</v>
      </c>
      <c r="V342" s="50">
        <f t="shared" si="96"/>
        <v>0.23076923076923075</v>
      </c>
      <c r="W342" s="50">
        <f t="shared" si="97"/>
        <v>5.4945054945054944E-2</v>
      </c>
      <c r="X342" s="50">
        <f t="shared" si="98"/>
        <v>0.26373626373626374</v>
      </c>
      <c r="Y342" s="50">
        <f t="shared" si="99"/>
        <v>0</v>
      </c>
      <c r="Z342" s="50">
        <f t="shared" si="100"/>
        <v>0</v>
      </c>
      <c r="AA342" s="50">
        <f t="shared" si="101"/>
        <v>6.5934065934065936E-2</v>
      </c>
      <c r="AB342" s="50">
        <f t="shared" si="102"/>
        <v>8.7912087912087905E-2</v>
      </c>
      <c r="AC342" s="50">
        <f t="shared" si="103"/>
        <v>5.4945054945054944E-2</v>
      </c>
      <c r="AD342" s="50">
        <f t="shared" si="104"/>
        <v>2.1978021978021976E-2</v>
      </c>
      <c r="AE342" s="50">
        <f t="shared" si="105"/>
        <v>2.1978021978021976E-2</v>
      </c>
      <c r="AF342" s="47">
        <f t="shared" si="107"/>
        <v>1</v>
      </c>
      <c r="AG342" s="50">
        <f>IF('Resultado da inspeção'!F342='Resultado da inspeção'!$W$3,0%,Ranking!R342)</f>
        <v>0</v>
      </c>
      <c r="AH342" s="50">
        <f>IF('Resultado da inspeção'!G342='Resultado da inspeção'!$W$3,0%,Ranking!S342)</f>
        <v>0</v>
      </c>
      <c r="AI342" s="50">
        <f>IF('Resultado da inspeção'!H342='Resultado da inspeção'!$W$3,0%,Ranking!T342)</f>
        <v>0</v>
      </c>
      <c r="AJ342" s="50">
        <f>IF('Resultado da inspeção'!I342='Resultado da inspeção'!$W$3,0%,Ranking!U342)</f>
        <v>0</v>
      </c>
      <c r="AK342" s="50">
        <f>IF('Resultado da inspeção'!J342='Resultado da inspeção'!$W$3,0%,Ranking!V342)</f>
        <v>0.23076923076923075</v>
      </c>
      <c r="AL342" s="50">
        <f>IF('Resultado da inspeção'!K342='Resultado da inspeção'!$W$3,0%,Ranking!W342)</f>
        <v>0</v>
      </c>
      <c r="AM342" s="50">
        <f>IF('Resultado da inspeção'!L342='Resultado da inspeção'!$W$3,0%,Ranking!X342)</f>
        <v>0</v>
      </c>
      <c r="AN342" s="50">
        <f>IF('Resultado da inspeção'!M342='Resultado da inspeção'!$W$3,0%,Ranking!Y342)</f>
        <v>0</v>
      </c>
      <c r="AO342" s="50">
        <f>IF('Resultado da inspeção'!N342='Resultado da inspeção'!$W$3,0%,Ranking!Z342)</f>
        <v>0</v>
      </c>
      <c r="AP342" s="50">
        <f>IF('Resultado da inspeção'!O342='Resultado da inspeção'!$W$3,0%,Ranking!AA342)</f>
        <v>6.5934065934065936E-2</v>
      </c>
      <c r="AQ342" s="50">
        <f>IF('Resultado da inspeção'!P342='Resultado da inspeção'!$W$3,0%,Ranking!AB342)</f>
        <v>8.7912087912087905E-2</v>
      </c>
      <c r="AR342" s="50">
        <f>IF('Resultado da inspeção'!Q342='Resultado da inspeção'!$W$3,0%,Ranking!AC342)</f>
        <v>5.4945054945054944E-2</v>
      </c>
      <c r="AS342" s="50">
        <f>IF('Resultado da inspeção'!R342='Resultado da inspeção'!$W$3,0%,Ranking!AD342)</f>
        <v>2.1978021978021976E-2</v>
      </c>
      <c r="AT342" s="50">
        <f>IF('Resultado da inspeção'!S342='Resultado da inspeção'!$W$3,0%,Ranking!AE342)</f>
        <v>2.1978021978021976E-2</v>
      </c>
      <c r="AU342" s="49">
        <f t="shared" si="108"/>
        <v>0.48351648351648346</v>
      </c>
    </row>
    <row r="343" spans="2:47" x14ac:dyDescent="0.25">
      <c r="B343" s="48">
        <f>IF('Resultado da inspeção'!F343='Resultado da inspeção'!$W$4,0%,Ranking!B$5)</f>
        <v>0.02</v>
      </c>
      <c r="C343" s="48">
        <f>IF('Resultado da inspeção'!G343='Resultado da inspeção'!$W$4,0%,Ranking!C$5)</f>
        <v>0.03</v>
      </c>
      <c r="D343" s="48">
        <f>IF('Resultado da inspeção'!H343='Resultado da inspeção'!$W$4,0%,Ranking!D$5)</f>
        <v>0.03</v>
      </c>
      <c r="E343" s="48">
        <f>IF('Resultado da inspeção'!I343='Resultado da inspeção'!$W$4,0%,Ranking!E$5)</f>
        <v>0.1</v>
      </c>
      <c r="F343" s="48">
        <f>IF('Resultado da inspeção'!J343='Resultado da inspeção'!$W$4,0%,Ranking!F$5)</f>
        <v>0.21</v>
      </c>
      <c r="G343" s="48">
        <f>IF('Resultado da inspeção'!K343='Resultado da inspeção'!$W$4,0%,Ranking!G$5)</f>
        <v>0.05</v>
      </c>
      <c r="H343" s="48">
        <f>IF('Resultado da inspeção'!L343='Resultado da inspeção'!$W$4,0%,Ranking!H$5)</f>
        <v>0</v>
      </c>
      <c r="I343" s="48">
        <f>IF('Resultado da inspeção'!M343='Resultado da inspeção'!$W$4,0%,Ranking!I$5)</f>
        <v>0</v>
      </c>
      <c r="J343" s="48">
        <f>IF('Resultado da inspeção'!N343='Resultado da inspeção'!$W$4,0%,Ranking!J$5)</f>
        <v>0</v>
      </c>
      <c r="K343" s="48">
        <f>IF('Resultado da inspeção'!O343='Resultado da inspeção'!$W$4,0%,Ranking!K$5)</f>
        <v>0.06</v>
      </c>
      <c r="L343" s="48">
        <f>IF('Resultado da inspeção'!P343='Resultado da inspeção'!$W$4,0%,Ranking!L$5)</f>
        <v>0.08</v>
      </c>
      <c r="M343" s="48">
        <f>IF('Resultado da inspeção'!Q343='Resultado da inspeção'!$W$4,0%,Ranking!M$5)</f>
        <v>0.05</v>
      </c>
      <c r="N343" s="48">
        <f>IF('Resultado da inspeção'!R343='Resultado da inspeção'!$W$4,0%,Ranking!N$5)</f>
        <v>0.02</v>
      </c>
      <c r="O343" s="48">
        <f>IF('Resultado da inspeção'!S343='Resultado da inspeção'!$W$4,0%,Ranking!O$5)</f>
        <v>0.02</v>
      </c>
      <c r="P343" s="47">
        <f t="shared" si="91"/>
        <v>0.67</v>
      </c>
      <c r="Q343" s="49">
        <f t="shared" si="106"/>
        <v>0.32999999999999996</v>
      </c>
      <c r="R343" s="50">
        <f t="shared" si="92"/>
        <v>2.9850746268656716E-2</v>
      </c>
      <c r="S343" s="50">
        <f t="shared" si="93"/>
        <v>4.4776119402985072E-2</v>
      </c>
      <c r="T343" s="50">
        <f t="shared" si="94"/>
        <v>4.4776119402985072E-2</v>
      </c>
      <c r="U343" s="50">
        <f t="shared" si="95"/>
        <v>0.14925373134328357</v>
      </c>
      <c r="V343" s="50">
        <f t="shared" si="96"/>
        <v>0.31343283582089548</v>
      </c>
      <c r="W343" s="50">
        <f t="shared" si="97"/>
        <v>7.4626865671641784E-2</v>
      </c>
      <c r="X343" s="50">
        <f t="shared" si="98"/>
        <v>0</v>
      </c>
      <c r="Y343" s="50">
        <f t="shared" si="99"/>
        <v>0</v>
      </c>
      <c r="Z343" s="50">
        <f t="shared" si="100"/>
        <v>0</v>
      </c>
      <c r="AA343" s="50">
        <f t="shared" si="101"/>
        <v>8.9552238805970144E-2</v>
      </c>
      <c r="AB343" s="50">
        <f t="shared" si="102"/>
        <v>0.11940298507462686</v>
      </c>
      <c r="AC343" s="50">
        <f t="shared" si="103"/>
        <v>7.4626865671641784E-2</v>
      </c>
      <c r="AD343" s="50">
        <f t="shared" si="104"/>
        <v>2.9850746268656716E-2</v>
      </c>
      <c r="AE343" s="50">
        <f t="shared" si="105"/>
        <v>2.9850746268656716E-2</v>
      </c>
      <c r="AF343" s="47">
        <f t="shared" si="107"/>
        <v>0.99999999999999989</v>
      </c>
      <c r="AG343" s="50">
        <f>IF('Resultado da inspeção'!F343='Resultado da inspeção'!$W$3,0%,Ranking!R343)</f>
        <v>2.9850746268656716E-2</v>
      </c>
      <c r="AH343" s="50">
        <f>IF('Resultado da inspeção'!G343='Resultado da inspeção'!$W$3,0%,Ranking!S343)</f>
        <v>4.4776119402985072E-2</v>
      </c>
      <c r="AI343" s="50">
        <f>IF('Resultado da inspeção'!H343='Resultado da inspeção'!$W$3,0%,Ranking!T343)</f>
        <v>4.4776119402985072E-2</v>
      </c>
      <c r="AJ343" s="50">
        <f>IF('Resultado da inspeção'!I343='Resultado da inspeção'!$W$3,0%,Ranking!U343)</f>
        <v>0</v>
      </c>
      <c r="AK343" s="50">
        <f>IF('Resultado da inspeção'!J343='Resultado da inspeção'!$W$3,0%,Ranking!V343)</f>
        <v>0.31343283582089548</v>
      </c>
      <c r="AL343" s="50">
        <f>IF('Resultado da inspeção'!K343='Resultado da inspeção'!$W$3,0%,Ranking!W343)</f>
        <v>7.4626865671641784E-2</v>
      </c>
      <c r="AM343" s="50">
        <f>IF('Resultado da inspeção'!L343='Resultado da inspeção'!$W$3,0%,Ranking!X343)</f>
        <v>0</v>
      </c>
      <c r="AN343" s="50">
        <f>IF('Resultado da inspeção'!M343='Resultado da inspeção'!$W$3,0%,Ranking!Y343)</f>
        <v>0</v>
      </c>
      <c r="AO343" s="50">
        <f>IF('Resultado da inspeção'!N343='Resultado da inspeção'!$W$3,0%,Ranking!Z343)</f>
        <v>0</v>
      </c>
      <c r="AP343" s="50">
        <f>IF('Resultado da inspeção'!O343='Resultado da inspeção'!$W$3,0%,Ranking!AA343)</f>
        <v>8.9552238805970144E-2</v>
      </c>
      <c r="AQ343" s="50">
        <f>IF('Resultado da inspeção'!P343='Resultado da inspeção'!$W$3,0%,Ranking!AB343)</f>
        <v>0.11940298507462686</v>
      </c>
      <c r="AR343" s="50">
        <f>IF('Resultado da inspeção'!Q343='Resultado da inspeção'!$W$3,0%,Ranking!AC343)</f>
        <v>7.4626865671641784E-2</v>
      </c>
      <c r="AS343" s="50">
        <f>IF('Resultado da inspeção'!R343='Resultado da inspeção'!$W$3,0%,Ranking!AD343)</f>
        <v>2.9850746268656716E-2</v>
      </c>
      <c r="AT343" s="50">
        <f>IF('Resultado da inspeção'!S343='Resultado da inspeção'!$W$3,0%,Ranking!AE343)</f>
        <v>2.9850746268656716E-2</v>
      </c>
      <c r="AU343" s="49">
        <f t="shared" si="108"/>
        <v>0.85074626865671632</v>
      </c>
    </row>
    <row r="344" spans="2:47" x14ac:dyDescent="0.25">
      <c r="B344" s="48">
        <f>IF('Resultado da inspeção'!F344='Resultado da inspeção'!$W$4,0%,Ranking!B$5)</f>
        <v>0.02</v>
      </c>
      <c r="C344" s="48">
        <f>IF('Resultado da inspeção'!G344='Resultado da inspeção'!$W$4,0%,Ranking!C$5)</f>
        <v>0.03</v>
      </c>
      <c r="D344" s="48">
        <f>IF('Resultado da inspeção'!H344='Resultado da inspeção'!$W$4,0%,Ranking!D$5)</f>
        <v>0.03</v>
      </c>
      <c r="E344" s="48">
        <f>IF('Resultado da inspeção'!I344='Resultado da inspeção'!$W$4,0%,Ranking!E$5)</f>
        <v>0.1</v>
      </c>
      <c r="F344" s="48">
        <f>IF('Resultado da inspeção'!J344='Resultado da inspeção'!$W$4,0%,Ranking!F$5)</f>
        <v>0.21</v>
      </c>
      <c r="G344" s="48">
        <f>IF('Resultado da inspeção'!K344='Resultado da inspeção'!$W$4,0%,Ranking!G$5)</f>
        <v>0.05</v>
      </c>
      <c r="H344" s="48">
        <f>IF('Resultado da inspeção'!L344='Resultado da inspeção'!$W$4,0%,Ranking!H$5)</f>
        <v>0</v>
      </c>
      <c r="I344" s="48">
        <f>IF('Resultado da inspeção'!M344='Resultado da inspeção'!$W$4,0%,Ranking!I$5)</f>
        <v>0</v>
      </c>
      <c r="J344" s="48">
        <f>IF('Resultado da inspeção'!N344='Resultado da inspeção'!$W$4,0%,Ranking!J$5)</f>
        <v>0</v>
      </c>
      <c r="K344" s="48">
        <f>IF('Resultado da inspeção'!O344='Resultado da inspeção'!$W$4,0%,Ranking!K$5)</f>
        <v>0.06</v>
      </c>
      <c r="L344" s="48">
        <f>IF('Resultado da inspeção'!P344='Resultado da inspeção'!$W$4,0%,Ranking!L$5)</f>
        <v>0.08</v>
      </c>
      <c r="M344" s="48">
        <f>IF('Resultado da inspeção'!Q344='Resultado da inspeção'!$W$4,0%,Ranking!M$5)</f>
        <v>0.05</v>
      </c>
      <c r="N344" s="48">
        <f>IF('Resultado da inspeção'!R344='Resultado da inspeção'!$W$4,0%,Ranking!N$5)</f>
        <v>0.02</v>
      </c>
      <c r="O344" s="48">
        <f>IF('Resultado da inspeção'!S344='Resultado da inspeção'!$W$4,0%,Ranking!O$5)</f>
        <v>0.02</v>
      </c>
      <c r="P344" s="47">
        <f t="shared" si="91"/>
        <v>0.67</v>
      </c>
      <c r="Q344" s="49">
        <f t="shared" si="106"/>
        <v>0.32999999999999996</v>
      </c>
      <c r="R344" s="50">
        <f t="shared" si="92"/>
        <v>2.9850746268656716E-2</v>
      </c>
      <c r="S344" s="50">
        <f t="shared" si="93"/>
        <v>4.4776119402985072E-2</v>
      </c>
      <c r="T344" s="50">
        <f t="shared" si="94"/>
        <v>4.4776119402985072E-2</v>
      </c>
      <c r="U344" s="50">
        <f t="shared" si="95"/>
        <v>0.14925373134328357</v>
      </c>
      <c r="V344" s="50">
        <f t="shared" si="96"/>
        <v>0.31343283582089548</v>
      </c>
      <c r="W344" s="50">
        <f t="shared" si="97"/>
        <v>7.4626865671641784E-2</v>
      </c>
      <c r="X344" s="50">
        <f t="shared" si="98"/>
        <v>0</v>
      </c>
      <c r="Y344" s="50">
        <f t="shared" si="99"/>
        <v>0</v>
      </c>
      <c r="Z344" s="50">
        <f t="shared" si="100"/>
        <v>0</v>
      </c>
      <c r="AA344" s="50">
        <f t="shared" si="101"/>
        <v>8.9552238805970144E-2</v>
      </c>
      <c r="AB344" s="50">
        <f t="shared" si="102"/>
        <v>0.11940298507462686</v>
      </c>
      <c r="AC344" s="50">
        <f t="shared" si="103"/>
        <v>7.4626865671641784E-2</v>
      </c>
      <c r="AD344" s="50">
        <f t="shared" si="104"/>
        <v>2.9850746268656716E-2</v>
      </c>
      <c r="AE344" s="50">
        <f t="shared" si="105"/>
        <v>2.9850746268656716E-2</v>
      </c>
      <c r="AF344" s="47">
        <f t="shared" si="107"/>
        <v>0.99999999999999989</v>
      </c>
      <c r="AG344" s="50">
        <f>IF('Resultado da inspeção'!F344='Resultado da inspeção'!$W$3,0%,Ranking!R344)</f>
        <v>2.9850746268656716E-2</v>
      </c>
      <c r="AH344" s="50">
        <f>IF('Resultado da inspeção'!G344='Resultado da inspeção'!$W$3,0%,Ranking!S344)</f>
        <v>0</v>
      </c>
      <c r="AI344" s="50">
        <f>IF('Resultado da inspeção'!H344='Resultado da inspeção'!$W$3,0%,Ranking!T344)</f>
        <v>0</v>
      </c>
      <c r="AJ344" s="50">
        <f>IF('Resultado da inspeção'!I344='Resultado da inspeção'!$W$3,0%,Ranking!U344)</f>
        <v>0</v>
      </c>
      <c r="AK344" s="50">
        <f>IF('Resultado da inspeção'!J344='Resultado da inspeção'!$W$3,0%,Ranking!V344)</f>
        <v>0</v>
      </c>
      <c r="AL344" s="50">
        <f>IF('Resultado da inspeção'!K344='Resultado da inspeção'!$W$3,0%,Ranking!W344)</f>
        <v>7.4626865671641784E-2</v>
      </c>
      <c r="AM344" s="50">
        <f>IF('Resultado da inspeção'!L344='Resultado da inspeção'!$W$3,0%,Ranking!X344)</f>
        <v>0</v>
      </c>
      <c r="AN344" s="50">
        <f>IF('Resultado da inspeção'!M344='Resultado da inspeção'!$W$3,0%,Ranking!Y344)</f>
        <v>0</v>
      </c>
      <c r="AO344" s="50">
        <f>IF('Resultado da inspeção'!N344='Resultado da inspeção'!$W$3,0%,Ranking!Z344)</f>
        <v>0</v>
      </c>
      <c r="AP344" s="50">
        <f>IF('Resultado da inspeção'!O344='Resultado da inspeção'!$W$3,0%,Ranking!AA344)</f>
        <v>8.9552238805970144E-2</v>
      </c>
      <c r="AQ344" s="50">
        <f>IF('Resultado da inspeção'!P344='Resultado da inspeção'!$W$3,0%,Ranking!AB344)</f>
        <v>0.11940298507462686</v>
      </c>
      <c r="AR344" s="50">
        <f>IF('Resultado da inspeção'!Q344='Resultado da inspeção'!$W$3,0%,Ranking!AC344)</f>
        <v>7.4626865671641784E-2</v>
      </c>
      <c r="AS344" s="50">
        <f>IF('Resultado da inspeção'!R344='Resultado da inspeção'!$W$3,0%,Ranking!AD344)</f>
        <v>2.9850746268656716E-2</v>
      </c>
      <c r="AT344" s="50">
        <f>IF('Resultado da inspeção'!S344='Resultado da inspeção'!$W$3,0%,Ranking!AE344)</f>
        <v>2.9850746268656716E-2</v>
      </c>
      <c r="AU344" s="49">
        <f t="shared" si="108"/>
        <v>0.44776119402985071</v>
      </c>
    </row>
    <row r="345" spans="2:47" x14ac:dyDescent="0.25">
      <c r="B345" s="48">
        <f>IF('Resultado da inspeção'!F345='Resultado da inspeção'!$W$4,0%,Ranking!B$5)</f>
        <v>0.02</v>
      </c>
      <c r="C345" s="48">
        <f>IF('Resultado da inspeção'!G345='Resultado da inspeção'!$W$4,0%,Ranking!C$5)</f>
        <v>0.03</v>
      </c>
      <c r="D345" s="48">
        <f>IF('Resultado da inspeção'!H345='Resultado da inspeção'!$W$4,0%,Ranking!D$5)</f>
        <v>0.03</v>
      </c>
      <c r="E345" s="48">
        <f>IF('Resultado da inspeção'!I345='Resultado da inspeção'!$W$4,0%,Ranking!E$5)</f>
        <v>0.1</v>
      </c>
      <c r="F345" s="48">
        <f>IF('Resultado da inspeção'!J345='Resultado da inspeção'!$W$4,0%,Ranking!F$5)</f>
        <v>0.21</v>
      </c>
      <c r="G345" s="48">
        <f>IF('Resultado da inspeção'!K345='Resultado da inspeção'!$W$4,0%,Ranking!G$5)</f>
        <v>0.05</v>
      </c>
      <c r="H345" s="48">
        <f>IF('Resultado da inspeção'!L345='Resultado da inspeção'!$W$4,0%,Ranking!H$5)</f>
        <v>0</v>
      </c>
      <c r="I345" s="48">
        <f>IF('Resultado da inspeção'!M345='Resultado da inspeção'!$W$4,0%,Ranking!I$5)</f>
        <v>0.05</v>
      </c>
      <c r="J345" s="48">
        <f>IF('Resultado da inspeção'!N345='Resultado da inspeção'!$W$4,0%,Ranking!J$5)</f>
        <v>0.04</v>
      </c>
      <c r="K345" s="48">
        <f>IF('Resultado da inspeção'!O345='Resultado da inspeção'!$W$4,0%,Ranking!K$5)</f>
        <v>0.06</v>
      </c>
      <c r="L345" s="48">
        <f>IF('Resultado da inspeção'!P345='Resultado da inspeção'!$W$4,0%,Ranking!L$5)</f>
        <v>0.08</v>
      </c>
      <c r="M345" s="48">
        <f>IF('Resultado da inspeção'!Q345='Resultado da inspeção'!$W$4,0%,Ranking!M$5)</f>
        <v>0.05</v>
      </c>
      <c r="N345" s="48">
        <f>IF('Resultado da inspeção'!R345='Resultado da inspeção'!$W$4,0%,Ranking!N$5)</f>
        <v>0.02</v>
      </c>
      <c r="O345" s="48">
        <f>IF('Resultado da inspeção'!S345='Resultado da inspeção'!$W$4,0%,Ranking!O$5)</f>
        <v>0.02</v>
      </c>
      <c r="P345" s="47">
        <f t="shared" si="91"/>
        <v>0.76000000000000012</v>
      </c>
      <c r="Q345" s="49">
        <f t="shared" si="106"/>
        <v>0.23999999999999988</v>
      </c>
      <c r="R345" s="50">
        <f t="shared" si="92"/>
        <v>2.6315789473684206E-2</v>
      </c>
      <c r="S345" s="50">
        <f t="shared" si="93"/>
        <v>3.9473684210526307E-2</v>
      </c>
      <c r="T345" s="50">
        <f t="shared" si="94"/>
        <v>3.9473684210526307E-2</v>
      </c>
      <c r="U345" s="50">
        <f t="shared" si="95"/>
        <v>0.13157894736842105</v>
      </c>
      <c r="V345" s="50">
        <f t="shared" si="96"/>
        <v>0.27631578947368418</v>
      </c>
      <c r="W345" s="50">
        <f t="shared" si="97"/>
        <v>6.5789473684210523E-2</v>
      </c>
      <c r="X345" s="50">
        <f t="shared" si="98"/>
        <v>0</v>
      </c>
      <c r="Y345" s="50">
        <f t="shared" si="99"/>
        <v>6.5789473684210523E-2</v>
      </c>
      <c r="Z345" s="50">
        <f t="shared" si="100"/>
        <v>5.2631578947368411E-2</v>
      </c>
      <c r="AA345" s="50">
        <f t="shared" si="101"/>
        <v>7.8947368421052613E-2</v>
      </c>
      <c r="AB345" s="50">
        <f t="shared" si="102"/>
        <v>0.10526315789473682</v>
      </c>
      <c r="AC345" s="50">
        <f t="shared" si="103"/>
        <v>6.5789473684210523E-2</v>
      </c>
      <c r="AD345" s="50">
        <f t="shared" si="104"/>
        <v>2.6315789473684206E-2</v>
      </c>
      <c r="AE345" s="50">
        <f t="shared" si="105"/>
        <v>2.6315789473684206E-2</v>
      </c>
      <c r="AF345" s="47">
        <f t="shared" si="107"/>
        <v>0.99999999999999978</v>
      </c>
      <c r="AG345" s="50">
        <f>IF('Resultado da inspeção'!F345='Resultado da inspeção'!$W$3,0%,Ranking!R345)</f>
        <v>0</v>
      </c>
      <c r="AH345" s="50">
        <f>IF('Resultado da inspeção'!G345='Resultado da inspeção'!$W$3,0%,Ranking!S345)</f>
        <v>3.9473684210526307E-2</v>
      </c>
      <c r="AI345" s="50">
        <f>IF('Resultado da inspeção'!H345='Resultado da inspeção'!$W$3,0%,Ranking!T345)</f>
        <v>3.9473684210526307E-2</v>
      </c>
      <c r="AJ345" s="50">
        <f>IF('Resultado da inspeção'!I345='Resultado da inspeção'!$W$3,0%,Ranking!U345)</f>
        <v>0.13157894736842105</v>
      </c>
      <c r="AK345" s="50">
        <f>IF('Resultado da inspeção'!J345='Resultado da inspeção'!$W$3,0%,Ranking!V345)</f>
        <v>0.27631578947368418</v>
      </c>
      <c r="AL345" s="50">
        <f>IF('Resultado da inspeção'!K345='Resultado da inspeção'!$W$3,0%,Ranking!W345)</f>
        <v>6.5789473684210523E-2</v>
      </c>
      <c r="AM345" s="50">
        <f>IF('Resultado da inspeção'!L345='Resultado da inspeção'!$W$3,0%,Ranking!X345)</f>
        <v>0</v>
      </c>
      <c r="AN345" s="50">
        <f>IF('Resultado da inspeção'!M345='Resultado da inspeção'!$W$3,0%,Ranking!Y345)</f>
        <v>6.5789473684210523E-2</v>
      </c>
      <c r="AO345" s="50">
        <f>IF('Resultado da inspeção'!N345='Resultado da inspeção'!$W$3,0%,Ranking!Z345)</f>
        <v>0</v>
      </c>
      <c r="AP345" s="50">
        <f>IF('Resultado da inspeção'!O345='Resultado da inspeção'!$W$3,0%,Ranking!AA345)</f>
        <v>7.8947368421052613E-2</v>
      </c>
      <c r="AQ345" s="50">
        <f>IF('Resultado da inspeção'!P345='Resultado da inspeção'!$W$3,0%,Ranking!AB345)</f>
        <v>0.10526315789473682</v>
      </c>
      <c r="AR345" s="50">
        <f>IF('Resultado da inspeção'!Q345='Resultado da inspeção'!$W$3,0%,Ranking!AC345)</f>
        <v>6.5789473684210523E-2</v>
      </c>
      <c r="AS345" s="50">
        <f>IF('Resultado da inspeção'!R345='Resultado da inspeção'!$W$3,0%,Ranking!AD345)</f>
        <v>2.6315789473684206E-2</v>
      </c>
      <c r="AT345" s="50">
        <f>IF('Resultado da inspeção'!S345='Resultado da inspeção'!$W$3,0%,Ranking!AE345)</f>
        <v>2.6315789473684206E-2</v>
      </c>
      <c r="AU345" s="49">
        <f t="shared" si="108"/>
        <v>0.92105263157894723</v>
      </c>
    </row>
    <row r="346" spans="2:47" x14ac:dyDescent="0.25">
      <c r="B346" s="48">
        <f>IF('Resultado da inspeção'!F346='Resultado da inspeção'!$W$4,0%,Ranking!B$5)</f>
        <v>0.02</v>
      </c>
      <c r="C346" s="48">
        <f>IF('Resultado da inspeção'!G346='Resultado da inspeção'!$W$4,0%,Ranking!C$5)</f>
        <v>0.03</v>
      </c>
      <c r="D346" s="48">
        <f>IF('Resultado da inspeção'!H346='Resultado da inspeção'!$W$4,0%,Ranking!D$5)</f>
        <v>0.03</v>
      </c>
      <c r="E346" s="48">
        <f>IF('Resultado da inspeção'!I346='Resultado da inspeção'!$W$4,0%,Ranking!E$5)</f>
        <v>0.1</v>
      </c>
      <c r="F346" s="48">
        <f>IF('Resultado da inspeção'!J346='Resultado da inspeção'!$W$4,0%,Ranking!F$5)</f>
        <v>0.21</v>
      </c>
      <c r="G346" s="48">
        <f>IF('Resultado da inspeção'!K346='Resultado da inspeção'!$W$4,0%,Ranking!G$5)</f>
        <v>0.05</v>
      </c>
      <c r="H346" s="48">
        <f>IF('Resultado da inspeção'!L346='Resultado da inspeção'!$W$4,0%,Ranking!H$5)</f>
        <v>0.24</v>
      </c>
      <c r="I346" s="48">
        <f>IF('Resultado da inspeção'!M346='Resultado da inspeção'!$W$4,0%,Ranking!I$5)</f>
        <v>0.05</v>
      </c>
      <c r="J346" s="48">
        <f>IF('Resultado da inspeção'!N346='Resultado da inspeção'!$W$4,0%,Ranking!J$5)</f>
        <v>0.04</v>
      </c>
      <c r="K346" s="48">
        <f>IF('Resultado da inspeção'!O346='Resultado da inspeção'!$W$4,0%,Ranking!K$5)</f>
        <v>0.06</v>
      </c>
      <c r="L346" s="48">
        <f>IF('Resultado da inspeção'!P346='Resultado da inspeção'!$W$4,0%,Ranking!L$5)</f>
        <v>0.08</v>
      </c>
      <c r="M346" s="48">
        <f>IF('Resultado da inspeção'!Q346='Resultado da inspeção'!$W$4,0%,Ranking!M$5)</f>
        <v>0.05</v>
      </c>
      <c r="N346" s="48">
        <f>IF('Resultado da inspeção'!R346='Resultado da inspeção'!$W$4,0%,Ranking!N$5)</f>
        <v>0.02</v>
      </c>
      <c r="O346" s="48">
        <f>IF('Resultado da inspeção'!S346='Resultado da inspeção'!$W$4,0%,Ranking!O$5)</f>
        <v>0.02</v>
      </c>
      <c r="P346" s="47">
        <f t="shared" si="91"/>
        <v>1</v>
      </c>
      <c r="Q346" s="49">
        <f t="shared" si="106"/>
        <v>0</v>
      </c>
      <c r="R346" s="50">
        <f t="shared" si="92"/>
        <v>0.02</v>
      </c>
      <c r="S346" s="50">
        <f t="shared" si="93"/>
        <v>0.03</v>
      </c>
      <c r="T346" s="50">
        <f t="shared" si="94"/>
        <v>0.03</v>
      </c>
      <c r="U346" s="50">
        <f t="shared" si="95"/>
        <v>0.1</v>
      </c>
      <c r="V346" s="50">
        <f t="shared" si="96"/>
        <v>0.21</v>
      </c>
      <c r="W346" s="50">
        <f t="shared" si="97"/>
        <v>0.05</v>
      </c>
      <c r="X346" s="50">
        <f t="shared" si="98"/>
        <v>0.24</v>
      </c>
      <c r="Y346" s="50">
        <f t="shared" si="99"/>
        <v>0.05</v>
      </c>
      <c r="Z346" s="50">
        <f t="shared" si="100"/>
        <v>0.04</v>
      </c>
      <c r="AA346" s="50">
        <f t="shared" si="101"/>
        <v>0.06</v>
      </c>
      <c r="AB346" s="50">
        <f t="shared" si="102"/>
        <v>0.08</v>
      </c>
      <c r="AC346" s="50">
        <f t="shared" si="103"/>
        <v>0.05</v>
      </c>
      <c r="AD346" s="50">
        <f t="shared" si="104"/>
        <v>0.02</v>
      </c>
      <c r="AE346" s="50">
        <f t="shared" si="105"/>
        <v>0.02</v>
      </c>
      <c r="AF346" s="47">
        <f t="shared" si="107"/>
        <v>1</v>
      </c>
      <c r="AG346" s="50">
        <f>IF('Resultado da inspeção'!F346='Resultado da inspeção'!$W$3,0%,Ranking!R346)</f>
        <v>0.02</v>
      </c>
      <c r="AH346" s="50">
        <f>IF('Resultado da inspeção'!G346='Resultado da inspeção'!$W$3,0%,Ranking!S346)</f>
        <v>0.03</v>
      </c>
      <c r="AI346" s="50">
        <f>IF('Resultado da inspeção'!H346='Resultado da inspeção'!$W$3,0%,Ranking!T346)</f>
        <v>0.03</v>
      </c>
      <c r="AJ346" s="50">
        <f>IF('Resultado da inspeção'!I346='Resultado da inspeção'!$W$3,0%,Ranking!U346)</f>
        <v>0.1</v>
      </c>
      <c r="AK346" s="50">
        <f>IF('Resultado da inspeção'!J346='Resultado da inspeção'!$W$3,0%,Ranking!V346)</f>
        <v>0.21</v>
      </c>
      <c r="AL346" s="50">
        <f>IF('Resultado da inspeção'!K346='Resultado da inspeção'!$W$3,0%,Ranking!W346)</f>
        <v>0.05</v>
      </c>
      <c r="AM346" s="50">
        <f>IF('Resultado da inspeção'!L346='Resultado da inspeção'!$W$3,0%,Ranking!X346)</f>
        <v>0.24</v>
      </c>
      <c r="AN346" s="50">
        <f>IF('Resultado da inspeção'!M346='Resultado da inspeção'!$W$3,0%,Ranking!Y346)</f>
        <v>0.05</v>
      </c>
      <c r="AO346" s="50">
        <f>IF('Resultado da inspeção'!N346='Resultado da inspeção'!$W$3,0%,Ranking!Z346)</f>
        <v>0.04</v>
      </c>
      <c r="AP346" s="50">
        <f>IF('Resultado da inspeção'!O346='Resultado da inspeção'!$W$3,0%,Ranking!AA346)</f>
        <v>0.06</v>
      </c>
      <c r="AQ346" s="50">
        <f>IF('Resultado da inspeção'!P346='Resultado da inspeção'!$W$3,0%,Ranking!AB346)</f>
        <v>0.08</v>
      </c>
      <c r="AR346" s="50">
        <f>IF('Resultado da inspeção'!Q346='Resultado da inspeção'!$W$3,0%,Ranking!AC346)</f>
        <v>0.05</v>
      </c>
      <c r="AS346" s="50">
        <f>IF('Resultado da inspeção'!R346='Resultado da inspeção'!$W$3,0%,Ranking!AD346)</f>
        <v>0.02</v>
      </c>
      <c r="AT346" s="50">
        <f>IF('Resultado da inspeção'!S346='Resultado da inspeção'!$W$3,0%,Ranking!AE346)</f>
        <v>0.02</v>
      </c>
      <c r="AU346" s="49">
        <f t="shared" si="108"/>
        <v>1</v>
      </c>
    </row>
    <row r="347" spans="2:47" x14ac:dyDescent="0.25">
      <c r="B347" s="48">
        <f>IF('Resultado da inspeção'!F347='Resultado da inspeção'!$W$4,0%,Ranking!B$5)</f>
        <v>0.02</v>
      </c>
      <c r="C347" s="48">
        <f>IF('Resultado da inspeção'!G347='Resultado da inspeção'!$W$4,0%,Ranking!C$5)</f>
        <v>0.03</v>
      </c>
      <c r="D347" s="48">
        <f>IF('Resultado da inspeção'!H347='Resultado da inspeção'!$W$4,0%,Ranking!D$5)</f>
        <v>0.03</v>
      </c>
      <c r="E347" s="48">
        <f>IF('Resultado da inspeção'!I347='Resultado da inspeção'!$W$4,0%,Ranking!E$5)</f>
        <v>0.1</v>
      </c>
      <c r="F347" s="48">
        <f>IF('Resultado da inspeção'!J347='Resultado da inspeção'!$W$4,0%,Ranking!F$5)</f>
        <v>0.21</v>
      </c>
      <c r="G347" s="48">
        <f>IF('Resultado da inspeção'!K347='Resultado da inspeção'!$W$4,0%,Ranking!G$5)</f>
        <v>0.05</v>
      </c>
      <c r="H347" s="48">
        <f>IF('Resultado da inspeção'!L347='Resultado da inspeção'!$W$4,0%,Ranking!H$5)</f>
        <v>0.24</v>
      </c>
      <c r="I347" s="48">
        <f>IF('Resultado da inspeção'!M347='Resultado da inspeção'!$W$4,0%,Ranking!I$5)</f>
        <v>0.05</v>
      </c>
      <c r="J347" s="48">
        <f>IF('Resultado da inspeção'!N347='Resultado da inspeção'!$W$4,0%,Ranking!J$5)</f>
        <v>0.04</v>
      </c>
      <c r="K347" s="48">
        <f>IF('Resultado da inspeção'!O347='Resultado da inspeção'!$W$4,0%,Ranking!K$5)</f>
        <v>0.06</v>
      </c>
      <c r="L347" s="48">
        <f>IF('Resultado da inspeção'!P347='Resultado da inspeção'!$W$4,0%,Ranking!L$5)</f>
        <v>0.08</v>
      </c>
      <c r="M347" s="48">
        <f>IF('Resultado da inspeção'!Q347='Resultado da inspeção'!$W$4,0%,Ranking!M$5)</f>
        <v>0.05</v>
      </c>
      <c r="N347" s="48">
        <f>IF('Resultado da inspeção'!R347='Resultado da inspeção'!$W$4,0%,Ranking!N$5)</f>
        <v>0.02</v>
      </c>
      <c r="O347" s="48">
        <f>IF('Resultado da inspeção'!S347='Resultado da inspeção'!$W$4,0%,Ranking!O$5)</f>
        <v>0.02</v>
      </c>
      <c r="P347" s="47">
        <f t="shared" si="91"/>
        <v>1</v>
      </c>
      <c r="Q347" s="49">
        <f t="shared" si="106"/>
        <v>0</v>
      </c>
      <c r="R347" s="50">
        <f t="shared" si="92"/>
        <v>0.02</v>
      </c>
      <c r="S347" s="50">
        <f t="shared" si="93"/>
        <v>0.03</v>
      </c>
      <c r="T347" s="50">
        <f t="shared" si="94"/>
        <v>0.03</v>
      </c>
      <c r="U347" s="50">
        <f t="shared" si="95"/>
        <v>0.1</v>
      </c>
      <c r="V347" s="50">
        <f t="shared" si="96"/>
        <v>0.21</v>
      </c>
      <c r="W347" s="50">
        <f t="shared" si="97"/>
        <v>0.05</v>
      </c>
      <c r="X347" s="50">
        <f t="shared" si="98"/>
        <v>0.24</v>
      </c>
      <c r="Y347" s="50">
        <f t="shared" si="99"/>
        <v>0.05</v>
      </c>
      <c r="Z347" s="50">
        <f t="shared" si="100"/>
        <v>0.04</v>
      </c>
      <c r="AA347" s="50">
        <f t="shared" si="101"/>
        <v>0.06</v>
      </c>
      <c r="AB347" s="50">
        <f t="shared" si="102"/>
        <v>0.08</v>
      </c>
      <c r="AC347" s="50">
        <f t="shared" si="103"/>
        <v>0.05</v>
      </c>
      <c r="AD347" s="50">
        <f t="shared" si="104"/>
        <v>0.02</v>
      </c>
      <c r="AE347" s="50">
        <f t="shared" si="105"/>
        <v>0.02</v>
      </c>
      <c r="AF347" s="47">
        <f t="shared" si="107"/>
        <v>1</v>
      </c>
      <c r="AG347" s="50">
        <f>IF('Resultado da inspeção'!F347='Resultado da inspeção'!$W$3,0%,Ranking!R347)</f>
        <v>0.02</v>
      </c>
      <c r="AH347" s="50">
        <f>IF('Resultado da inspeção'!G347='Resultado da inspeção'!$W$3,0%,Ranking!S347)</f>
        <v>0.03</v>
      </c>
      <c r="AI347" s="50">
        <f>IF('Resultado da inspeção'!H347='Resultado da inspeção'!$W$3,0%,Ranking!T347)</f>
        <v>0.03</v>
      </c>
      <c r="AJ347" s="50">
        <f>IF('Resultado da inspeção'!I347='Resultado da inspeção'!$W$3,0%,Ranking!U347)</f>
        <v>0.1</v>
      </c>
      <c r="AK347" s="50">
        <f>IF('Resultado da inspeção'!J347='Resultado da inspeção'!$W$3,0%,Ranking!V347)</f>
        <v>0.21</v>
      </c>
      <c r="AL347" s="50">
        <f>IF('Resultado da inspeção'!K347='Resultado da inspeção'!$W$3,0%,Ranking!W347)</f>
        <v>0.05</v>
      </c>
      <c r="AM347" s="50">
        <f>IF('Resultado da inspeção'!L347='Resultado da inspeção'!$W$3,0%,Ranking!X347)</f>
        <v>0.24</v>
      </c>
      <c r="AN347" s="50">
        <f>IF('Resultado da inspeção'!M347='Resultado da inspeção'!$W$3,0%,Ranking!Y347)</f>
        <v>0.05</v>
      </c>
      <c r="AO347" s="50">
        <f>IF('Resultado da inspeção'!N347='Resultado da inspeção'!$W$3,0%,Ranking!Z347)</f>
        <v>0.04</v>
      </c>
      <c r="AP347" s="50">
        <f>IF('Resultado da inspeção'!O347='Resultado da inspeção'!$W$3,0%,Ranking!AA347)</f>
        <v>0.06</v>
      </c>
      <c r="AQ347" s="50">
        <f>IF('Resultado da inspeção'!P347='Resultado da inspeção'!$W$3,0%,Ranking!AB347)</f>
        <v>0.08</v>
      </c>
      <c r="AR347" s="50">
        <f>IF('Resultado da inspeção'!Q347='Resultado da inspeção'!$W$3,0%,Ranking!AC347)</f>
        <v>0.05</v>
      </c>
      <c r="AS347" s="50">
        <f>IF('Resultado da inspeção'!R347='Resultado da inspeção'!$W$3,0%,Ranking!AD347)</f>
        <v>0.02</v>
      </c>
      <c r="AT347" s="50">
        <f>IF('Resultado da inspeção'!S347='Resultado da inspeção'!$W$3,0%,Ranking!AE347)</f>
        <v>0.02</v>
      </c>
      <c r="AU347" s="49">
        <f t="shared" si="108"/>
        <v>1</v>
      </c>
    </row>
    <row r="348" spans="2:47" x14ac:dyDescent="0.25">
      <c r="B348" s="48">
        <f>IF('Resultado da inspeção'!F348='Resultado da inspeção'!$W$4,0%,Ranking!B$5)</f>
        <v>0.02</v>
      </c>
      <c r="C348" s="48">
        <f>IF('Resultado da inspeção'!G348='Resultado da inspeção'!$W$4,0%,Ranking!C$5)</f>
        <v>0.03</v>
      </c>
      <c r="D348" s="48">
        <f>IF('Resultado da inspeção'!H348='Resultado da inspeção'!$W$4,0%,Ranking!D$5)</f>
        <v>0.03</v>
      </c>
      <c r="E348" s="48">
        <f>IF('Resultado da inspeção'!I348='Resultado da inspeção'!$W$4,0%,Ranking!E$5)</f>
        <v>0.1</v>
      </c>
      <c r="F348" s="48">
        <f>IF('Resultado da inspeção'!J348='Resultado da inspeção'!$W$4,0%,Ranking!F$5)</f>
        <v>0.21</v>
      </c>
      <c r="G348" s="48">
        <f>IF('Resultado da inspeção'!K348='Resultado da inspeção'!$W$4,0%,Ranking!G$5)</f>
        <v>0.05</v>
      </c>
      <c r="H348" s="48">
        <f>IF('Resultado da inspeção'!L348='Resultado da inspeção'!$W$4,0%,Ranking!H$5)</f>
        <v>0.24</v>
      </c>
      <c r="I348" s="48">
        <f>IF('Resultado da inspeção'!M348='Resultado da inspeção'!$W$4,0%,Ranking!I$5)</f>
        <v>0.05</v>
      </c>
      <c r="J348" s="48">
        <f>IF('Resultado da inspeção'!N348='Resultado da inspeção'!$W$4,0%,Ranking!J$5)</f>
        <v>0.04</v>
      </c>
      <c r="K348" s="48">
        <f>IF('Resultado da inspeção'!O348='Resultado da inspeção'!$W$4,0%,Ranking!K$5)</f>
        <v>0.06</v>
      </c>
      <c r="L348" s="48">
        <f>IF('Resultado da inspeção'!P348='Resultado da inspeção'!$W$4,0%,Ranking!L$5)</f>
        <v>0.08</v>
      </c>
      <c r="M348" s="48">
        <f>IF('Resultado da inspeção'!Q348='Resultado da inspeção'!$W$4,0%,Ranking!M$5)</f>
        <v>0.05</v>
      </c>
      <c r="N348" s="48">
        <f>IF('Resultado da inspeção'!R348='Resultado da inspeção'!$W$4,0%,Ranking!N$5)</f>
        <v>0.02</v>
      </c>
      <c r="O348" s="48">
        <f>IF('Resultado da inspeção'!S348='Resultado da inspeção'!$W$4,0%,Ranking!O$5)</f>
        <v>0.02</v>
      </c>
      <c r="P348" s="47">
        <f t="shared" si="91"/>
        <v>1</v>
      </c>
      <c r="Q348" s="49">
        <f t="shared" si="106"/>
        <v>0</v>
      </c>
      <c r="R348" s="50">
        <f t="shared" si="92"/>
        <v>0.02</v>
      </c>
      <c r="S348" s="50">
        <f t="shared" si="93"/>
        <v>0.03</v>
      </c>
      <c r="T348" s="50">
        <f t="shared" si="94"/>
        <v>0.03</v>
      </c>
      <c r="U348" s="50">
        <f t="shared" si="95"/>
        <v>0.1</v>
      </c>
      <c r="V348" s="50">
        <f t="shared" si="96"/>
        <v>0.21</v>
      </c>
      <c r="W348" s="50">
        <f t="shared" si="97"/>
        <v>0.05</v>
      </c>
      <c r="X348" s="50">
        <f t="shared" si="98"/>
        <v>0.24</v>
      </c>
      <c r="Y348" s="50">
        <f t="shared" si="99"/>
        <v>0.05</v>
      </c>
      <c r="Z348" s="50">
        <f t="shared" si="100"/>
        <v>0.04</v>
      </c>
      <c r="AA348" s="50">
        <f t="shared" si="101"/>
        <v>0.06</v>
      </c>
      <c r="AB348" s="50">
        <f t="shared" si="102"/>
        <v>0.08</v>
      </c>
      <c r="AC348" s="50">
        <f t="shared" si="103"/>
        <v>0.05</v>
      </c>
      <c r="AD348" s="50">
        <f t="shared" si="104"/>
        <v>0.02</v>
      </c>
      <c r="AE348" s="50">
        <f t="shared" si="105"/>
        <v>0.02</v>
      </c>
      <c r="AF348" s="47">
        <f t="shared" si="107"/>
        <v>1</v>
      </c>
      <c r="AG348" s="50">
        <f>IF('Resultado da inspeção'!F348='Resultado da inspeção'!$W$3,0%,Ranking!R348)</f>
        <v>0.02</v>
      </c>
      <c r="AH348" s="50">
        <f>IF('Resultado da inspeção'!G348='Resultado da inspeção'!$W$3,0%,Ranking!S348)</f>
        <v>0.03</v>
      </c>
      <c r="AI348" s="50">
        <f>IF('Resultado da inspeção'!H348='Resultado da inspeção'!$W$3,0%,Ranking!T348)</f>
        <v>0.03</v>
      </c>
      <c r="AJ348" s="50">
        <f>IF('Resultado da inspeção'!I348='Resultado da inspeção'!$W$3,0%,Ranking!U348)</f>
        <v>0.1</v>
      </c>
      <c r="AK348" s="50">
        <f>IF('Resultado da inspeção'!J348='Resultado da inspeção'!$W$3,0%,Ranking!V348)</f>
        <v>0.21</v>
      </c>
      <c r="AL348" s="50">
        <f>IF('Resultado da inspeção'!K348='Resultado da inspeção'!$W$3,0%,Ranking!W348)</f>
        <v>0.05</v>
      </c>
      <c r="AM348" s="50">
        <f>IF('Resultado da inspeção'!L348='Resultado da inspeção'!$W$3,0%,Ranking!X348)</f>
        <v>0.24</v>
      </c>
      <c r="AN348" s="50">
        <f>IF('Resultado da inspeção'!M348='Resultado da inspeção'!$W$3,0%,Ranking!Y348)</f>
        <v>0.05</v>
      </c>
      <c r="AO348" s="50">
        <f>IF('Resultado da inspeção'!N348='Resultado da inspeção'!$W$3,0%,Ranking!Z348)</f>
        <v>0.04</v>
      </c>
      <c r="AP348" s="50">
        <f>IF('Resultado da inspeção'!O348='Resultado da inspeção'!$W$3,0%,Ranking!AA348)</f>
        <v>0.06</v>
      </c>
      <c r="AQ348" s="50">
        <f>IF('Resultado da inspeção'!P348='Resultado da inspeção'!$W$3,0%,Ranking!AB348)</f>
        <v>0.08</v>
      </c>
      <c r="AR348" s="50">
        <f>IF('Resultado da inspeção'!Q348='Resultado da inspeção'!$W$3,0%,Ranking!AC348)</f>
        <v>0.05</v>
      </c>
      <c r="AS348" s="50">
        <f>IF('Resultado da inspeção'!R348='Resultado da inspeção'!$W$3,0%,Ranking!AD348)</f>
        <v>0.02</v>
      </c>
      <c r="AT348" s="50">
        <f>IF('Resultado da inspeção'!S348='Resultado da inspeção'!$W$3,0%,Ranking!AE348)</f>
        <v>0.02</v>
      </c>
      <c r="AU348" s="49">
        <f t="shared" si="108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Resultado da inspeção</vt:lpstr>
      <vt:lpstr>Ranking</vt:lpstr>
      <vt:lpstr>'Resultado da inspeção'!Area_de_impressao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Marcio Vernochi Rodrigues</dc:creator>
  <cp:lastModifiedBy>Anibal Rosa Vargas</cp:lastModifiedBy>
  <cp:lastPrinted>2024-07-02T18:58:18Z</cp:lastPrinted>
  <dcterms:created xsi:type="dcterms:W3CDTF">2015-10-15T17:06:14Z</dcterms:created>
  <dcterms:modified xsi:type="dcterms:W3CDTF">2026-08-08T10:20:47Z</dcterms:modified>
</cp:coreProperties>
</file>